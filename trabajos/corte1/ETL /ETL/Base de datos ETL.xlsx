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110D5C0-08C7-495B-AC3E-55182552C385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Hoja1" sheetId="2" r:id="rId1"/>
    <sheet name="Resumen" sheetId="1" r:id="rId2"/>
    <sheet name="Diagnóstico" sheetId="3" r:id="rId3"/>
  </sheets>
  <definedNames>
    <definedName name="_xlnm._FilterDatabase" localSheetId="0" hidden="1">Hoja1!$A$1:$I$1000</definedName>
    <definedName name="random_names_fossbytes__1" localSheetId="0">Hoja1!$B$2:$B$1000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000" i="3" l="1"/>
  <c r="I1000" i="3"/>
  <c r="H1000" i="3"/>
  <c r="G1000" i="3"/>
  <c r="F1000" i="3"/>
  <c r="E1000" i="3"/>
  <c r="D1000" i="3"/>
  <c r="C1000" i="3"/>
  <c r="K1000" i="3" s="1"/>
  <c r="B1000" i="3"/>
  <c r="A1000" i="3"/>
  <c r="J999" i="3"/>
  <c r="I999" i="3"/>
  <c r="H999" i="3"/>
  <c r="G999" i="3"/>
  <c r="F999" i="3"/>
  <c r="E999" i="3"/>
  <c r="D999" i="3"/>
  <c r="C999" i="3"/>
  <c r="K999" i="3" s="1"/>
  <c r="B999" i="3"/>
  <c r="A999" i="3"/>
  <c r="J998" i="3"/>
  <c r="I998" i="3"/>
  <c r="H998" i="3"/>
  <c r="G998" i="3"/>
  <c r="F998" i="3"/>
  <c r="E998" i="3"/>
  <c r="D998" i="3"/>
  <c r="C998" i="3"/>
  <c r="K998" i="3" s="1"/>
  <c r="B998" i="3"/>
  <c r="A998" i="3"/>
  <c r="J997" i="3"/>
  <c r="I997" i="3"/>
  <c r="H997" i="3"/>
  <c r="G997" i="3"/>
  <c r="F997" i="3"/>
  <c r="E997" i="3"/>
  <c r="D997" i="3"/>
  <c r="C997" i="3"/>
  <c r="K997" i="3" s="1"/>
  <c r="B997" i="3"/>
  <c r="A997" i="3"/>
  <c r="J996" i="3"/>
  <c r="I996" i="3"/>
  <c r="H996" i="3"/>
  <c r="G996" i="3"/>
  <c r="F996" i="3"/>
  <c r="E996" i="3"/>
  <c r="D996" i="3"/>
  <c r="C996" i="3"/>
  <c r="K996" i="3" s="1"/>
  <c r="B996" i="3"/>
  <c r="A996" i="3"/>
  <c r="J995" i="3"/>
  <c r="I995" i="3"/>
  <c r="H995" i="3"/>
  <c r="G995" i="3"/>
  <c r="F995" i="3"/>
  <c r="E995" i="3"/>
  <c r="D995" i="3"/>
  <c r="C995" i="3"/>
  <c r="K995" i="3" s="1"/>
  <c r="B995" i="3"/>
  <c r="A995" i="3"/>
  <c r="J994" i="3"/>
  <c r="I994" i="3"/>
  <c r="H994" i="3"/>
  <c r="G994" i="3"/>
  <c r="F994" i="3"/>
  <c r="E994" i="3"/>
  <c r="D994" i="3"/>
  <c r="C994" i="3"/>
  <c r="K994" i="3" s="1"/>
  <c r="B994" i="3"/>
  <c r="A994" i="3"/>
  <c r="J993" i="3"/>
  <c r="I993" i="3"/>
  <c r="H993" i="3"/>
  <c r="G993" i="3"/>
  <c r="F993" i="3"/>
  <c r="E993" i="3"/>
  <c r="D993" i="3"/>
  <c r="C993" i="3"/>
  <c r="K993" i="3" s="1"/>
  <c r="B993" i="3"/>
  <c r="A993" i="3"/>
  <c r="J992" i="3"/>
  <c r="I992" i="3"/>
  <c r="H992" i="3"/>
  <c r="G992" i="3"/>
  <c r="F992" i="3"/>
  <c r="E992" i="3"/>
  <c r="D992" i="3"/>
  <c r="C992" i="3"/>
  <c r="K992" i="3" s="1"/>
  <c r="B992" i="3"/>
  <c r="A992" i="3"/>
  <c r="J991" i="3"/>
  <c r="I991" i="3"/>
  <c r="H991" i="3"/>
  <c r="G991" i="3"/>
  <c r="F991" i="3"/>
  <c r="E991" i="3"/>
  <c r="D991" i="3"/>
  <c r="C991" i="3"/>
  <c r="K991" i="3" s="1"/>
  <c r="B991" i="3"/>
  <c r="A991" i="3"/>
  <c r="J990" i="3"/>
  <c r="I990" i="3"/>
  <c r="H990" i="3"/>
  <c r="G990" i="3"/>
  <c r="F990" i="3"/>
  <c r="E990" i="3"/>
  <c r="D990" i="3"/>
  <c r="C990" i="3"/>
  <c r="K990" i="3" s="1"/>
  <c r="B990" i="3"/>
  <c r="A990" i="3"/>
  <c r="J989" i="3"/>
  <c r="I989" i="3"/>
  <c r="H989" i="3"/>
  <c r="G989" i="3"/>
  <c r="F989" i="3"/>
  <c r="E989" i="3"/>
  <c r="D989" i="3"/>
  <c r="C989" i="3"/>
  <c r="K989" i="3" s="1"/>
  <c r="B989" i="3"/>
  <c r="A989" i="3"/>
  <c r="J988" i="3"/>
  <c r="I988" i="3"/>
  <c r="H988" i="3"/>
  <c r="G988" i="3"/>
  <c r="F988" i="3"/>
  <c r="E988" i="3"/>
  <c r="D988" i="3"/>
  <c r="C988" i="3"/>
  <c r="K988" i="3" s="1"/>
  <c r="B988" i="3"/>
  <c r="A988" i="3"/>
  <c r="J987" i="3"/>
  <c r="I987" i="3"/>
  <c r="H987" i="3"/>
  <c r="G987" i="3"/>
  <c r="F987" i="3"/>
  <c r="E987" i="3"/>
  <c r="D987" i="3"/>
  <c r="C987" i="3"/>
  <c r="K987" i="3" s="1"/>
  <c r="B987" i="3"/>
  <c r="A987" i="3"/>
  <c r="J986" i="3"/>
  <c r="I986" i="3"/>
  <c r="H986" i="3"/>
  <c r="G986" i="3"/>
  <c r="F986" i="3"/>
  <c r="E986" i="3"/>
  <c r="D986" i="3"/>
  <c r="C986" i="3"/>
  <c r="K986" i="3" s="1"/>
  <c r="B986" i="3"/>
  <c r="A986" i="3"/>
  <c r="J985" i="3"/>
  <c r="I985" i="3"/>
  <c r="H985" i="3"/>
  <c r="G985" i="3"/>
  <c r="F985" i="3"/>
  <c r="E985" i="3"/>
  <c r="D985" i="3"/>
  <c r="C985" i="3"/>
  <c r="K985" i="3" s="1"/>
  <c r="B985" i="3"/>
  <c r="A985" i="3"/>
  <c r="J984" i="3"/>
  <c r="I984" i="3"/>
  <c r="H984" i="3"/>
  <c r="G984" i="3"/>
  <c r="F984" i="3"/>
  <c r="E984" i="3"/>
  <c r="D984" i="3"/>
  <c r="C984" i="3"/>
  <c r="K984" i="3" s="1"/>
  <c r="B984" i="3"/>
  <c r="A984" i="3"/>
  <c r="J983" i="3"/>
  <c r="I983" i="3"/>
  <c r="H983" i="3"/>
  <c r="G983" i="3"/>
  <c r="F983" i="3"/>
  <c r="E983" i="3"/>
  <c r="D983" i="3"/>
  <c r="C983" i="3"/>
  <c r="K983" i="3" s="1"/>
  <c r="B983" i="3"/>
  <c r="A983" i="3"/>
  <c r="J982" i="3"/>
  <c r="I982" i="3"/>
  <c r="H982" i="3"/>
  <c r="G982" i="3"/>
  <c r="F982" i="3"/>
  <c r="E982" i="3"/>
  <c r="D982" i="3"/>
  <c r="C982" i="3"/>
  <c r="K982" i="3" s="1"/>
  <c r="B982" i="3"/>
  <c r="A982" i="3"/>
  <c r="J981" i="3"/>
  <c r="I981" i="3"/>
  <c r="H981" i="3"/>
  <c r="G981" i="3"/>
  <c r="F981" i="3"/>
  <c r="E981" i="3"/>
  <c r="D981" i="3"/>
  <c r="C981" i="3"/>
  <c r="K981" i="3" s="1"/>
  <c r="B981" i="3"/>
  <c r="A981" i="3"/>
  <c r="J980" i="3"/>
  <c r="I980" i="3"/>
  <c r="H980" i="3"/>
  <c r="G980" i="3"/>
  <c r="F980" i="3"/>
  <c r="E980" i="3"/>
  <c r="D980" i="3"/>
  <c r="C980" i="3"/>
  <c r="K980" i="3" s="1"/>
  <c r="B980" i="3"/>
  <c r="A980" i="3"/>
  <c r="J979" i="3"/>
  <c r="I979" i="3"/>
  <c r="H979" i="3"/>
  <c r="G979" i="3"/>
  <c r="F979" i="3"/>
  <c r="E979" i="3"/>
  <c r="D979" i="3"/>
  <c r="C979" i="3"/>
  <c r="K979" i="3" s="1"/>
  <c r="B979" i="3"/>
  <c r="A979" i="3"/>
  <c r="J978" i="3"/>
  <c r="I978" i="3"/>
  <c r="H978" i="3"/>
  <c r="G978" i="3"/>
  <c r="F978" i="3"/>
  <c r="E978" i="3"/>
  <c r="D978" i="3"/>
  <c r="C978" i="3"/>
  <c r="K978" i="3" s="1"/>
  <c r="B978" i="3"/>
  <c r="A978" i="3"/>
  <c r="J977" i="3"/>
  <c r="I977" i="3"/>
  <c r="H977" i="3"/>
  <c r="G977" i="3"/>
  <c r="F977" i="3"/>
  <c r="E977" i="3"/>
  <c r="D977" i="3"/>
  <c r="C977" i="3"/>
  <c r="K977" i="3" s="1"/>
  <c r="B977" i="3"/>
  <c r="A977" i="3"/>
  <c r="J976" i="3"/>
  <c r="I976" i="3"/>
  <c r="H976" i="3"/>
  <c r="G976" i="3"/>
  <c r="F976" i="3"/>
  <c r="E976" i="3"/>
  <c r="D976" i="3"/>
  <c r="C976" i="3"/>
  <c r="K976" i="3" s="1"/>
  <c r="B976" i="3"/>
  <c r="A976" i="3"/>
  <c r="J975" i="3"/>
  <c r="I975" i="3"/>
  <c r="H975" i="3"/>
  <c r="G975" i="3"/>
  <c r="F975" i="3"/>
  <c r="E975" i="3"/>
  <c r="D975" i="3"/>
  <c r="C975" i="3"/>
  <c r="K975" i="3" s="1"/>
  <c r="B975" i="3"/>
  <c r="A975" i="3"/>
  <c r="J974" i="3"/>
  <c r="I974" i="3"/>
  <c r="H974" i="3"/>
  <c r="G974" i="3"/>
  <c r="F974" i="3"/>
  <c r="E974" i="3"/>
  <c r="D974" i="3"/>
  <c r="C974" i="3"/>
  <c r="K974" i="3" s="1"/>
  <c r="B974" i="3"/>
  <c r="A974" i="3"/>
  <c r="J973" i="3"/>
  <c r="I973" i="3"/>
  <c r="H973" i="3"/>
  <c r="G973" i="3"/>
  <c r="F973" i="3"/>
  <c r="E973" i="3"/>
  <c r="D973" i="3"/>
  <c r="C973" i="3"/>
  <c r="K973" i="3" s="1"/>
  <c r="B973" i="3"/>
  <c r="A973" i="3"/>
  <c r="J972" i="3"/>
  <c r="I972" i="3"/>
  <c r="H972" i="3"/>
  <c r="G972" i="3"/>
  <c r="F972" i="3"/>
  <c r="E972" i="3"/>
  <c r="D972" i="3"/>
  <c r="C972" i="3"/>
  <c r="K972" i="3" s="1"/>
  <c r="B972" i="3"/>
  <c r="A972" i="3"/>
  <c r="J971" i="3"/>
  <c r="I971" i="3"/>
  <c r="H971" i="3"/>
  <c r="G971" i="3"/>
  <c r="F971" i="3"/>
  <c r="E971" i="3"/>
  <c r="D971" i="3"/>
  <c r="C971" i="3"/>
  <c r="K971" i="3" s="1"/>
  <c r="B971" i="3"/>
  <c r="A971" i="3"/>
  <c r="J970" i="3"/>
  <c r="I970" i="3"/>
  <c r="H970" i="3"/>
  <c r="G970" i="3"/>
  <c r="F970" i="3"/>
  <c r="E970" i="3"/>
  <c r="D970" i="3"/>
  <c r="C970" i="3"/>
  <c r="K970" i="3" s="1"/>
  <c r="B970" i="3"/>
  <c r="A970" i="3"/>
  <c r="J969" i="3"/>
  <c r="I969" i="3"/>
  <c r="H969" i="3"/>
  <c r="G969" i="3"/>
  <c r="F969" i="3"/>
  <c r="E969" i="3"/>
  <c r="D969" i="3"/>
  <c r="C969" i="3"/>
  <c r="K969" i="3" s="1"/>
  <c r="B969" i="3"/>
  <c r="A969" i="3"/>
  <c r="J968" i="3"/>
  <c r="I968" i="3"/>
  <c r="H968" i="3"/>
  <c r="G968" i="3"/>
  <c r="F968" i="3"/>
  <c r="E968" i="3"/>
  <c r="D968" i="3"/>
  <c r="C968" i="3"/>
  <c r="K968" i="3" s="1"/>
  <c r="B968" i="3"/>
  <c r="A968" i="3"/>
  <c r="J967" i="3"/>
  <c r="I967" i="3"/>
  <c r="H967" i="3"/>
  <c r="G967" i="3"/>
  <c r="F967" i="3"/>
  <c r="E967" i="3"/>
  <c r="D967" i="3"/>
  <c r="C967" i="3"/>
  <c r="K967" i="3" s="1"/>
  <c r="B967" i="3"/>
  <c r="A967" i="3"/>
  <c r="J966" i="3"/>
  <c r="I966" i="3"/>
  <c r="H966" i="3"/>
  <c r="G966" i="3"/>
  <c r="F966" i="3"/>
  <c r="E966" i="3"/>
  <c r="D966" i="3"/>
  <c r="C966" i="3"/>
  <c r="K966" i="3" s="1"/>
  <c r="B966" i="3"/>
  <c r="A966" i="3"/>
  <c r="J965" i="3"/>
  <c r="I965" i="3"/>
  <c r="H965" i="3"/>
  <c r="G965" i="3"/>
  <c r="F965" i="3"/>
  <c r="E965" i="3"/>
  <c r="D965" i="3"/>
  <c r="C965" i="3"/>
  <c r="K965" i="3" s="1"/>
  <c r="B965" i="3"/>
  <c r="A965" i="3"/>
  <c r="J964" i="3"/>
  <c r="I964" i="3"/>
  <c r="H964" i="3"/>
  <c r="G964" i="3"/>
  <c r="F964" i="3"/>
  <c r="E964" i="3"/>
  <c r="D964" i="3"/>
  <c r="C964" i="3"/>
  <c r="K964" i="3" s="1"/>
  <c r="B964" i="3"/>
  <c r="A964" i="3"/>
  <c r="J963" i="3"/>
  <c r="I963" i="3"/>
  <c r="H963" i="3"/>
  <c r="G963" i="3"/>
  <c r="F963" i="3"/>
  <c r="E963" i="3"/>
  <c r="D963" i="3"/>
  <c r="C963" i="3"/>
  <c r="K963" i="3" s="1"/>
  <c r="B963" i="3"/>
  <c r="A963" i="3"/>
  <c r="J962" i="3"/>
  <c r="I962" i="3"/>
  <c r="H962" i="3"/>
  <c r="G962" i="3"/>
  <c r="F962" i="3"/>
  <c r="E962" i="3"/>
  <c r="D962" i="3"/>
  <c r="C962" i="3"/>
  <c r="K962" i="3" s="1"/>
  <c r="B962" i="3"/>
  <c r="A962" i="3"/>
  <c r="J961" i="3"/>
  <c r="I961" i="3"/>
  <c r="H961" i="3"/>
  <c r="G961" i="3"/>
  <c r="F961" i="3"/>
  <c r="E961" i="3"/>
  <c r="D961" i="3"/>
  <c r="C961" i="3"/>
  <c r="K961" i="3" s="1"/>
  <c r="B961" i="3"/>
  <c r="A961" i="3"/>
  <c r="J960" i="3"/>
  <c r="I960" i="3"/>
  <c r="H960" i="3"/>
  <c r="G960" i="3"/>
  <c r="F960" i="3"/>
  <c r="E960" i="3"/>
  <c r="D960" i="3"/>
  <c r="C960" i="3"/>
  <c r="K960" i="3" s="1"/>
  <c r="B960" i="3"/>
  <c r="A960" i="3"/>
  <c r="J959" i="3"/>
  <c r="I959" i="3"/>
  <c r="H959" i="3"/>
  <c r="G959" i="3"/>
  <c r="F959" i="3"/>
  <c r="E959" i="3"/>
  <c r="D959" i="3"/>
  <c r="C959" i="3"/>
  <c r="K959" i="3" s="1"/>
  <c r="B959" i="3"/>
  <c r="A959" i="3"/>
  <c r="J958" i="3"/>
  <c r="I958" i="3"/>
  <c r="H958" i="3"/>
  <c r="G958" i="3"/>
  <c r="F958" i="3"/>
  <c r="E958" i="3"/>
  <c r="D958" i="3"/>
  <c r="C958" i="3"/>
  <c r="K958" i="3" s="1"/>
  <c r="B958" i="3"/>
  <c r="A958" i="3"/>
  <c r="J957" i="3"/>
  <c r="I957" i="3"/>
  <c r="H957" i="3"/>
  <c r="G957" i="3"/>
  <c r="F957" i="3"/>
  <c r="E957" i="3"/>
  <c r="D957" i="3"/>
  <c r="C957" i="3"/>
  <c r="K957" i="3" s="1"/>
  <c r="B957" i="3"/>
  <c r="A957" i="3"/>
  <c r="J956" i="3"/>
  <c r="I956" i="3"/>
  <c r="H956" i="3"/>
  <c r="G956" i="3"/>
  <c r="F956" i="3"/>
  <c r="E956" i="3"/>
  <c r="D956" i="3"/>
  <c r="C956" i="3"/>
  <c r="K956" i="3" s="1"/>
  <c r="B956" i="3"/>
  <c r="A956" i="3"/>
  <c r="J955" i="3"/>
  <c r="I955" i="3"/>
  <c r="H955" i="3"/>
  <c r="G955" i="3"/>
  <c r="F955" i="3"/>
  <c r="E955" i="3"/>
  <c r="D955" i="3"/>
  <c r="C955" i="3"/>
  <c r="K955" i="3" s="1"/>
  <c r="B955" i="3"/>
  <c r="A955" i="3"/>
  <c r="J954" i="3"/>
  <c r="I954" i="3"/>
  <c r="H954" i="3"/>
  <c r="G954" i="3"/>
  <c r="F954" i="3"/>
  <c r="E954" i="3"/>
  <c r="D954" i="3"/>
  <c r="C954" i="3"/>
  <c r="K954" i="3" s="1"/>
  <c r="B954" i="3"/>
  <c r="A954" i="3"/>
  <c r="J953" i="3"/>
  <c r="I953" i="3"/>
  <c r="H953" i="3"/>
  <c r="G953" i="3"/>
  <c r="F953" i="3"/>
  <c r="E953" i="3"/>
  <c r="D953" i="3"/>
  <c r="C953" i="3"/>
  <c r="K953" i="3" s="1"/>
  <c r="B953" i="3"/>
  <c r="A953" i="3"/>
  <c r="J952" i="3"/>
  <c r="I952" i="3"/>
  <c r="H952" i="3"/>
  <c r="G952" i="3"/>
  <c r="F952" i="3"/>
  <c r="E952" i="3"/>
  <c r="D952" i="3"/>
  <c r="C952" i="3"/>
  <c r="K952" i="3" s="1"/>
  <c r="B952" i="3"/>
  <c r="A952" i="3"/>
  <c r="J951" i="3"/>
  <c r="I951" i="3"/>
  <c r="H951" i="3"/>
  <c r="G951" i="3"/>
  <c r="F951" i="3"/>
  <c r="E951" i="3"/>
  <c r="D951" i="3"/>
  <c r="C951" i="3"/>
  <c r="K951" i="3" s="1"/>
  <c r="B951" i="3"/>
  <c r="A951" i="3"/>
  <c r="J950" i="3"/>
  <c r="I950" i="3"/>
  <c r="H950" i="3"/>
  <c r="G950" i="3"/>
  <c r="F950" i="3"/>
  <c r="E950" i="3"/>
  <c r="D950" i="3"/>
  <c r="C950" i="3"/>
  <c r="K950" i="3" s="1"/>
  <c r="B950" i="3"/>
  <c r="A950" i="3"/>
  <c r="J949" i="3"/>
  <c r="I949" i="3"/>
  <c r="H949" i="3"/>
  <c r="G949" i="3"/>
  <c r="F949" i="3"/>
  <c r="E949" i="3"/>
  <c r="D949" i="3"/>
  <c r="C949" i="3"/>
  <c r="K949" i="3" s="1"/>
  <c r="B949" i="3"/>
  <c r="A949" i="3"/>
  <c r="J948" i="3"/>
  <c r="I948" i="3"/>
  <c r="H948" i="3"/>
  <c r="G948" i="3"/>
  <c r="F948" i="3"/>
  <c r="E948" i="3"/>
  <c r="D948" i="3"/>
  <c r="C948" i="3"/>
  <c r="K948" i="3" s="1"/>
  <c r="B948" i="3"/>
  <c r="A948" i="3"/>
  <c r="J947" i="3"/>
  <c r="I947" i="3"/>
  <c r="H947" i="3"/>
  <c r="G947" i="3"/>
  <c r="F947" i="3"/>
  <c r="E947" i="3"/>
  <c r="D947" i="3"/>
  <c r="C947" i="3"/>
  <c r="K947" i="3" s="1"/>
  <c r="B947" i="3"/>
  <c r="A947" i="3"/>
  <c r="J946" i="3"/>
  <c r="I946" i="3"/>
  <c r="H946" i="3"/>
  <c r="G946" i="3"/>
  <c r="F946" i="3"/>
  <c r="E946" i="3"/>
  <c r="D946" i="3"/>
  <c r="C946" i="3"/>
  <c r="K946" i="3" s="1"/>
  <c r="B946" i="3"/>
  <c r="A946" i="3"/>
  <c r="J945" i="3"/>
  <c r="I945" i="3"/>
  <c r="H945" i="3"/>
  <c r="G945" i="3"/>
  <c r="F945" i="3"/>
  <c r="E945" i="3"/>
  <c r="D945" i="3"/>
  <c r="C945" i="3"/>
  <c r="K945" i="3" s="1"/>
  <c r="B945" i="3"/>
  <c r="A945" i="3"/>
  <c r="J944" i="3"/>
  <c r="I944" i="3"/>
  <c r="H944" i="3"/>
  <c r="G944" i="3"/>
  <c r="F944" i="3"/>
  <c r="E944" i="3"/>
  <c r="D944" i="3"/>
  <c r="C944" i="3"/>
  <c r="K944" i="3" s="1"/>
  <c r="B944" i="3"/>
  <c r="A944" i="3"/>
  <c r="J943" i="3"/>
  <c r="I943" i="3"/>
  <c r="H943" i="3"/>
  <c r="G943" i="3"/>
  <c r="F943" i="3"/>
  <c r="E943" i="3"/>
  <c r="D943" i="3"/>
  <c r="C943" i="3"/>
  <c r="K943" i="3" s="1"/>
  <c r="B943" i="3"/>
  <c r="A943" i="3"/>
  <c r="J942" i="3"/>
  <c r="I942" i="3"/>
  <c r="H942" i="3"/>
  <c r="G942" i="3"/>
  <c r="F942" i="3"/>
  <c r="E942" i="3"/>
  <c r="D942" i="3"/>
  <c r="C942" i="3"/>
  <c r="K942" i="3" s="1"/>
  <c r="B942" i="3"/>
  <c r="A942" i="3"/>
  <c r="J941" i="3"/>
  <c r="I941" i="3"/>
  <c r="H941" i="3"/>
  <c r="G941" i="3"/>
  <c r="F941" i="3"/>
  <c r="E941" i="3"/>
  <c r="D941" i="3"/>
  <c r="C941" i="3"/>
  <c r="K941" i="3" s="1"/>
  <c r="B941" i="3"/>
  <c r="A941" i="3"/>
  <c r="J940" i="3"/>
  <c r="I940" i="3"/>
  <c r="H940" i="3"/>
  <c r="G940" i="3"/>
  <c r="F940" i="3"/>
  <c r="E940" i="3"/>
  <c r="D940" i="3"/>
  <c r="C940" i="3"/>
  <c r="K940" i="3" s="1"/>
  <c r="B940" i="3"/>
  <c r="A940" i="3"/>
  <c r="J939" i="3"/>
  <c r="I939" i="3"/>
  <c r="H939" i="3"/>
  <c r="G939" i="3"/>
  <c r="F939" i="3"/>
  <c r="E939" i="3"/>
  <c r="D939" i="3"/>
  <c r="C939" i="3"/>
  <c r="K939" i="3" s="1"/>
  <c r="B939" i="3"/>
  <c r="A939" i="3"/>
  <c r="J938" i="3"/>
  <c r="I938" i="3"/>
  <c r="H938" i="3"/>
  <c r="G938" i="3"/>
  <c r="F938" i="3"/>
  <c r="E938" i="3"/>
  <c r="D938" i="3"/>
  <c r="C938" i="3"/>
  <c r="K938" i="3" s="1"/>
  <c r="B938" i="3"/>
  <c r="A938" i="3"/>
  <c r="J937" i="3"/>
  <c r="I937" i="3"/>
  <c r="H937" i="3"/>
  <c r="G937" i="3"/>
  <c r="F937" i="3"/>
  <c r="E937" i="3"/>
  <c r="D937" i="3"/>
  <c r="C937" i="3"/>
  <c r="K937" i="3" s="1"/>
  <c r="B937" i="3"/>
  <c r="A937" i="3"/>
  <c r="J936" i="3"/>
  <c r="I936" i="3"/>
  <c r="H936" i="3"/>
  <c r="G936" i="3"/>
  <c r="F936" i="3"/>
  <c r="E936" i="3"/>
  <c r="D936" i="3"/>
  <c r="C936" i="3"/>
  <c r="K936" i="3" s="1"/>
  <c r="B936" i="3"/>
  <c r="A936" i="3"/>
  <c r="J935" i="3"/>
  <c r="I935" i="3"/>
  <c r="H935" i="3"/>
  <c r="G935" i="3"/>
  <c r="F935" i="3"/>
  <c r="E935" i="3"/>
  <c r="D935" i="3"/>
  <c r="C935" i="3"/>
  <c r="K935" i="3" s="1"/>
  <c r="B935" i="3"/>
  <c r="A935" i="3"/>
  <c r="J934" i="3"/>
  <c r="I934" i="3"/>
  <c r="H934" i="3"/>
  <c r="G934" i="3"/>
  <c r="F934" i="3"/>
  <c r="E934" i="3"/>
  <c r="D934" i="3"/>
  <c r="C934" i="3"/>
  <c r="K934" i="3" s="1"/>
  <c r="B934" i="3"/>
  <c r="A934" i="3"/>
  <c r="J933" i="3"/>
  <c r="I933" i="3"/>
  <c r="H933" i="3"/>
  <c r="G933" i="3"/>
  <c r="F933" i="3"/>
  <c r="E933" i="3"/>
  <c r="D933" i="3"/>
  <c r="C933" i="3"/>
  <c r="K933" i="3" s="1"/>
  <c r="B933" i="3"/>
  <c r="A933" i="3"/>
  <c r="J932" i="3"/>
  <c r="I932" i="3"/>
  <c r="H932" i="3"/>
  <c r="G932" i="3"/>
  <c r="F932" i="3"/>
  <c r="E932" i="3"/>
  <c r="D932" i="3"/>
  <c r="C932" i="3"/>
  <c r="K932" i="3" s="1"/>
  <c r="B932" i="3"/>
  <c r="A932" i="3"/>
  <c r="J931" i="3"/>
  <c r="I931" i="3"/>
  <c r="H931" i="3"/>
  <c r="G931" i="3"/>
  <c r="F931" i="3"/>
  <c r="E931" i="3"/>
  <c r="D931" i="3"/>
  <c r="C931" i="3"/>
  <c r="K931" i="3" s="1"/>
  <c r="B931" i="3"/>
  <c r="A931" i="3"/>
  <c r="J930" i="3"/>
  <c r="I930" i="3"/>
  <c r="H930" i="3"/>
  <c r="G930" i="3"/>
  <c r="F930" i="3"/>
  <c r="E930" i="3"/>
  <c r="D930" i="3"/>
  <c r="C930" i="3"/>
  <c r="K930" i="3" s="1"/>
  <c r="B930" i="3"/>
  <c r="A930" i="3"/>
  <c r="J929" i="3"/>
  <c r="I929" i="3"/>
  <c r="H929" i="3"/>
  <c r="G929" i="3"/>
  <c r="F929" i="3"/>
  <c r="E929" i="3"/>
  <c r="D929" i="3"/>
  <c r="C929" i="3"/>
  <c r="K929" i="3" s="1"/>
  <c r="B929" i="3"/>
  <c r="A929" i="3"/>
  <c r="J928" i="3"/>
  <c r="I928" i="3"/>
  <c r="H928" i="3"/>
  <c r="G928" i="3"/>
  <c r="F928" i="3"/>
  <c r="E928" i="3"/>
  <c r="D928" i="3"/>
  <c r="C928" i="3"/>
  <c r="K928" i="3" s="1"/>
  <c r="B928" i="3"/>
  <c r="A928" i="3"/>
  <c r="J927" i="3"/>
  <c r="I927" i="3"/>
  <c r="H927" i="3"/>
  <c r="G927" i="3"/>
  <c r="F927" i="3"/>
  <c r="E927" i="3"/>
  <c r="D927" i="3"/>
  <c r="C927" i="3"/>
  <c r="K927" i="3" s="1"/>
  <c r="B927" i="3"/>
  <c r="A927" i="3"/>
  <c r="J926" i="3"/>
  <c r="I926" i="3"/>
  <c r="H926" i="3"/>
  <c r="G926" i="3"/>
  <c r="F926" i="3"/>
  <c r="E926" i="3"/>
  <c r="D926" i="3"/>
  <c r="C926" i="3"/>
  <c r="K926" i="3" s="1"/>
  <c r="B926" i="3"/>
  <c r="A926" i="3"/>
  <c r="J925" i="3"/>
  <c r="I925" i="3"/>
  <c r="H925" i="3"/>
  <c r="G925" i="3"/>
  <c r="F925" i="3"/>
  <c r="E925" i="3"/>
  <c r="D925" i="3"/>
  <c r="C925" i="3"/>
  <c r="K925" i="3" s="1"/>
  <c r="B925" i="3"/>
  <c r="A925" i="3"/>
  <c r="J924" i="3"/>
  <c r="I924" i="3"/>
  <c r="H924" i="3"/>
  <c r="G924" i="3"/>
  <c r="F924" i="3"/>
  <c r="E924" i="3"/>
  <c r="D924" i="3"/>
  <c r="C924" i="3"/>
  <c r="K924" i="3" s="1"/>
  <c r="B924" i="3"/>
  <c r="A924" i="3"/>
  <c r="J923" i="3"/>
  <c r="I923" i="3"/>
  <c r="H923" i="3"/>
  <c r="G923" i="3"/>
  <c r="F923" i="3"/>
  <c r="E923" i="3"/>
  <c r="D923" i="3"/>
  <c r="C923" i="3"/>
  <c r="K923" i="3" s="1"/>
  <c r="B923" i="3"/>
  <c r="A923" i="3"/>
  <c r="J922" i="3"/>
  <c r="I922" i="3"/>
  <c r="H922" i="3"/>
  <c r="G922" i="3"/>
  <c r="F922" i="3"/>
  <c r="E922" i="3"/>
  <c r="D922" i="3"/>
  <c r="C922" i="3"/>
  <c r="K922" i="3" s="1"/>
  <c r="B922" i="3"/>
  <c r="A922" i="3"/>
  <c r="J921" i="3"/>
  <c r="I921" i="3"/>
  <c r="H921" i="3"/>
  <c r="G921" i="3"/>
  <c r="F921" i="3"/>
  <c r="E921" i="3"/>
  <c r="D921" i="3"/>
  <c r="C921" i="3"/>
  <c r="K921" i="3" s="1"/>
  <c r="B921" i="3"/>
  <c r="A921" i="3"/>
  <c r="J920" i="3"/>
  <c r="I920" i="3"/>
  <c r="H920" i="3"/>
  <c r="G920" i="3"/>
  <c r="F920" i="3"/>
  <c r="E920" i="3"/>
  <c r="D920" i="3"/>
  <c r="C920" i="3"/>
  <c r="K920" i="3" s="1"/>
  <c r="B920" i="3"/>
  <c r="A920" i="3"/>
  <c r="J919" i="3"/>
  <c r="I919" i="3"/>
  <c r="H919" i="3"/>
  <c r="G919" i="3"/>
  <c r="F919" i="3"/>
  <c r="E919" i="3"/>
  <c r="D919" i="3"/>
  <c r="C919" i="3"/>
  <c r="K919" i="3" s="1"/>
  <c r="B919" i="3"/>
  <c r="A919" i="3"/>
  <c r="J918" i="3"/>
  <c r="I918" i="3"/>
  <c r="H918" i="3"/>
  <c r="G918" i="3"/>
  <c r="F918" i="3"/>
  <c r="E918" i="3"/>
  <c r="D918" i="3"/>
  <c r="C918" i="3"/>
  <c r="K918" i="3" s="1"/>
  <c r="B918" i="3"/>
  <c r="A918" i="3"/>
  <c r="J917" i="3"/>
  <c r="I917" i="3"/>
  <c r="H917" i="3"/>
  <c r="G917" i="3"/>
  <c r="F917" i="3"/>
  <c r="E917" i="3"/>
  <c r="D917" i="3"/>
  <c r="C917" i="3"/>
  <c r="K917" i="3" s="1"/>
  <c r="B917" i="3"/>
  <c r="A917" i="3"/>
  <c r="J916" i="3"/>
  <c r="I916" i="3"/>
  <c r="H916" i="3"/>
  <c r="G916" i="3"/>
  <c r="F916" i="3"/>
  <c r="E916" i="3"/>
  <c r="D916" i="3"/>
  <c r="C916" i="3"/>
  <c r="K916" i="3" s="1"/>
  <c r="B916" i="3"/>
  <c r="A916" i="3"/>
  <c r="J915" i="3"/>
  <c r="I915" i="3"/>
  <c r="H915" i="3"/>
  <c r="G915" i="3"/>
  <c r="F915" i="3"/>
  <c r="E915" i="3"/>
  <c r="D915" i="3"/>
  <c r="C915" i="3"/>
  <c r="K915" i="3" s="1"/>
  <c r="B915" i="3"/>
  <c r="A915" i="3"/>
  <c r="J914" i="3"/>
  <c r="I914" i="3"/>
  <c r="H914" i="3"/>
  <c r="G914" i="3"/>
  <c r="F914" i="3"/>
  <c r="E914" i="3"/>
  <c r="D914" i="3"/>
  <c r="C914" i="3"/>
  <c r="K914" i="3" s="1"/>
  <c r="B914" i="3"/>
  <c r="A914" i="3"/>
  <c r="J913" i="3"/>
  <c r="I913" i="3"/>
  <c r="H913" i="3"/>
  <c r="G913" i="3"/>
  <c r="F913" i="3"/>
  <c r="E913" i="3"/>
  <c r="D913" i="3"/>
  <c r="C913" i="3"/>
  <c r="K913" i="3" s="1"/>
  <c r="B913" i="3"/>
  <c r="A913" i="3"/>
  <c r="J912" i="3"/>
  <c r="I912" i="3"/>
  <c r="H912" i="3"/>
  <c r="G912" i="3"/>
  <c r="F912" i="3"/>
  <c r="E912" i="3"/>
  <c r="D912" i="3"/>
  <c r="C912" i="3"/>
  <c r="K912" i="3" s="1"/>
  <c r="B912" i="3"/>
  <c r="A912" i="3"/>
  <c r="J911" i="3"/>
  <c r="I911" i="3"/>
  <c r="H911" i="3"/>
  <c r="G911" i="3"/>
  <c r="F911" i="3"/>
  <c r="E911" i="3"/>
  <c r="D911" i="3"/>
  <c r="C911" i="3"/>
  <c r="K911" i="3" s="1"/>
  <c r="B911" i="3"/>
  <c r="A911" i="3"/>
  <c r="J910" i="3"/>
  <c r="I910" i="3"/>
  <c r="H910" i="3"/>
  <c r="G910" i="3"/>
  <c r="F910" i="3"/>
  <c r="E910" i="3"/>
  <c r="D910" i="3"/>
  <c r="C910" i="3"/>
  <c r="K910" i="3" s="1"/>
  <c r="B910" i="3"/>
  <c r="A910" i="3"/>
  <c r="J909" i="3"/>
  <c r="I909" i="3"/>
  <c r="H909" i="3"/>
  <c r="G909" i="3"/>
  <c r="F909" i="3"/>
  <c r="E909" i="3"/>
  <c r="D909" i="3"/>
  <c r="C909" i="3"/>
  <c r="K909" i="3" s="1"/>
  <c r="B909" i="3"/>
  <c r="A909" i="3"/>
  <c r="J908" i="3"/>
  <c r="I908" i="3"/>
  <c r="H908" i="3"/>
  <c r="G908" i="3"/>
  <c r="F908" i="3"/>
  <c r="E908" i="3"/>
  <c r="D908" i="3"/>
  <c r="C908" i="3"/>
  <c r="K908" i="3" s="1"/>
  <c r="B908" i="3"/>
  <c r="A908" i="3"/>
  <c r="J907" i="3"/>
  <c r="I907" i="3"/>
  <c r="H907" i="3"/>
  <c r="G907" i="3"/>
  <c r="F907" i="3"/>
  <c r="E907" i="3"/>
  <c r="D907" i="3"/>
  <c r="C907" i="3"/>
  <c r="K907" i="3" s="1"/>
  <c r="B907" i="3"/>
  <c r="A907" i="3"/>
  <c r="J906" i="3"/>
  <c r="I906" i="3"/>
  <c r="H906" i="3"/>
  <c r="G906" i="3"/>
  <c r="F906" i="3"/>
  <c r="E906" i="3"/>
  <c r="D906" i="3"/>
  <c r="C906" i="3"/>
  <c r="K906" i="3" s="1"/>
  <c r="B906" i="3"/>
  <c r="A906" i="3"/>
  <c r="J905" i="3"/>
  <c r="I905" i="3"/>
  <c r="H905" i="3"/>
  <c r="G905" i="3"/>
  <c r="F905" i="3"/>
  <c r="E905" i="3"/>
  <c r="D905" i="3"/>
  <c r="C905" i="3"/>
  <c r="K905" i="3" s="1"/>
  <c r="B905" i="3"/>
  <c r="A905" i="3"/>
  <c r="J904" i="3"/>
  <c r="I904" i="3"/>
  <c r="H904" i="3"/>
  <c r="G904" i="3"/>
  <c r="F904" i="3"/>
  <c r="E904" i="3"/>
  <c r="D904" i="3"/>
  <c r="C904" i="3"/>
  <c r="K904" i="3" s="1"/>
  <c r="B904" i="3"/>
  <c r="A904" i="3"/>
  <c r="J903" i="3"/>
  <c r="I903" i="3"/>
  <c r="H903" i="3"/>
  <c r="G903" i="3"/>
  <c r="F903" i="3"/>
  <c r="E903" i="3"/>
  <c r="D903" i="3"/>
  <c r="C903" i="3"/>
  <c r="K903" i="3" s="1"/>
  <c r="B903" i="3"/>
  <c r="A903" i="3"/>
  <c r="J902" i="3"/>
  <c r="I902" i="3"/>
  <c r="H902" i="3"/>
  <c r="G902" i="3"/>
  <c r="F902" i="3"/>
  <c r="E902" i="3"/>
  <c r="D902" i="3"/>
  <c r="C902" i="3"/>
  <c r="K902" i="3" s="1"/>
  <c r="B902" i="3"/>
  <c r="A902" i="3"/>
  <c r="J901" i="3"/>
  <c r="I901" i="3"/>
  <c r="H901" i="3"/>
  <c r="G901" i="3"/>
  <c r="F901" i="3"/>
  <c r="E901" i="3"/>
  <c r="D901" i="3"/>
  <c r="C901" i="3"/>
  <c r="K901" i="3" s="1"/>
  <c r="B901" i="3"/>
  <c r="A901" i="3"/>
  <c r="J900" i="3"/>
  <c r="I900" i="3"/>
  <c r="H900" i="3"/>
  <c r="G900" i="3"/>
  <c r="F900" i="3"/>
  <c r="E900" i="3"/>
  <c r="D900" i="3"/>
  <c r="C900" i="3"/>
  <c r="K900" i="3" s="1"/>
  <c r="B900" i="3"/>
  <c r="A900" i="3"/>
  <c r="J899" i="3"/>
  <c r="I899" i="3"/>
  <c r="H899" i="3"/>
  <c r="G899" i="3"/>
  <c r="F899" i="3"/>
  <c r="E899" i="3"/>
  <c r="D899" i="3"/>
  <c r="C899" i="3"/>
  <c r="K899" i="3" s="1"/>
  <c r="B899" i="3"/>
  <c r="A899" i="3"/>
  <c r="J898" i="3"/>
  <c r="I898" i="3"/>
  <c r="H898" i="3"/>
  <c r="G898" i="3"/>
  <c r="F898" i="3"/>
  <c r="E898" i="3"/>
  <c r="D898" i="3"/>
  <c r="C898" i="3"/>
  <c r="K898" i="3" s="1"/>
  <c r="B898" i="3"/>
  <c r="A898" i="3"/>
  <c r="J897" i="3"/>
  <c r="I897" i="3"/>
  <c r="H897" i="3"/>
  <c r="G897" i="3"/>
  <c r="F897" i="3"/>
  <c r="E897" i="3"/>
  <c r="D897" i="3"/>
  <c r="C897" i="3"/>
  <c r="K897" i="3" s="1"/>
  <c r="B897" i="3"/>
  <c r="A897" i="3"/>
  <c r="J896" i="3"/>
  <c r="I896" i="3"/>
  <c r="H896" i="3"/>
  <c r="G896" i="3"/>
  <c r="F896" i="3"/>
  <c r="E896" i="3"/>
  <c r="D896" i="3"/>
  <c r="C896" i="3"/>
  <c r="K896" i="3" s="1"/>
  <c r="B896" i="3"/>
  <c r="A896" i="3"/>
  <c r="J895" i="3"/>
  <c r="I895" i="3"/>
  <c r="H895" i="3"/>
  <c r="G895" i="3"/>
  <c r="F895" i="3"/>
  <c r="E895" i="3"/>
  <c r="D895" i="3"/>
  <c r="C895" i="3"/>
  <c r="K895" i="3" s="1"/>
  <c r="B895" i="3"/>
  <c r="A895" i="3"/>
  <c r="J894" i="3"/>
  <c r="I894" i="3"/>
  <c r="H894" i="3"/>
  <c r="G894" i="3"/>
  <c r="F894" i="3"/>
  <c r="E894" i="3"/>
  <c r="D894" i="3"/>
  <c r="C894" i="3"/>
  <c r="K894" i="3" s="1"/>
  <c r="B894" i="3"/>
  <c r="A894" i="3"/>
  <c r="J893" i="3"/>
  <c r="I893" i="3"/>
  <c r="H893" i="3"/>
  <c r="G893" i="3"/>
  <c r="F893" i="3"/>
  <c r="E893" i="3"/>
  <c r="D893" i="3"/>
  <c r="C893" i="3"/>
  <c r="K893" i="3" s="1"/>
  <c r="B893" i="3"/>
  <c r="A893" i="3"/>
  <c r="J892" i="3"/>
  <c r="I892" i="3"/>
  <c r="H892" i="3"/>
  <c r="G892" i="3"/>
  <c r="F892" i="3"/>
  <c r="E892" i="3"/>
  <c r="D892" i="3"/>
  <c r="C892" i="3"/>
  <c r="K892" i="3" s="1"/>
  <c r="B892" i="3"/>
  <c r="A892" i="3"/>
  <c r="J891" i="3"/>
  <c r="I891" i="3"/>
  <c r="H891" i="3"/>
  <c r="G891" i="3"/>
  <c r="F891" i="3"/>
  <c r="E891" i="3"/>
  <c r="D891" i="3"/>
  <c r="C891" i="3"/>
  <c r="K891" i="3" s="1"/>
  <c r="B891" i="3"/>
  <c r="A891" i="3"/>
  <c r="J890" i="3"/>
  <c r="I890" i="3"/>
  <c r="H890" i="3"/>
  <c r="G890" i="3"/>
  <c r="F890" i="3"/>
  <c r="E890" i="3"/>
  <c r="D890" i="3"/>
  <c r="C890" i="3"/>
  <c r="K890" i="3" s="1"/>
  <c r="B890" i="3"/>
  <c r="A890" i="3"/>
  <c r="J889" i="3"/>
  <c r="I889" i="3"/>
  <c r="H889" i="3"/>
  <c r="G889" i="3"/>
  <c r="F889" i="3"/>
  <c r="E889" i="3"/>
  <c r="D889" i="3"/>
  <c r="C889" i="3"/>
  <c r="K889" i="3" s="1"/>
  <c r="B889" i="3"/>
  <c r="A889" i="3"/>
  <c r="J888" i="3"/>
  <c r="I888" i="3"/>
  <c r="H888" i="3"/>
  <c r="G888" i="3"/>
  <c r="F888" i="3"/>
  <c r="E888" i="3"/>
  <c r="D888" i="3"/>
  <c r="C888" i="3"/>
  <c r="K888" i="3" s="1"/>
  <c r="B888" i="3"/>
  <c r="A888" i="3"/>
  <c r="J887" i="3"/>
  <c r="I887" i="3"/>
  <c r="H887" i="3"/>
  <c r="G887" i="3"/>
  <c r="F887" i="3"/>
  <c r="E887" i="3"/>
  <c r="D887" i="3"/>
  <c r="C887" i="3"/>
  <c r="K887" i="3" s="1"/>
  <c r="B887" i="3"/>
  <c r="A887" i="3"/>
  <c r="J886" i="3"/>
  <c r="I886" i="3"/>
  <c r="H886" i="3"/>
  <c r="G886" i="3"/>
  <c r="F886" i="3"/>
  <c r="E886" i="3"/>
  <c r="D886" i="3"/>
  <c r="C886" i="3"/>
  <c r="K886" i="3" s="1"/>
  <c r="B886" i="3"/>
  <c r="A886" i="3"/>
  <c r="J885" i="3"/>
  <c r="I885" i="3"/>
  <c r="H885" i="3"/>
  <c r="G885" i="3"/>
  <c r="F885" i="3"/>
  <c r="E885" i="3"/>
  <c r="D885" i="3"/>
  <c r="C885" i="3"/>
  <c r="K885" i="3" s="1"/>
  <c r="B885" i="3"/>
  <c r="A885" i="3"/>
  <c r="J884" i="3"/>
  <c r="I884" i="3"/>
  <c r="H884" i="3"/>
  <c r="G884" i="3"/>
  <c r="F884" i="3"/>
  <c r="E884" i="3"/>
  <c r="D884" i="3"/>
  <c r="C884" i="3"/>
  <c r="K884" i="3" s="1"/>
  <c r="B884" i="3"/>
  <c r="A884" i="3"/>
  <c r="J883" i="3"/>
  <c r="I883" i="3"/>
  <c r="H883" i="3"/>
  <c r="G883" i="3"/>
  <c r="F883" i="3"/>
  <c r="E883" i="3"/>
  <c r="D883" i="3"/>
  <c r="C883" i="3"/>
  <c r="K883" i="3" s="1"/>
  <c r="B883" i="3"/>
  <c r="A883" i="3"/>
  <c r="J882" i="3"/>
  <c r="I882" i="3"/>
  <c r="H882" i="3"/>
  <c r="G882" i="3"/>
  <c r="F882" i="3"/>
  <c r="E882" i="3"/>
  <c r="D882" i="3"/>
  <c r="C882" i="3"/>
  <c r="K882" i="3" s="1"/>
  <c r="B882" i="3"/>
  <c r="A882" i="3"/>
  <c r="J881" i="3"/>
  <c r="I881" i="3"/>
  <c r="H881" i="3"/>
  <c r="G881" i="3"/>
  <c r="F881" i="3"/>
  <c r="E881" i="3"/>
  <c r="D881" i="3"/>
  <c r="C881" i="3"/>
  <c r="K881" i="3" s="1"/>
  <c r="B881" i="3"/>
  <c r="A881" i="3"/>
  <c r="J880" i="3"/>
  <c r="I880" i="3"/>
  <c r="H880" i="3"/>
  <c r="G880" i="3"/>
  <c r="F880" i="3"/>
  <c r="E880" i="3"/>
  <c r="D880" i="3"/>
  <c r="C880" i="3"/>
  <c r="K880" i="3" s="1"/>
  <c r="B880" i="3"/>
  <c r="A880" i="3"/>
  <c r="J879" i="3"/>
  <c r="I879" i="3"/>
  <c r="H879" i="3"/>
  <c r="G879" i="3"/>
  <c r="F879" i="3"/>
  <c r="E879" i="3"/>
  <c r="D879" i="3"/>
  <c r="C879" i="3"/>
  <c r="K879" i="3" s="1"/>
  <c r="B879" i="3"/>
  <c r="A879" i="3"/>
  <c r="J878" i="3"/>
  <c r="I878" i="3"/>
  <c r="H878" i="3"/>
  <c r="G878" i="3"/>
  <c r="F878" i="3"/>
  <c r="E878" i="3"/>
  <c r="D878" i="3"/>
  <c r="C878" i="3"/>
  <c r="K878" i="3" s="1"/>
  <c r="B878" i="3"/>
  <c r="A878" i="3"/>
  <c r="J877" i="3"/>
  <c r="I877" i="3"/>
  <c r="H877" i="3"/>
  <c r="G877" i="3"/>
  <c r="F877" i="3"/>
  <c r="E877" i="3"/>
  <c r="D877" i="3"/>
  <c r="C877" i="3"/>
  <c r="K877" i="3" s="1"/>
  <c r="B877" i="3"/>
  <c r="A877" i="3"/>
  <c r="J876" i="3"/>
  <c r="I876" i="3"/>
  <c r="H876" i="3"/>
  <c r="G876" i="3"/>
  <c r="F876" i="3"/>
  <c r="E876" i="3"/>
  <c r="D876" i="3"/>
  <c r="C876" i="3"/>
  <c r="K876" i="3" s="1"/>
  <c r="B876" i="3"/>
  <c r="A876" i="3"/>
  <c r="J875" i="3"/>
  <c r="I875" i="3"/>
  <c r="H875" i="3"/>
  <c r="G875" i="3"/>
  <c r="F875" i="3"/>
  <c r="E875" i="3"/>
  <c r="D875" i="3"/>
  <c r="C875" i="3"/>
  <c r="K875" i="3" s="1"/>
  <c r="B875" i="3"/>
  <c r="A875" i="3"/>
  <c r="J874" i="3"/>
  <c r="I874" i="3"/>
  <c r="H874" i="3"/>
  <c r="G874" i="3"/>
  <c r="F874" i="3"/>
  <c r="E874" i="3"/>
  <c r="D874" i="3"/>
  <c r="C874" i="3"/>
  <c r="K874" i="3" s="1"/>
  <c r="B874" i="3"/>
  <c r="A874" i="3"/>
  <c r="J873" i="3"/>
  <c r="I873" i="3"/>
  <c r="H873" i="3"/>
  <c r="G873" i="3"/>
  <c r="F873" i="3"/>
  <c r="E873" i="3"/>
  <c r="D873" i="3"/>
  <c r="C873" i="3"/>
  <c r="K873" i="3" s="1"/>
  <c r="B873" i="3"/>
  <c r="A873" i="3"/>
  <c r="J872" i="3"/>
  <c r="I872" i="3"/>
  <c r="H872" i="3"/>
  <c r="G872" i="3"/>
  <c r="F872" i="3"/>
  <c r="E872" i="3"/>
  <c r="D872" i="3"/>
  <c r="C872" i="3"/>
  <c r="K872" i="3" s="1"/>
  <c r="B872" i="3"/>
  <c r="A872" i="3"/>
  <c r="J871" i="3"/>
  <c r="I871" i="3"/>
  <c r="H871" i="3"/>
  <c r="G871" i="3"/>
  <c r="F871" i="3"/>
  <c r="E871" i="3"/>
  <c r="D871" i="3"/>
  <c r="C871" i="3"/>
  <c r="K871" i="3" s="1"/>
  <c r="B871" i="3"/>
  <c r="A871" i="3"/>
  <c r="J870" i="3"/>
  <c r="I870" i="3"/>
  <c r="H870" i="3"/>
  <c r="G870" i="3"/>
  <c r="F870" i="3"/>
  <c r="E870" i="3"/>
  <c r="D870" i="3"/>
  <c r="C870" i="3"/>
  <c r="K870" i="3" s="1"/>
  <c r="B870" i="3"/>
  <c r="A870" i="3"/>
  <c r="J869" i="3"/>
  <c r="I869" i="3"/>
  <c r="H869" i="3"/>
  <c r="G869" i="3"/>
  <c r="F869" i="3"/>
  <c r="E869" i="3"/>
  <c r="D869" i="3"/>
  <c r="C869" i="3"/>
  <c r="K869" i="3" s="1"/>
  <c r="B869" i="3"/>
  <c r="A869" i="3"/>
  <c r="J868" i="3"/>
  <c r="I868" i="3"/>
  <c r="H868" i="3"/>
  <c r="G868" i="3"/>
  <c r="F868" i="3"/>
  <c r="E868" i="3"/>
  <c r="D868" i="3"/>
  <c r="C868" i="3"/>
  <c r="K868" i="3" s="1"/>
  <c r="B868" i="3"/>
  <c r="A868" i="3"/>
  <c r="J867" i="3"/>
  <c r="I867" i="3"/>
  <c r="H867" i="3"/>
  <c r="G867" i="3"/>
  <c r="F867" i="3"/>
  <c r="E867" i="3"/>
  <c r="D867" i="3"/>
  <c r="C867" i="3"/>
  <c r="K867" i="3" s="1"/>
  <c r="B867" i="3"/>
  <c r="A867" i="3"/>
  <c r="J866" i="3"/>
  <c r="I866" i="3"/>
  <c r="H866" i="3"/>
  <c r="G866" i="3"/>
  <c r="F866" i="3"/>
  <c r="E866" i="3"/>
  <c r="D866" i="3"/>
  <c r="C866" i="3"/>
  <c r="K866" i="3" s="1"/>
  <c r="B866" i="3"/>
  <c r="A866" i="3"/>
  <c r="J865" i="3"/>
  <c r="I865" i="3"/>
  <c r="H865" i="3"/>
  <c r="G865" i="3"/>
  <c r="F865" i="3"/>
  <c r="E865" i="3"/>
  <c r="D865" i="3"/>
  <c r="C865" i="3"/>
  <c r="K865" i="3" s="1"/>
  <c r="B865" i="3"/>
  <c r="A865" i="3"/>
  <c r="J864" i="3"/>
  <c r="I864" i="3"/>
  <c r="H864" i="3"/>
  <c r="G864" i="3"/>
  <c r="F864" i="3"/>
  <c r="E864" i="3"/>
  <c r="D864" i="3"/>
  <c r="C864" i="3"/>
  <c r="K864" i="3" s="1"/>
  <c r="B864" i="3"/>
  <c r="A864" i="3"/>
  <c r="J863" i="3"/>
  <c r="I863" i="3"/>
  <c r="H863" i="3"/>
  <c r="G863" i="3"/>
  <c r="F863" i="3"/>
  <c r="E863" i="3"/>
  <c r="D863" i="3"/>
  <c r="C863" i="3"/>
  <c r="K863" i="3" s="1"/>
  <c r="B863" i="3"/>
  <c r="A863" i="3"/>
  <c r="J862" i="3"/>
  <c r="I862" i="3"/>
  <c r="H862" i="3"/>
  <c r="G862" i="3"/>
  <c r="F862" i="3"/>
  <c r="E862" i="3"/>
  <c r="D862" i="3"/>
  <c r="C862" i="3"/>
  <c r="K862" i="3" s="1"/>
  <c r="B862" i="3"/>
  <c r="A862" i="3"/>
  <c r="J861" i="3"/>
  <c r="I861" i="3"/>
  <c r="H861" i="3"/>
  <c r="G861" i="3"/>
  <c r="F861" i="3"/>
  <c r="E861" i="3"/>
  <c r="D861" i="3"/>
  <c r="C861" i="3"/>
  <c r="K861" i="3" s="1"/>
  <c r="B861" i="3"/>
  <c r="A861" i="3"/>
  <c r="J860" i="3"/>
  <c r="I860" i="3"/>
  <c r="H860" i="3"/>
  <c r="G860" i="3"/>
  <c r="F860" i="3"/>
  <c r="E860" i="3"/>
  <c r="D860" i="3"/>
  <c r="C860" i="3"/>
  <c r="K860" i="3" s="1"/>
  <c r="B860" i="3"/>
  <c r="A860" i="3"/>
  <c r="J859" i="3"/>
  <c r="I859" i="3"/>
  <c r="H859" i="3"/>
  <c r="G859" i="3"/>
  <c r="F859" i="3"/>
  <c r="E859" i="3"/>
  <c r="D859" i="3"/>
  <c r="C859" i="3"/>
  <c r="K859" i="3" s="1"/>
  <c r="B859" i="3"/>
  <c r="A859" i="3"/>
  <c r="J858" i="3"/>
  <c r="I858" i="3"/>
  <c r="H858" i="3"/>
  <c r="G858" i="3"/>
  <c r="F858" i="3"/>
  <c r="E858" i="3"/>
  <c r="D858" i="3"/>
  <c r="C858" i="3"/>
  <c r="K858" i="3" s="1"/>
  <c r="B858" i="3"/>
  <c r="A858" i="3"/>
  <c r="J857" i="3"/>
  <c r="I857" i="3"/>
  <c r="H857" i="3"/>
  <c r="G857" i="3"/>
  <c r="F857" i="3"/>
  <c r="E857" i="3"/>
  <c r="D857" i="3"/>
  <c r="C857" i="3"/>
  <c r="K857" i="3" s="1"/>
  <c r="B857" i="3"/>
  <c r="A857" i="3"/>
  <c r="J856" i="3"/>
  <c r="I856" i="3"/>
  <c r="H856" i="3"/>
  <c r="G856" i="3"/>
  <c r="F856" i="3"/>
  <c r="E856" i="3"/>
  <c r="D856" i="3"/>
  <c r="C856" i="3"/>
  <c r="K856" i="3" s="1"/>
  <c r="B856" i="3"/>
  <c r="A856" i="3"/>
  <c r="J855" i="3"/>
  <c r="I855" i="3"/>
  <c r="H855" i="3"/>
  <c r="G855" i="3"/>
  <c r="F855" i="3"/>
  <c r="E855" i="3"/>
  <c r="D855" i="3"/>
  <c r="C855" i="3"/>
  <c r="K855" i="3" s="1"/>
  <c r="B855" i="3"/>
  <c r="A855" i="3"/>
  <c r="J854" i="3"/>
  <c r="I854" i="3"/>
  <c r="H854" i="3"/>
  <c r="G854" i="3"/>
  <c r="F854" i="3"/>
  <c r="E854" i="3"/>
  <c r="D854" i="3"/>
  <c r="C854" i="3"/>
  <c r="K854" i="3" s="1"/>
  <c r="B854" i="3"/>
  <c r="A854" i="3"/>
  <c r="J853" i="3"/>
  <c r="I853" i="3"/>
  <c r="H853" i="3"/>
  <c r="G853" i="3"/>
  <c r="F853" i="3"/>
  <c r="E853" i="3"/>
  <c r="D853" i="3"/>
  <c r="C853" i="3"/>
  <c r="K853" i="3" s="1"/>
  <c r="B853" i="3"/>
  <c r="A853" i="3"/>
  <c r="J852" i="3"/>
  <c r="I852" i="3"/>
  <c r="H852" i="3"/>
  <c r="G852" i="3"/>
  <c r="F852" i="3"/>
  <c r="E852" i="3"/>
  <c r="D852" i="3"/>
  <c r="C852" i="3"/>
  <c r="K852" i="3" s="1"/>
  <c r="B852" i="3"/>
  <c r="A852" i="3"/>
  <c r="J851" i="3"/>
  <c r="I851" i="3"/>
  <c r="H851" i="3"/>
  <c r="G851" i="3"/>
  <c r="F851" i="3"/>
  <c r="E851" i="3"/>
  <c r="D851" i="3"/>
  <c r="C851" i="3"/>
  <c r="K851" i="3" s="1"/>
  <c r="B851" i="3"/>
  <c r="A851" i="3"/>
  <c r="J850" i="3"/>
  <c r="I850" i="3"/>
  <c r="H850" i="3"/>
  <c r="G850" i="3"/>
  <c r="F850" i="3"/>
  <c r="E850" i="3"/>
  <c r="D850" i="3"/>
  <c r="C850" i="3"/>
  <c r="K850" i="3" s="1"/>
  <c r="B850" i="3"/>
  <c r="A850" i="3"/>
  <c r="J849" i="3"/>
  <c r="I849" i="3"/>
  <c r="H849" i="3"/>
  <c r="G849" i="3"/>
  <c r="F849" i="3"/>
  <c r="E849" i="3"/>
  <c r="D849" i="3"/>
  <c r="C849" i="3"/>
  <c r="K849" i="3" s="1"/>
  <c r="B849" i="3"/>
  <c r="A849" i="3"/>
  <c r="J848" i="3"/>
  <c r="I848" i="3"/>
  <c r="H848" i="3"/>
  <c r="G848" i="3"/>
  <c r="F848" i="3"/>
  <c r="E848" i="3"/>
  <c r="D848" i="3"/>
  <c r="C848" i="3"/>
  <c r="K848" i="3" s="1"/>
  <c r="B848" i="3"/>
  <c r="A848" i="3"/>
  <c r="J847" i="3"/>
  <c r="I847" i="3"/>
  <c r="H847" i="3"/>
  <c r="G847" i="3"/>
  <c r="F847" i="3"/>
  <c r="E847" i="3"/>
  <c r="D847" i="3"/>
  <c r="C847" i="3"/>
  <c r="K847" i="3" s="1"/>
  <c r="B847" i="3"/>
  <c r="A847" i="3"/>
  <c r="J846" i="3"/>
  <c r="I846" i="3"/>
  <c r="H846" i="3"/>
  <c r="G846" i="3"/>
  <c r="F846" i="3"/>
  <c r="E846" i="3"/>
  <c r="D846" i="3"/>
  <c r="C846" i="3"/>
  <c r="K846" i="3" s="1"/>
  <c r="B846" i="3"/>
  <c r="A846" i="3"/>
  <c r="J845" i="3"/>
  <c r="I845" i="3"/>
  <c r="H845" i="3"/>
  <c r="G845" i="3"/>
  <c r="F845" i="3"/>
  <c r="E845" i="3"/>
  <c r="D845" i="3"/>
  <c r="C845" i="3"/>
  <c r="K845" i="3" s="1"/>
  <c r="B845" i="3"/>
  <c r="A845" i="3"/>
  <c r="J844" i="3"/>
  <c r="I844" i="3"/>
  <c r="H844" i="3"/>
  <c r="G844" i="3"/>
  <c r="F844" i="3"/>
  <c r="E844" i="3"/>
  <c r="D844" i="3"/>
  <c r="C844" i="3"/>
  <c r="K844" i="3" s="1"/>
  <c r="B844" i="3"/>
  <c r="A844" i="3"/>
  <c r="J843" i="3"/>
  <c r="I843" i="3"/>
  <c r="H843" i="3"/>
  <c r="G843" i="3"/>
  <c r="F843" i="3"/>
  <c r="E843" i="3"/>
  <c r="D843" i="3"/>
  <c r="C843" i="3"/>
  <c r="K843" i="3" s="1"/>
  <c r="B843" i="3"/>
  <c r="A843" i="3"/>
  <c r="J842" i="3"/>
  <c r="I842" i="3"/>
  <c r="H842" i="3"/>
  <c r="G842" i="3"/>
  <c r="F842" i="3"/>
  <c r="E842" i="3"/>
  <c r="D842" i="3"/>
  <c r="C842" i="3"/>
  <c r="K842" i="3" s="1"/>
  <c r="B842" i="3"/>
  <c r="A842" i="3"/>
  <c r="J841" i="3"/>
  <c r="I841" i="3"/>
  <c r="H841" i="3"/>
  <c r="G841" i="3"/>
  <c r="F841" i="3"/>
  <c r="E841" i="3"/>
  <c r="D841" i="3"/>
  <c r="C841" i="3"/>
  <c r="K841" i="3" s="1"/>
  <c r="B841" i="3"/>
  <c r="A841" i="3"/>
  <c r="J840" i="3"/>
  <c r="I840" i="3"/>
  <c r="H840" i="3"/>
  <c r="G840" i="3"/>
  <c r="F840" i="3"/>
  <c r="E840" i="3"/>
  <c r="D840" i="3"/>
  <c r="C840" i="3"/>
  <c r="K840" i="3" s="1"/>
  <c r="B840" i="3"/>
  <c r="A840" i="3"/>
  <c r="J839" i="3"/>
  <c r="I839" i="3"/>
  <c r="H839" i="3"/>
  <c r="G839" i="3"/>
  <c r="F839" i="3"/>
  <c r="E839" i="3"/>
  <c r="D839" i="3"/>
  <c r="C839" i="3"/>
  <c r="K839" i="3" s="1"/>
  <c r="B839" i="3"/>
  <c r="A839" i="3"/>
  <c r="J838" i="3"/>
  <c r="I838" i="3"/>
  <c r="H838" i="3"/>
  <c r="G838" i="3"/>
  <c r="F838" i="3"/>
  <c r="E838" i="3"/>
  <c r="D838" i="3"/>
  <c r="C838" i="3"/>
  <c r="K838" i="3" s="1"/>
  <c r="B838" i="3"/>
  <c r="A838" i="3"/>
  <c r="J837" i="3"/>
  <c r="I837" i="3"/>
  <c r="H837" i="3"/>
  <c r="G837" i="3"/>
  <c r="F837" i="3"/>
  <c r="E837" i="3"/>
  <c r="D837" i="3"/>
  <c r="C837" i="3"/>
  <c r="K837" i="3" s="1"/>
  <c r="B837" i="3"/>
  <c r="A837" i="3"/>
  <c r="J836" i="3"/>
  <c r="I836" i="3"/>
  <c r="H836" i="3"/>
  <c r="G836" i="3"/>
  <c r="F836" i="3"/>
  <c r="E836" i="3"/>
  <c r="D836" i="3"/>
  <c r="C836" i="3"/>
  <c r="K836" i="3" s="1"/>
  <c r="B836" i="3"/>
  <c r="A836" i="3"/>
  <c r="J835" i="3"/>
  <c r="I835" i="3"/>
  <c r="H835" i="3"/>
  <c r="G835" i="3"/>
  <c r="F835" i="3"/>
  <c r="E835" i="3"/>
  <c r="D835" i="3"/>
  <c r="C835" i="3"/>
  <c r="K835" i="3" s="1"/>
  <c r="B835" i="3"/>
  <c r="A835" i="3"/>
  <c r="J834" i="3"/>
  <c r="I834" i="3"/>
  <c r="H834" i="3"/>
  <c r="G834" i="3"/>
  <c r="F834" i="3"/>
  <c r="E834" i="3"/>
  <c r="D834" i="3"/>
  <c r="C834" i="3"/>
  <c r="K834" i="3" s="1"/>
  <c r="B834" i="3"/>
  <c r="A834" i="3"/>
  <c r="J833" i="3"/>
  <c r="I833" i="3"/>
  <c r="H833" i="3"/>
  <c r="G833" i="3"/>
  <c r="F833" i="3"/>
  <c r="E833" i="3"/>
  <c r="D833" i="3"/>
  <c r="C833" i="3"/>
  <c r="K833" i="3" s="1"/>
  <c r="B833" i="3"/>
  <c r="A833" i="3"/>
  <c r="J832" i="3"/>
  <c r="I832" i="3"/>
  <c r="H832" i="3"/>
  <c r="G832" i="3"/>
  <c r="F832" i="3"/>
  <c r="E832" i="3"/>
  <c r="D832" i="3"/>
  <c r="C832" i="3"/>
  <c r="K832" i="3" s="1"/>
  <c r="B832" i="3"/>
  <c r="A832" i="3"/>
  <c r="J831" i="3"/>
  <c r="I831" i="3"/>
  <c r="H831" i="3"/>
  <c r="G831" i="3"/>
  <c r="F831" i="3"/>
  <c r="E831" i="3"/>
  <c r="D831" i="3"/>
  <c r="C831" i="3"/>
  <c r="K831" i="3" s="1"/>
  <c r="B831" i="3"/>
  <c r="A831" i="3"/>
  <c r="J830" i="3"/>
  <c r="I830" i="3"/>
  <c r="H830" i="3"/>
  <c r="G830" i="3"/>
  <c r="F830" i="3"/>
  <c r="E830" i="3"/>
  <c r="D830" i="3"/>
  <c r="C830" i="3"/>
  <c r="K830" i="3" s="1"/>
  <c r="B830" i="3"/>
  <c r="A830" i="3"/>
  <c r="J829" i="3"/>
  <c r="I829" i="3"/>
  <c r="H829" i="3"/>
  <c r="G829" i="3"/>
  <c r="F829" i="3"/>
  <c r="E829" i="3"/>
  <c r="D829" i="3"/>
  <c r="C829" i="3"/>
  <c r="K829" i="3" s="1"/>
  <c r="B829" i="3"/>
  <c r="A829" i="3"/>
  <c r="J828" i="3"/>
  <c r="I828" i="3"/>
  <c r="H828" i="3"/>
  <c r="G828" i="3"/>
  <c r="F828" i="3"/>
  <c r="E828" i="3"/>
  <c r="D828" i="3"/>
  <c r="C828" i="3"/>
  <c r="K828" i="3" s="1"/>
  <c r="B828" i="3"/>
  <c r="A828" i="3"/>
  <c r="J827" i="3"/>
  <c r="I827" i="3"/>
  <c r="H827" i="3"/>
  <c r="G827" i="3"/>
  <c r="F827" i="3"/>
  <c r="E827" i="3"/>
  <c r="D827" i="3"/>
  <c r="C827" i="3"/>
  <c r="K827" i="3" s="1"/>
  <c r="B827" i="3"/>
  <c r="A827" i="3"/>
  <c r="J826" i="3"/>
  <c r="I826" i="3"/>
  <c r="H826" i="3"/>
  <c r="G826" i="3"/>
  <c r="F826" i="3"/>
  <c r="E826" i="3"/>
  <c r="D826" i="3"/>
  <c r="C826" i="3"/>
  <c r="K826" i="3" s="1"/>
  <c r="B826" i="3"/>
  <c r="A826" i="3"/>
  <c r="J825" i="3"/>
  <c r="I825" i="3"/>
  <c r="H825" i="3"/>
  <c r="G825" i="3"/>
  <c r="F825" i="3"/>
  <c r="E825" i="3"/>
  <c r="D825" i="3"/>
  <c r="C825" i="3"/>
  <c r="K825" i="3" s="1"/>
  <c r="B825" i="3"/>
  <c r="A825" i="3"/>
  <c r="J824" i="3"/>
  <c r="I824" i="3"/>
  <c r="H824" i="3"/>
  <c r="G824" i="3"/>
  <c r="F824" i="3"/>
  <c r="E824" i="3"/>
  <c r="D824" i="3"/>
  <c r="C824" i="3"/>
  <c r="K824" i="3" s="1"/>
  <c r="B824" i="3"/>
  <c r="A824" i="3"/>
  <c r="J823" i="3"/>
  <c r="I823" i="3"/>
  <c r="H823" i="3"/>
  <c r="G823" i="3"/>
  <c r="F823" i="3"/>
  <c r="E823" i="3"/>
  <c r="D823" i="3"/>
  <c r="C823" i="3"/>
  <c r="K823" i="3" s="1"/>
  <c r="B823" i="3"/>
  <c r="A823" i="3"/>
  <c r="J822" i="3"/>
  <c r="I822" i="3"/>
  <c r="H822" i="3"/>
  <c r="G822" i="3"/>
  <c r="F822" i="3"/>
  <c r="E822" i="3"/>
  <c r="D822" i="3"/>
  <c r="C822" i="3"/>
  <c r="K822" i="3" s="1"/>
  <c r="B822" i="3"/>
  <c r="A822" i="3"/>
  <c r="J821" i="3"/>
  <c r="I821" i="3"/>
  <c r="H821" i="3"/>
  <c r="G821" i="3"/>
  <c r="F821" i="3"/>
  <c r="E821" i="3"/>
  <c r="D821" i="3"/>
  <c r="C821" i="3"/>
  <c r="K821" i="3" s="1"/>
  <c r="B821" i="3"/>
  <c r="A821" i="3"/>
  <c r="J820" i="3"/>
  <c r="I820" i="3"/>
  <c r="H820" i="3"/>
  <c r="G820" i="3"/>
  <c r="F820" i="3"/>
  <c r="E820" i="3"/>
  <c r="D820" i="3"/>
  <c r="C820" i="3"/>
  <c r="K820" i="3" s="1"/>
  <c r="B820" i="3"/>
  <c r="A820" i="3"/>
  <c r="J819" i="3"/>
  <c r="I819" i="3"/>
  <c r="H819" i="3"/>
  <c r="G819" i="3"/>
  <c r="F819" i="3"/>
  <c r="E819" i="3"/>
  <c r="D819" i="3"/>
  <c r="C819" i="3"/>
  <c r="K819" i="3" s="1"/>
  <c r="B819" i="3"/>
  <c r="A819" i="3"/>
  <c r="J818" i="3"/>
  <c r="I818" i="3"/>
  <c r="H818" i="3"/>
  <c r="G818" i="3"/>
  <c r="F818" i="3"/>
  <c r="E818" i="3"/>
  <c r="D818" i="3"/>
  <c r="C818" i="3"/>
  <c r="K818" i="3" s="1"/>
  <c r="B818" i="3"/>
  <c r="A818" i="3"/>
  <c r="J817" i="3"/>
  <c r="I817" i="3"/>
  <c r="H817" i="3"/>
  <c r="G817" i="3"/>
  <c r="F817" i="3"/>
  <c r="E817" i="3"/>
  <c r="D817" i="3"/>
  <c r="C817" i="3"/>
  <c r="K817" i="3" s="1"/>
  <c r="B817" i="3"/>
  <c r="A817" i="3"/>
  <c r="J816" i="3"/>
  <c r="I816" i="3"/>
  <c r="H816" i="3"/>
  <c r="G816" i="3"/>
  <c r="F816" i="3"/>
  <c r="E816" i="3"/>
  <c r="D816" i="3"/>
  <c r="C816" i="3"/>
  <c r="K816" i="3" s="1"/>
  <c r="B816" i="3"/>
  <c r="A816" i="3"/>
  <c r="J815" i="3"/>
  <c r="I815" i="3"/>
  <c r="H815" i="3"/>
  <c r="G815" i="3"/>
  <c r="F815" i="3"/>
  <c r="E815" i="3"/>
  <c r="D815" i="3"/>
  <c r="C815" i="3"/>
  <c r="K815" i="3" s="1"/>
  <c r="B815" i="3"/>
  <c r="A815" i="3"/>
  <c r="J814" i="3"/>
  <c r="I814" i="3"/>
  <c r="H814" i="3"/>
  <c r="G814" i="3"/>
  <c r="F814" i="3"/>
  <c r="E814" i="3"/>
  <c r="D814" i="3"/>
  <c r="C814" i="3"/>
  <c r="K814" i="3" s="1"/>
  <c r="B814" i="3"/>
  <c r="A814" i="3"/>
  <c r="J813" i="3"/>
  <c r="I813" i="3"/>
  <c r="H813" i="3"/>
  <c r="G813" i="3"/>
  <c r="F813" i="3"/>
  <c r="E813" i="3"/>
  <c r="D813" i="3"/>
  <c r="C813" i="3"/>
  <c r="K813" i="3" s="1"/>
  <c r="B813" i="3"/>
  <c r="A813" i="3"/>
  <c r="J812" i="3"/>
  <c r="I812" i="3"/>
  <c r="H812" i="3"/>
  <c r="G812" i="3"/>
  <c r="F812" i="3"/>
  <c r="E812" i="3"/>
  <c r="D812" i="3"/>
  <c r="C812" i="3"/>
  <c r="K812" i="3" s="1"/>
  <c r="B812" i="3"/>
  <c r="A812" i="3"/>
  <c r="J811" i="3"/>
  <c r="I811" i="3"/>
  <c r="H811" i="3"/>
  <c r="G811" i="3"/>
  <c r="F811" i="3"/>
  <c r="E811" i="3"/>
  <c r="D811" i="3"/>
  <c r="C811" i="3"/>
  <c r="K811" i="3" s="1"/>
  <c r="B811" i="3"/>
  <c r="A811" i="3"/>
  <c r="J810" i="3"/>
  <c r="I810" i="3"/>
  <c r="H810" i="3"/>
  <c r="G810" i="3"/>
  <c r="F810" i="3"/>
  <c r="E810" i="3"/>
  <c r="D810" i="3"/>
  <c r="C810" i="3"/>
  <c r="K810" i="3" s="1"/>
  <c r="B810" i="3"/>
  <c r="A810" i="3"/>
  <c r="J809" i="3"/>
  <c r="I809" i="3"/>
  <c r="H809" i="3"/>
  <c r="G809" i="3"/>
  <c r="F809" i="3"/>
  <c r="E809" i="3"/>
  <c r="D809" i="3"/>
  <c r="C809" i="3"/>
  <c r="K809" i="3" s="1"/>
  <c r="B809" i="3"/>
  <c r="A809" i="3"/>
  <c r="J808" i="3"/>
  <c r="I808" i="3"/>
  <c r="H808" i="3"/>
  <c r="G808" i="3"/>
  <c r="F808" i="3"/>
  <c r="E808" i="3"/>
  <c r="D808" i="3"/>
  <c r="C808" i="3"/>
  <c r="K808" i="3" s="1"/>
  <c r="B808" i="3"/>
  <c r="A808" i="3"/>
  <c r="J807" i="3"/>
  <c r="I807" i="3"/>
  <c r="H807" i="3"/>
  <c r="G807" i="3"/>
  <c r="F807" i="3"/>
  <c r="E807" i="3"/>
  <c r="D807" i="3"/>
  <c r="C807" i="3"/>
  <c r="K807" i="3" s="1"/>
  <c r="B807" i="3"/>
  <c r="A807" i="3"/>
  <c r="J806" i="3"/>
  <c r="I806" i="3"/>
  <c r="H806" i="3"/>
  <c r="G806" i="3"/>
  <c r="F806" i="3"/>
  <c r="E806" i="3"/>
  <c r="D806" i="3"/>
  <c r="C806" i="3"/>
  <c r="K806" i="3" s="1"/>
  <c r="B806" i="3"/>
  <c r="A806" i="3"/>
  <c r="J805" i="3"/>
  <c r="I805" i="3"/>
  <c r="H805" i="3"/>
  <c r="G805" i="3"/>
  <c r="F805" i="3"/>
  <c r="E805" i="3"/>
  <c r="D805" i="3"/>
  <c r="C805" i="3"/>
  <c r="K805" i="3" s="1"/>
  <c r="B805" i="3"/>
  <c r="A805" i="3"/>
  <c r="J804" i="3"/>
  <c r="I804" i="3"/>
  <c r="H804" i="3"/>
  <c r="G804" i="3"/>
  <c r="F804" i="3"/>
  <c r="E804" i="3"/>
  <c r="D804" i="3"/>
  <c r="C804" i="3"/>
  <c r="K804" i="3" s="1"/>
  <c r="B804" i="3"/>
  <c r="A804" i="3"/>
  <c r="J803" i="3"/>
  <c r="I803" i="3"/>
  <c r="H803" i="3"/>
  <c r="G803" i="3"/>
  <c r="F803" i="3"/>
  <c r="E803" i="3"/>
  <c r="D803" i="3"/>
  <c r="C803" i="3"/>
  <c r="K803" i="3" s="1"/>
  <c r="B803" i="3"/>
  <c r="A803" i="3"/>
  <c r="J802" i="3"/>
  <c r="I802" i="3"/>
  <c r="H802" i="3"/>
  <c r="G802" i="3"/>
  <c r="F802" i="3"/>
  <c r="E802" i="3"/>
  <c r="D802" i="3"/>
  <c r="C802" i="3"/>
  <c r="K802" i="3" s="1"/>
  <c r="B802" i="3"/>
  <c r="A802" i="3"/>
  <c r="J801" i="3"/>
  <c r="I801" i="3"/>
  <c r="H801" i="3"/>
  <c r="G801" i="3"/>
  <c r="F801" i="3"/>
  <c r="E801" i="3"/>
  <c r="D801" i="3"/>
  <c r="C801" i="3"/>
  <c r="K801" i="3" s="1"/>
  <c r="B801" i="3"/>
  <c r="A801" i="3"/>
  <c r="J800" i="3"/>
  <c r="I800" i="3"/>
  <c r="H800" i="3"/>
  <c r="G800" i="3"/>
  <c r="F800" i="3"/>
  <c r="E800" i="3"/>
  <c r="D800" i="3"/>
  <c r="C800" i="3"/>
  <c r="K800" i="3" s="1"/>
  <c r="B800" i="3"/>
  <c r="A800" i="3"/>
  <c r="J799" i="3"/>
  <c r="I799" i="3"/>
  <c r="H799" i="3"/>
  <c r="G799" i="3"/>
  <c r="F799" i="3"/>
  <c r="E799" i="3"/>
  <c r="D799" i="3"/>
  <c r="C799" i="3"/>
  <c r="K799" i="3" s="1"/>
  <c r="B799" i="3"/>
  <c r="A799" i="3"/>
  <c r="J798" i="3"/>
  <c r="I798" i="3"/>
  <c r="H798" i="3"/>
  <c r="G798" i="3"/>
  <c r="F798" i="3"/>
  <c r="E798" i="3"/>
  <c r="D798" i="3"/>
  <c r="C798" i="3"/>
  <c r="K798" i="3" s="1"/>
  <c r="B798" i="3"/>
  <c r="A798" i="3"/>
  <c r="J797" i="3"/>
  <c r="I797" i="3"/>
  <c r="H797" i="3"/>
  <c r="G797" i="3"/>
  <c r="F797" i="3"/>
  <c r="E797" i="3"/>
  <c r="D797" i="3"/>
  <c r="C797" i="3"/>
  <c r="K797" i="3" s="1"/>
  <c r="B797" i="3"/>
  <c r="A797" i="3"/>
  <c r="K796" i="3"/>
  <c r="J796" i="3"/>
  <c r="I796" i="3"/>
  <c r="H796" i="3"/>
  <c r="G796" i="3"/>
  <c r="F796" i="3"/>
  <c r="E796" i="3"/>
  <c r="D796" i="3"/>
  <c r="C796" i="3"/>
  <c r="B796" i="3"/>
  <c r="A796" i="3"/>
  <c r="J795" i="3"/>
  <c r="I795" i="3"/>
  <c r="H795" i="3"/>
  <c r="G795" i="3"/>
  <c r="F795" i="3"/>
  <c r="E795" i="3"/>
  <c r="D795" i="3"/>
  <c r="C795" i="3"/>
  <c r="K795" i="3" s="1"/>
  <c r="B795" i="3"/>
  <c r="A795" i="3"/>
  <c r="J794" i="3"/>
  <c r="I794" i="3"/>
  <c r="H794" i="3"/>
  <c r="G794" i="3"/>
  <c r="F794" i="3"/>
  <c r="E794" i="3"/>
  <c r="D794" i="3"/>
  <c r="C794" i="3"/>
  <c r="K794" i="3" s="1"/>
  <c r="B794" i="3"/>
  <c r="A794" i="3"/>
  <c r="J793" i="3"/>
  <c r="I793" i="3"/>
  <c r="H793" i="3"/>
  <c r="G793" i="3"/>
  <c r="F793" i="3"/>
  <c r="E793" i="3"/>
  <c r="D793" i="3"/>
  <c r="C793" i="3"/>
  <c r="K793" i="3" s="1"/>
  <c r="B793" i="3"/>
  <c r="A793" i="3"/>
  <c r="J792" i="3"/>
  <c r="I792" i="3"/>
  <c r="H792" i="3"/>
  <c r="G792" i="3"/>
  <c r="F792" i="3"/>
  <c r="E792" i="3"/>
  <c r="D792" i="3"/>
  <c r="C792" i="3"/>
  <c r="K792" i="3" s="1"/>
  <c r="B792" i="3"/>
  <c r="A792" i="3"/>
  <c r="J791" i="3"/>
  <c r="I791" i="3"/>
  <c r="H791" i="3"/>
  <c r="G791" i="3"/>
  <c r="F791" i="3"/>
  <c r="E791" i="3"/>
  <c r="D791" i="3"/>
  <c r="C791" i="3"/>
  <c r="K791" i="3" s="1"/>
  <c r="B791" i="3"/>
  <c r="A791" i="3"/>
  <c r="J790" i="3"/>
  <c r="I790" i="3"/>
  <c r="H790" i="3"/>
  <c r="G790" i="3"/>
  <c r="F790" i="3"/>
  <c r="E790" i="3"/>
  <c r="D790" i="3"/>
  <c r="C790" i="3"/>
  <c r="K790" i="3" s="1"/>
  <c r="B790" i="3"/>
  <c r="A790" i="3"/>
  <c r="J789" i="3"/>
  <c r="I789" i="3"/>
  <c r="H789" i="3"/>
  <c r="G789" i="3"/>
  <c r="F789" i="3"/>
  <c r="E789" i="3"/>
  <c r="D789" i="3"/>
  <c r="C789" i="3"/>
  <c r="K789" i="3" s="1"/>
  <c r="B789" i="3"/>
  <c r="A789" i="3"/>
  <c r="J788" i="3"/>
  <c r="I788" i="3"/>
  <c r="H788" i="3"/>
  <c r="G788" i="3"/>
  <c r="F788" i="3"/>
  <c r="E788" i="3"/>
  <c r="D788" i="3"/>
  <c r="C788" i="3"/>
  <c r="K788" i="3" s="1"/>
  <c r="B788" i="3"/>
  <c r="A788" i="3"/>
  <c r="J787" i="3"/>
  <c r="I787" i="3"/>
  <c r="H787" i="3"/>
  <c r="G787" i="3"/>
  <c r="F787" i="3"/>
  <c r="E787" i="3"/>
  <c r="D787" i="3"/>
  <c r="C787" i="3"/>
  <c r="K787" i="3" s="1"/>
  <c r="B787" i="3"/>
  <c r="A787" i="3"/>
  <c r="J786" i="3"/>
  <c r="I786" i="3"/>
  <c r="H786" i="3"/>
  <c r="G786" i="3"/>
  <c r="F786" i="3"/>
  <c r="E786" i="3"/>
  <c r="D786" i="3"/>
  <c r="C786" i="3"/>
  <c r="K786" i="3" s="1"/>
  <c r="B786" i="3"/>
  <c r="A786" i="3"/>
  <c r="J785" i="3"/>
  <c r="I785" i="3"/>
  <c r="H785" i="3"/>
  <c r="G785" i="3"/>
  <c r="F785" i="3"/>
  <c r="E785" i="3"/>
  <c r="D785" i="3"/>
  <c r="C785" i="3"/>
  <c r="K785" i="3" s="1"/>
  <c r="B785" i="3"/>
  <c r="A785" i="3"/>
  <c r="J784" i="3"/>
  <c r="I784" i="3"/>
  <c r="H784" i="3"/>
  <c r="G784" i="3"/>
  <c r="F784" i="3"/>
  <c r="E784" i="3"/>
  <c r="D784" i="3"/>
  <c r="C784" i="3"/>
  <c r="K784" i="3" s="1"/>
  <c r="B784" i="3"/>
  <c r="A784" i="3"/>
  <c r="J783" i="3"/>
  <c r="I783" i="3"/>
  <c r="H783" i="3"/>
  <c r="G783" i="3"/>
  <c r="F783" i="3"/>
  <c r="E783" i="3"/>
  <c r="D783" i="3"/>
  <c r="C783" i="3"/>
  <c r="K783" i="3" s="1"/>
  <c r="B783" i="3"/>
  <c r="A783" i="3"/>
  <c r="J782" i="3"/>
  <c r="I782" i="3"/>
  <c r="H782" i="3"/>
  <c r="G782" i="3"/>
  <c r="F782" i="3"/>
  <c r="E782" i="3"/>
  <c r="D782" i="3"/>
  <c r="C782" i="3"/>
  <c r="K782" i="3" s="1"/>
  <c r="B782" i="3"/>
  <c r="A782" i="3"/>
  <c r="J781" i="3"/>
  <c r="I781" i="3"/>
  <c r="H781" i="3"/>
  <c r="G781" i="3"/>
  <c r="F781" i="3"/>
  <c r="E781" i="3"/>
  <c r="D781" i="3"/>
  <c r="C781" i="3"/>
  <c r="K781" i="3" s="1"/>
  <c r="B781" i="3"/>
  <c r="A781" i="3"/>
  <c r="J780" i="3"/>
  <c r="I780" i="3"/>
  <c r="H780" i="3"/>
  <c r="G780" i="3"/>
  <c r="F780" i="3"/>
  <c r="E780" i="3"/>
  <c r="D780" i="3"/>
  <c r="C780" i="3"/>
  <c r="K780" i="3" s="1"/>
  <c r="B780" i="3"/>
  <c r="A780" i="3"/>
  <c r="J779" i="3"/>
  <c r="I779" i="3"/>
  <c r="H779" i="3"/>
  <c r="G779" i="3"/>
  <c r="F779" i="3"/>
  <c r="E779" i="3"/>
  <c r="D779" i="3"/>
  <c r="C779" i="3"/>
  <c r="K779" i="3" s="1"/>
  <c r="B779" i="3"/>
  <c r="A779" i="3"/>
  <c r="J778" i="3"/>
  <c r="I778" i="3"/>
  <c r="H778" i="3"/>
  <c r="G778" i="3"/>
  <c r="F778" i="3"/>
  <c r="E778" i="3"/>
  <c r="D778" i="3"/>
  <c r="C778" i="3"/>
  <c r="K778" i="3" s="1"/>
  <c r="B778" i="3"/>
  <c r="A778" i="3"/>
  <c r="J777" i="3"/>
  <c r="I777" i="3"/>
  <c r="H777" i="3"/>
  <c r="G777" i="3"/>
  <c r="F777" i="3"/>
  <c r="E777" i="3"/>
  <c r="D777" i="3"/>
  <c r="C777" i="3"/>
  <c r="K777" i="3" s="1"/>
  <c r="B777" i="3"/>
  <c r="A777" i="3"/>
  <c r="J776" i="3"/>
  <c r="I776" i="3"/>
  <c r="H776" i="3"/>
  <c r="G776" i="3"/>
  <c r="F776" i="3"/>
  <c r="E776" i="3"/>
  <c r="D776" i="3"/>
  <c r="C776" i="3"/>
  <c r="K776" i="3" s="1"/>
  <c r="B776" i="3"/>
  <c r="A776" i="3"/>
  <c r="J775" i="3"/>
  <c r="I775" i="3"/>
  <c r="H775" i="3"/>
  <c r="G775" i="3"/>
  <c r="F775" i="3"/>
  <c r="E775" i="3"/>
  <c r="D775" i="3"/>
  <c r="C775" i="3"/>
  <c r="K775" i="3" s="1"/>
  <c r="B775" i="3"/>
  <c r="A775" i="3"/>
  <c r="J774" i="3"/>
  <c r="I774" i="3"/>
  <c r="H774" i="3"/>
  <c r="G774" i="3"/>
  <c r="F774" i="3"/>
  <c r="E774" i="3"/>
  <c r="D774" i="3"/>
  <c r="C774" i="3"/>
  <c r="K774" i="3" s="1"/>
  <c r="B774" i="3"/>
  <c r="A774" i="3"/>
  <c r="J773" i="3"/>
  <c r="I773" i="3"/>
  <c r="H773" i="3"/>
  <c r="G773" i="3"/>
  <c r="F773" i="3"/>
  <c r="E773" i="3"/>
  <c r="D773" i="3"/>
  <c r="C773" i="3"/>
  <c r="K773" i="3" s="1"/>
  <c r="B773" i="3"/>
  <c r="A773" i="3"/>
  <c r="J772" i="3"/>
  <c r="I772" i="3"/>
  <c r="H772" i="3"/>
  <c r="G772" i="3"/>
  <c r="F772" i="3"/>
  <c r="E772" i="3"/>
  <c r="D772" i="3"/>
  <c r="C772" i="3"/>
  <c r="K772" i="3" s="1"/>
  <c r="B772" i="3"/>
  <c r="A772" i="3"/>
  <c r="J771" i="3"/>
  <c r="I771" i="3"/>
  <c r="H771" i="3"/>
  <c r="G771" i="3"/>
  <c r="F771" i="3"/>
  <c r="E771" i="3"/>
  <c r="D771" i="3"/>
  <c r="C771" i="3"/>
  <c r="K771" i="3" s="1"/>
  <c r="B771" i="3"/>
  <c r="A771" i="3"/>
  <c r="J770" i="3"/>
  <c r="I770" i="3"/>
  <c r="H770" i="3"/>
  <c r="G770" i="3"/>
  <c r="F770" i="3"/>
  <c r="E770" i="3"/>
  <c r="D770" i="3"/>
  <c r="C770" i="3"/>
  <c r="K770" i="3" s="1"/>
  <c r="B770" i="3"/>
  <c r="A770" i="3"/>
  <c r="J769" i="3"/>
  <c r="I769" i="3"/>
  <c r="H769" i="3"/>
  <c r="G769" i="3"/>
  <c r="F769" i="3"/>
  <c r="E769" i="3"/>
  <c r="D769" i="3"/>
  <c r="C769" i="3"/>
  <c r="K769" i="3" s="1"/>
  <c r="B769" i="3"/>
  <c r="A769" i="3"/>
  <c r="J768" i="3"/>
  <c r="I768" i="3"/>
  <c r="H768" i="3"/>
  <c r="G768" i="3"/>
  <c r="F768" i="3"/>
  <c r="E768" i="3"/>
  <c r="D768" i="3"/>
  <c r="C768" i="3"/>
  <c r="K768" i="3" s="1"/>
  <c r="B768" i="3"/>
  <c r="A768" i="3"/>
  <c r="J767" i="3"/>
  <c r="I767" i="3"/>
  <c r="H767" i="3"/>
  <c r="G767" i="3"/>
  <c r="F767" i="3"/>
  <c r="E767" i="3"/>
  <c r="D767" i="3"/>
  <c r="C767" i="3"/>
  <c r="K767" i="3" s="1"/>
  <c r="B767" i="3"/>
  <c r="A767" i="3"/>
  <c r="J766" i="3"/>
  <c r="I766" i="3"/>
  <c r="H766" i="3"/>
  <c r="G766" i="3"/>
  <c r="F766" i="3"/>
  <c r="E766" i="3"/>
  <c r="D766" i="3"/>
  <c r="C766" i="3"/>
  <c r="K766" i="3" s="1"/>
  <c r="B766" i="3"/>
  <c r="A766" i="3"/>
  <c r="J765" i="3"/>
  <c r="I765" i="3"/>
  <c r="H765" i="3"/>
  <c r="G765" i="3"/>
  <c r="F765" i="3"/>
  <c r="E765" i="3"/>
  <c r="D765" i="3"/>
  <c r="C765" i="3"/>
  <c r="K765" i="3" s="1"/>
  <c r="B765" i="3"/>
  <c r="A765" i="3"/>
  <c r="J764" i="3"/>
  <c r="I764" i="3"/>
  <c r="H764" i="3"/>
  <c r="G764" i="3"/>
  <c r="F764" i="3"/>
  <c r="E764" i="3"/>
  <c r="D764" i="3"/>
  <c r="C764" i="3"/>
  <c r="K764" i="3" s="1"/>
  <c r="B764" i="3"/>
  <c r="A764" i="3"/>
  <c r="J763" i="3"/>
  <c r="I763" i="3"/>
  <c r="H763" i="3"/>
  <c r="G763" i="3"/>
  <c r="F763" i="3"/>
  <c r="E763" i="3"/>
  <c r="D763" i="3"/>
  <c r="C763" i="3"/>
  <c r="K763" i="3" s="1"/>
  <c r="B763" i="3"/>
  <c r="A763" i="3"/>
  <c r="J762" i="3"/>
  <c r="I762" i="3"/>
  <c r="H762" i="3"/>
  <c r="G762" i="3"/>
  <c r="F762" i="3"/>
  <c r="E762" i="3"/>
  <c r="D762" i="3"/>
  <c r="C762" i="3"/>
  <c r="K762" i="3" s="1"/>
  <c r="B762" i="3"/>
  <c r="A762" i="3"/>
  <c r="J761" i="3"/>
  <c r="I761" i="3"/>
  <c r="H761" i="3"/>
  <c r="G761" i="3"/>
  <c r="F761" i="3"/>
  <c r="E761" i="3"/>
  <c r="D761" i="3"/>
  <c r="C761" i="3"/>
  <c r="K761" i="3" s="1"/>
  <c r="B761" i="3"/>
  <c r="A761" i="3"/>
  <c r="J760" i="3"/>
  <c r="I760" i="3"/>
  <c r="H760" i="3"/>
  <c r="G760" i="3"/>
  <c r="F760" i="3"/>
  <c r="E760" i="3"/>
  <c r="D760" i="3"/>
  <c r="C760" i="3"/>
  <c r="K760" i="3" s="1"/>
  <c r="B760" i="3"/>
  <c r="A760" i="3"/>
  <c r="J759" i="3"/>
  <c r="I759" i="3"/>
  <c r="H759" i="3"/>
  <c r="G759" i="3"/>
  <c r="F759" i="3"/>
  <c r="E759" i="3"/>
  <c r="D759" i="3"/>
  <c r="C759" i="3"/>
  <c r="K759" i="3" s="1"/>
  <c r="B759" i="3"/>
  <c r="A759" i="3"/>
  <c r="J758" i="3"/>
  <c r="I758" i="3"/>
  <c r="H758" i="3"/>
  <c r="G758" i="3"/>
  <c r="F758" i="3"/>
  <c r="E758" i="3"/>
  <c r="D758" i="3"/>
  <c r="C758" i="3"/>
  <c r="K758" i="3" s="1"/>
  <c r="B758" i="3"/>
  <c r="A758" i="3"/>
  <c r="J757" i="3"/>
  <c r="I757" i="3"/>
  <c r="H757" i="3"/>
  <c r="G757" i="3"/>
  <c r="F757" i="3"/>
  <c r="E757" i="3"/>
  <c r="D757" i="3"/>
  <c r="C757" i="3"/>
  <c r="K757" i="3" s="1"/>
  <c r="B757" i="3"/>
  <c r="A757" i="3"/>
  <c r="J756" i="3"/>
  <c r="I756" i="3"/>
  <c r="H756" i="3"/>
  <c r="G756" i="3"/>
  <c r="F756" i="3"/>
  <c r="E756" i="3"/>
  <c r="D756" i="3"/>
  <c r="C756" i="3"/>
  <c r="K756" i="3" s="1"/>
  <c r="B756" i="3"/>
  <c r="A756" i="3"/>
  <c r="J755" i="3"/>
  <c r="I755" i="3"/>
  <c r="H755" i="3"/>
  <c r="G755" i="3"/>
  <c r="F755" i="3"/>
  <c r="E755" i="3"/>
  <c r="D755" i="3"/>
  <c r="C755" i="3"/>
  <c r="K755" i="3" s="1"/>
  <c r="B755" i="3"/>
  <c r="A755" i="3"/>
  <c r="J754" i="3"/>
  <c r="I754" i="3"/>
  <c r="H754" i="3"/>
  <c r="G754" i="3"/>
  <c r="F754" i="3"/>
  <c r="E754" i="3"/>
  <c r="D754" i="3"/>
  <c r="C754" i="3"/>
  <c r="K754" i="3" s="1"/>
  <c r="B754" i="3"/>
  <c r="A754" i="3"/>
  <c r="J753" i="3"/>
  <c r="I753" i="3"/>
  <c r="H753" i="3"/>
  <c r="G753" i="3"/>
  <c r="F753" i="3"/>
  <c r="E753" i="3"/>
  <c r="D753" i="3"/>
  <c r="C753" i="3"/>
  <c r="K753" i="3" s="1"/>
  <c r="B753" i="3"/>
  <c r="A753" i="3"/>
  <c r="J752" i="3"/>
  <c r="I752" i="3"/>
  <c r="H752" i="3"/>
  <c r="G752" i="3"/>
  <c r="F752" i="3"/>
  <c r="E752" i="3"/>
  <c r="D752" i="3"/>
  <c r="C752" i="3"/>
  <c r="K752" i="3" s="1"/>
  <c r="B752" i="3"/>
  <c r="A752" i="3"/>
  <c r="J751" i="3"/>
  <c r="I751" i="3"/>
  <c r="H751" i="3"/>
  <c r="G751" i="3"/>
  <c r="F751" i="3"/>
  <c r="E751" i="3"/>
  <c r="D751" i="3"/>
  <c r="C751" i="3"/>
  <c r="K751" i="3" s="1"/>
  <c r="B751" i="3"/>
  <c r="A751" i="3"/>
  <c r="J750" i="3"/>
  <c r="I750" i="3"/>
  <c r="H750" i="3"/>
  <c r="G750" i="3"/>
  <c r="F750" i="3"/>
  <c r="E750" i="3"/>
  <c r="D750" i="3"/>
  <c r="C750" i="3"/>
  <c r="K750" i="3" s="1"/>
  <c r="B750" i="3"/>
  <c r="A750" i="3"/>
  <c r="J749" i="3"/>
  <c r="I749" i="3"/>
  <c r="H749" i="3"/>
  <c r="G749" i="3"/>
  <c r="F749" i="3"/>
  <c r="E749" i="3"/>
  <c r="D749" i="3"/>
  <c r="C749" i="3"/>
  <c r="K749" i="3" s="1"/>
  <c r="B749" i="3"/>
  <c r="A749" i="3"/>
  <c r="J748" i="3"/>
  <c r="I748" i="3"/>
  <c r="H748" i="3"/>
  <c r="G748" i="3"/>
  <c r="F748" i="3"/>
  <c r="E748" i="3"/>
  <c r="D748" i="3"/>
  <c r="C748" i="3"/>
  <c r="K748" i="3" s="1"/>
  <c r="B748" i="3"/>
  <c r="A748" i="3"/>
  <c r="J747" i="3"/>
  <c r="I747" i="3"/>
  <c r="H747" i="3"/>
  <c r="G747" i="3"/>
  <c r="F747" i="3"/>
  <c r="E747" i="3"/>
  <c r="D747" i="3"/>
  <c r="C747" i="3"/>
  <c r="K747" i="3" s="1"/>
  <c r="B747" i="3"/>
  <c r="A747" i="3"/>
  <c r="J746" i="3"/>
  <c r="I746" i="3"/>
  <c r="H746" i="3"/>
  <c r="G746" i="3"/>
  <c r="F746" i="3"/>
  <c r="E746" i="3"/>
  <c r="D746" i="3"/>
  <c r="C746" i="3"/>
  <c r="K746" i="3" s="1"/>
  <c r="B746" i="3"/>
  <c r="A746" i="3"/>
  <c r="J745" i="3"/>
  <c r="I745" i="3"/>
  <c r="H745" i="3"/>
  <c r="G745" i="3"/>
  <c r="F745" i="3"/>
  <c r="E745" i="3"/>
  <c r="D745" i="3"/>
  <c r="C745" i="3"/>
  <c r="K745" i="3" s="1"/>
  <c r="B745" i="3"/>
  <c r="A745" i="3"/>
  <c r="J744" i="3"/>
  <c r="I744" i="3"/>
  <c r="H744" i="3"/>
  <c r="G744" i="3"/>
  <c r="F744" i="3"/>
  <c r="E744" i="3"/>
  <c r="D744" i="3"/>
  <c r="C744" i="3"/>
  <c r="K744" i="3" s="1"/>
  <c r="B744" i="3"/>
  <c r="A744" i="3"/>
  <c r="J743" i="3"/>
  <c r="I743" i="3"/>
  <c r="H743" i="3"/>
  <c r="G743" i="3"/>
  <c r="F743" i="3"/>
  <c r="E743" i="3"/>
  <c r="D743" i="3"/>
  <c r="C743" i="3"/>
  <c r="K743" i="3" s="1"/>
  <c r="B743" i="3"/>
  <c r="A743" i="3"/>
  <c r="J742" i="3"/>
  <c r="I742" i="3"/>
  <c r="H742" i="3"/>
  <c r="G742" i="3"/>
  <c r="F742" i="3"/>
  <c r="E742" i="3"/>
  <c r="D742" i="3"/>
  <c r="C742" i="3"/>
  <c r="K742" i="3" s="1"/>
  <c r="B742" i="3"/>
  <c r="A742" i="3"/>
  <c r="J741" i="3"/>
  <c r="I741" i="3"/>
  <c r="H741" i="3"/>
  <c r="G741" i="3"/>
  <c r="F741" i="3"/>
  <c r="E741" i="3"/>
  <c r="D741" i="3"/>
  <c r="C741" i="3"/>
  <c r="K741" i="3" s="1"/>
  <c r="B741" i="3"/>
  <c r="A741" i="3"/>
  <c r="J740" i="3"/>
  <c r="I740" i="3"/>
  <c r="H740" i="3"/>
  <c r="G740" i="3"/>
  <c r="F740" i="3"/>
  <c r="E740" i="3"/>
  <c r="D740" i="3"/>
  <c r="C740" i="3"/>
  <c r="K740" i="3" s="1"/>
  <c r="B740" i="3"/>
  <c r="A740" i="3"/>
  <c r="J739" i="3"/>
  <c r="I739" i="3"/>
  <c r="H739" i="3"/>
  <c r="G739" i="3"/>
  <c r="F739" i="3"/>
  <c r="E739" i="3"/>
  <c r="D739" i="3"/>
  <c r="C739" i="3"/>
  <c r="K739" i="3" s="1"/>
  <c r="B739" i="3"/>
  <c r="A739" i="3"/>
  <c r="J738" i="3"/>
  <c r="I738" i="3"/>
  <c r="H738" i="3"/>
  <c r="G738" i="3"/>
  <c r="F738" i="3"/>
  <c r="E738" i="3"/>
  <c r="D738" i="3"/>
  <c r="C738" i="3"/>
  <c r="K738" i="3" s="1"/>
  <c r="B738" i="3"/>
  <c r="A738" i="3"/>
  <c r="J737" i="3"/>
  <c r="I737" i="3"/>
  <c r="H737" i="3"/>
  <c r="G737" i="3"/>
  <c r="F737" i="3"/>
  <c r="E737" i="3"/>
  <c r="D737" i="3"/>
  <c r="C737" i="3"/>
  <c r="K737" i="3" s="1"/>
  <c r="B737" i="3"/>
  <c r="A737" i="3"/>
  <c r="J736" i="3"/>
  <c r="I736" i="3"/>
  <c r="H736" i="3"/>
  <c r="G736" i="3"/>
  <c r="F736" i="3"/>
  <c r="E736" i="3"/>
  <c r="D736" i="3"/>
  <c r="C736" i="3"/>
  <c r="K736" i="3" s="1"/>
  <c r="B736" i="3"/>
  <c r="A736" i="3"/>
  <c r="J735" i="3"/>
  <c r="I735" i="3"/>
  <c r="H735" i="3"/>
  <c r="G735" i="3"/>
  <c r="F735" i="3"/>
  <c r="E735" i="3"/>
  <c r="D735" i="3"/>
  <c r="C735" i="3"/>
  <c r="K735" i="3" s="1"/>
  <c r="B735" i="3"/>
  <c r="A735" i="3"/>
  <c r="J734" i="3"/>
  <c r="I734" i="3"/>
  <c r="H734" i="3"/>
  <c r="G734" i="3"/>
  <c r="F734" i="3"/>
  <c r="E734" i="3"/>
  <c r="D734" i="3"/>
  <c r="C734" i="3"/>
  <c r="K734" i="3" s="1"/>
  <c r="B734" i="3"/>
  <c r="A734" i="3"/>
  <c r="J733" i="3"/>
  <c r="I733" i="3"/>
  <c r="H733" i="3"/>
  <c r="G733" i="3"/>
  <c r="F733" i="3"/>
  <c r="E733" i="3"/>
  <c r="D733" i="3"/>
  <c r="C733" i="3"/>
  <c r="K733" i="3" s="1"/>
  <c r="B733" i="3"/>
  <c r="A733" i="3"/>
  <c r="J732" i="3"/>
  <c r="I732" i="3"/>
  <c r="H732" i="3"/>
  <c r="G732" i="3"/>
  <c r="F732" i="3"/>
  <c r="E732" i="3"/>
  <c r="D732" i="3"/>
  <c r="C732" i="3"/>
  <c r="K732" i="3" s="1"/>
  <c r="B732" i="3"/>
  <c r="A732" i="3"/>
  <c r="J731" i="3"/>
  <c r="I731" i="3"/>
  <c r="H731" i="3"/>
  <c r="G731" i="3"/>
  <c r="F731" i="3"/>
  <c r="E731" i="3"/>
  <c r="D731" i="3"/>
  <c r="C731" i="3"/>
  <c r="K731" i="3" s="1"/>
  <c r="B731" i="3"/>
  <c r="A731" i="3"/>
  <c r="J730" i="3"/>
  <c r="I730" i="3"/>
  <c r="H730" i="3"/>
  <c r="G730" i="3"/>
  <c r="F730" i="3"/>
  <c r="E730" i="3"/>
  <c r="D730" i="3"/>
  <c r="C730" i="3"/>
  <c r="K730" i="3" s="1"/>
  <c r="B730" i="3"/>
  <c r="A730" i="3"/>
  <c r="J729" i="3"/>
  <c r="I729" i="3"/>
  <c r="H729" i="3"/>
  <c r="G729" i="3"/>
  <c r="F729" i="3"/>
  <c r="E729" i="3"/>
  <c r="D729" i="3"/>
  <c r="C729" i="3"/>
  <c r="K729" i="3" s="1"/>
  <c r="B729" i="3"/>
  <c r="A729" i="3"/>
  <c r="K728" i="3"/>
  <c r="J728" i="3"/>
  <c r="I728" i="3"/>
  <c r="H728" i="3"/>
  <c r="G728" i="3"/>
  <c r="F728" i="3"/>
  <c r="E728" i="3"/>
  <c r="D728" i="3"/>
  <c r="C728" i="3"/>
  <c r="B728" i="3"/>
  <c r="A728" i="3"/>
  <c r="J727" i="3"/>
  <c r="I727" i="3"/>
  <c r="H727" i="3"/>
  <c r="G727" i="3"/>
  <c r="F727" i="3"/>
  <c r="E727" i="3"/>
  <c r="D727" i="3"/>
  <c r="C727" i="3"/>
  <c r="K727" i="3" s="1"/>
  <c r="B727" i="3"/>
  <c r="A727" i="3"/>
  <c r="J726" i="3"/>
  <c r="I726" i="3"/>
  <c r="H726" i="3"/>
  <c r="G726" i="3"/>
  <c r="F726" i="3"/>
  <c r="E726" i="3"/>
  <c r="D726" i="3"/>
  <c r="C726" i="3"/>
  <c r="K726" i="3" s="1"/>
  <c r="B726" i="3"/>
  <c r="A726" i="3"/>
  <c r="J725" i="3"/>
  <c r="I725" i="3"/>
  <c r="H725" i="3"/>
  <c r="G725" i="3"/>
  <c r="F725" i="3"/>
  <c r="E725" i="3"/>
  <c r="D725" i="3"/>
  <c r="C725" i="3"/>
  <c r="K725" i="3" s="1"/>
  <c r="B725" i="3"/>
  <c r="A725" i="3"/>
  <c r="J724" i="3"/>
  <c r="I724" i="3"/>
  <c r="H724" i="3"/>
  <c r="G724" i="3"/>
  <c r="F724" i="3"/>
  <c r="E724" i="3"/>
  <c r="D724" i="3"/>
  <c r="C724" i="3"/>
  <c r="K724" i="3" s="1"/>
  <c r="B724" i="3"/>
  <c r="A724" i="3"/>
  <c r="J723" i="3"/>
  <c r="I723" i="3"/>
  <c r="H723" i="3"/>
  <c r="G723" i="3"/>
  <c r="F723" i="3"/>
  <c r="E723" i="3"/>
  <c r="D723" i="3"/>
  <c r="C723" i="3"/>
  <c r="K723" i="3" s="1"/>
  <c r="B723" i="3"/>
  <c r="A723" i="3"/>
  <c r="J722" i="3"/>
  <c r="I722" i="3"/>
  <c r="H722" i="3"/>
  <c r="G722" i="3"/>
  <c r="F722" i="3"/>
  <c r="E722" i="3"/>
  <c r="D722" i="3"/>
  <c r="C722" i="3"/>
  <c r="K722" i="3" s="1"/>
  <c r="B722" i="3"/>
  <c r="A722" i="3"/>
  <c r="J721" i="3"/>
  <c r="I721" i="3"/>
  <c r="H721" i="3"/>
  <c r="G721" i="3"/>
  <c r="F721" i="3"/>
  <c r="E721" i="3"/>
  <c r="D721" i="3"/>
  <c r="C721" i="3"/>
  <c r="K721" i="3" s="1"/>
  <c r="B721" i="3"/>
  <c r="A721" i="3"/>
  <c r="J720" i="3"/>
  <c r="I720" i="3"/>
  <c r="H720" i="3"/>
  <c r="G720" i="3"/>
  <c r="F720" i="3"/>
  <c r="E720" i="3"/>
  <c r="D720" i="3"/>
  <c r="C720" i="3"/>
  <c r="K720" i="3" s="1"/>
  <c r="B720" i="3"/>
  <c r="A720" i="3"/>
  <c r="J719" i="3"/>
  <c r="I719" i="3"/>
  <c r="H719" i="3"/>
  <c r="G719" i="3"/>
  <c r="F719" i="3"/>
  <c r="E719" i="3"/>
  <c r="D719" i="3"/>
  <c r="C719" i="3"/>
  <c r="K719" i="3" s="1"/>
  <c r="B719" i="3"/>
  <c r="A719" i="3"/>
  <c r="J718" i="3"/>
  <c r="I718" i="3"/>
  <c r="H718" i="3"/>
  <c r="G718" i="3"/>
  <c r="F718" i="3"/>
  <c r="E718" i="3"/>
  <c r="D718" i="3"/>
  <c r="C718" i="3"/>
  <c r="K718" i="3" s="1"/>
  <c r="B718" i="3"/>
  <c r="A718" i="3"/>
  <c r="J717" i="3"/>
  <c r="I717" i="3"/>
  <c r="H717" i="3"/>
  <c r="G717" i="3"/>
  <c r="F717" i="3"/>
  <c r="E717" i="3"/>
  <c r="D717" i="3"/>
  <c r="C717" i="3"/>
  <c r="K717" i="3" s="1"/>
  <c r="B717" i="3"/>
  <c r="A717" i="3"/>
  <c r="J716" i="3"/>
  <c r="I716" i="3"/>
  <c r="H716" i="3"/>
  <c r="G716" i="3"/>
  <c r="F716" i="3"/>
  <c r="E716" i="3"/>
  <c r="D716" i="3"/>
  <c r="C716" i="3"/>
  <c r="K716" i="3" s="1"/>
  <c r="B716" i="3"/>
  <c r="A716" i="3"/>
  <c r="J715" i="3"/>
  <c r="I715" i="3"/>
  <c r="H715" i="3"/>
  <c r="G715" i="3"/>
  <c r="F715" i="3"/>
  <c r="E715" i="3"/>
  <c r="D715" i="3"/>
  <c r="C715" i="3"/>
  <c r="K715" i="3" s="1"/>
  <c r="B715" i="3"/>
  <c r="A715" i="3"/>
  <c r="J714" i="3"/>
  <c r="I714" i="3"/>
  <c r="H714" i="3"/>
  <c r="G714" i="3"/>
  <c r="F714" i="3"/>
  <c r="E714" i="3"/>
  <c r="D714" i="3"/>
  <c r="C714" i="3"/>
  <c r="K714" i="3" s="1"/>
  <c r="B714" i="3"/>
  <c r="A714" i="3"/>
  <c r="J713" i="3"/>
  <c r="I713" i="3"/>
  <c r="H713" i="3"/>
  <c r="G713" i="3"/>
  <c r="F713" i="3"/>
  <c r="E713" i="3"/>
  <c r="D713" i="3"/>
  <c r="C713" i="3"/>
  <c r="K713" i="3" s="1"/>
  <c r="B713" i="3"/>
  <c r="A713" i="3"/>
  <c r="J712" i="3"/>
  <c r="I712" i="3"/>
  <c r="H712" i="3"/>
  <c r="G712" i="3"/>
  <c r="F712" i="3"/>
  <c r="E712" i="3"/>
  <c r="D712" i="3"/>
  <c r="C712" i="3"/>
  <c r="K712" i="3" s="1"/>
  <c r="B712" i="3"/>
  <c r="A712" i="3"/>
  <c r="J711" i="3"/>
  <c r="I711" i="3"/>
  <c r="H711" i="3"/>
  <c r="G711" i="3"/>
  <c r="F711" i="3"/>
  <c r="E711" i="3"/>
  <c r="D711" i="3"/>
  <c r="C711" i="3"/>
  <c r="K711" i="3" s="1"/>
  <c r="B711" i="3"/>
  <c r="A711" i="3"/>
  <c r="J710" i="3"/>
  <c r="I710" i="3"/>
  <c r="H710" i="3"/>
  <c r="G710" i="3"/>
  <c r="F710" i="3"/>
  <c r="E710" i="3"/>
  <c r="D710" i="3"/>
  <c r="C710" i="3"/>
  <c r="K710" i="3" s="1"/>
  <c r="B710" i="3"/>
  <c r="A710" i="3"/>
  <c r="J709" i="3"/>
  <c r="I709" i="3"/>
  <c r="H709" i="3"/>
  <c r="G709" i="3"/>
  <c r="F709" i="3"/>
  <c r="E709" i="3"/>
  <c r="D709" i="3"/>
  <c r="C709" i="3"/>
  <c r="K709" i="3" s="1"/>
  <c r="B709" i="3"/>
  <c r="A709" i="3"/>
  <c r="J708" i="3"/>
  <c r="I708" i="3"/>
  <c r="H708" i="3"/>
  <c r="G708" i="3"/>
  <c r="F708" i="3"/>
  <c r="E708" i="3"/>
  <c r="D708" i="3"/>
  <c r="C708" i="3"/>
  <c r="K708" i="3" s="1"/>
  <c r="B708" i="3"/>
  <c r="A708" i="3"/>
  <c r="J707" i="3"/>
  <c r="I707" i="3"/>
  <c r="H707" i="3"/>
  <c r="G707" i="3"/>
  <c r="F707" i="3"/>
  <c r="E707" i="3"/>
  <c r="D707" i="3"/>
  <c r="C707" i="3"/>
  <c r="K707" i="3" s="1"/>
  <c r="B707" i="3"/>
  <c r="A707" i="3"/>
  <c r="J706" i="3"/>
  <c r="I706" i="3"/>
  <c r="H706" i="3"/>
  <c r="G706" i="3"/>
  <c r="F706" i="3"/>
  <c r="E706" i="3"/>
  <c r="D706" i="3"/>
  <c r="C706" i="3"/>
  <c r="K706" i="3" s="1"/>
  <c r="B706" i="3"/>
  <c r="A706" i="3"/>
  <c r="J705" i="3"/>
  <c r="I705" i="3"/>
  <c r="H705" i="3"/>
  <c r="G705" i="3"/>
  <c r="F705" i="3"/>
  <c r="E705" i="3"/>
  <c r="D705" i="3"/>
  <c r="C705" i="3"/>
  <c r="K705" i="3" s="1"/>
  <c r="B705" i="3"/>
  <c r="A705" i="3"/>
  <c r="J704" i="3"/>
  <c r="I704" i="3"/>
  <c r="H704" i="3"/>
  <c r="G704" i="3"/>
  <c r="F704" i="3"/>
  <c r="E704" i="3"/>
  <c r="D704" i="3"/>
  <c r="C704" i="3"/>
  <c r="K704" i="3" s="1"/>
  <c r="B704" i="3"/>
  <c r="A704" i="3"/>
  <c r="J703" i="3"/>
  <c r="I703" i="3"/>
  <c r="H703" i="3"/>
  <c r="G703" i="3"/>
  <c r="F703" i="3"/>
  <c r="E703" i="3"/>
  <c r="D703" i="3"/>
  <c r="C703" i="3"/>
  <c r="K703" i="3" s="1"/>
  <c r="B703" i="3"/>
  <c r="A703" i="3"/>
  <c r="J702" i="3"/>
  <c r="I702" i="3"/>
  <c r="H702" i="3"/>
  <c r="G702" i="3"/>
  <c r="F702" i="3"/>
  <c r="E702" i="3"/>
  <c r="D702" i="3"/>
  <c r="C702" i="3"/>
  <c r="K702" i="3" s="1"/>
  <c r="B702" i="3"/>
  <c r="A702" i="3"/>
  <c r="J701" i="3"/>
  <c r="I701" i="3"/>
  <c r="H701" i="3"/>
  <c r="G701" i="3"/>
  <c r="F701" i="3"/>
  <c r="E701" i="3"/>
  <c r="D701" i="3"/>
  <c r="C701" i="3"/>
  <c r="K701" i="3" s="1"/>
  <c r="B701" i="3"/>
  <c r="A701" i="3"/>
  <c r="J700" i="3"/>
  <c r="I700" i="3"/>
  <c r="H700" i="3"/>
  <c r="G700" i="3"/>
  <c r="F700" i="3"/>
  <c r="E700" i="3"/>
  <c r="D700" i="3"/>
  <c r="C700" i="3"/>
  <c r="K700" i="3" s="1"/>
  <c r="B700" i="3"/>
  <c r="A700" i="3"/>
  <c r="J699" i="3"/>
  <c r="I699" i="3"/>
  <c r="H699" i="3"/>
  <c r="G699" i="3"/>
  <c r="F699" i="3"/>
  <c r="E699" i="3"/>
  <c r="D699" i="3"/>
  <c r="C699" i="3"/>
  <c r="K699" i="3" s="1"/>
  <c r="B699" i="3"/>
  <c r="A699" i="3"/>
  <c r="J698" i="3"/>
  <c r="I698" i="3"/>
  <c r="H698" i="3"/>
  <c r="G698" i="3"/>
  <c r="F698" i="3"/>
  <c r="E698" i="3"/>
  <c r="D698" i="3"/>
  <c r="C698" i="3"/>
  <c r="K698" i="3" s="1"/>
  <c r="B698" i="3"/>
  <c r="A698" i="3"/>
  <c r="J697" i="3"/>
  <c r="I697" i="3"/>
  <c r="H697" i="3"/>
  <c r="G697" i="3"/>
  <c r="F697" i="3"/>
  <c r="E697" i="3"/>
  <c r="D697" i="3"/>
  <c r="C697" i="3"/>
  <c r="K697" i="3" s="1"/>
  <c r="B697" i="3"/>
  <c r="A697" i="3"/>
  <c r="J696" i="3"/>
  <c r="I696" i="3"/>
  <c r="H696" i="3"/>
  <c r="G696" i="3"/>
  <c r="F696" i="3"/>
  <c r="E696" i="3"/>
  <c r="D696" i="3"/>
  <c r="C696" i="3"/>
  <c r="K696" i="3" s="1"/>
  <c r="B696" i="3"/>
  <c r="A696" i="3"/>
  <c r="J695" i="3"/>
  <c r="I695" i="3"/>
  <c r="H695" i="3"/>
  <c r="G695" i="3"/>
  <c r="F695" i="3"/>
  <c r="E695" i="3"/>
  <c r="D695" i="3"/>
  <c r="C695" i="3"/>
  <c r="K695" i="3" s="1"/>
  <c r="B695" i="3"/>
  <c r="A695" i="3"/>
  <c r="J694" i="3"/>
  <c r="I694" i="3"/>
  <c r="H694" i="3"/>
  <c r="G694" i="3"/>
  <c r="F694" i="3"/>
  <c r="E694" i="3"/>
  <c r="D694" i="3"/>
  <c r="C694" i="3"/>
  <c r="K694" i="3" s="1"/>
  <c r="B694" i="3"/>
  <c r="A694" i="3"/>
  <c r="J693" i="3"/>
  <c r="I693" i="3"/>
  <c r="H693" i="3"/>
  <c r="G693" i="3"/>
  <c r="F693" i="3"/>
  <c r="E693" i="3"/>
  <c r="D693" i="3"/>
  <c r="C693" i="3"/>
  <c r="K693" i="3" s="1"/>
  <c r="B693" i="3"/>
  <c r="A693" i="3"/>
  <c r="J692" i="3"/>
  <c r="I692" i="3"/>
  <c r="H692" i="3"/>
  <c r="G692" i="3"/>
  <c r="F692" i="3"/>
  <c r="E692" i="3"/>
  <c r="D692" i="3"/>
  <c r="C692" i="3"/>
  <c r="K692" i="3" s="1"/>
  <c r="B692" i="3"/>
  <c r="A692" i="3"/>
  <c r="J691" i="3"/>
  <c r="I691" i="3"/>
  <c r="H691" i="3"/>
  <c r="G691" i="3"/>
  <c r="F691" i="3"/>
  <c r="E691" i="3"/>
  <c r="D691" i="3"/>
  <c r="C691" i="3"/>
  <c r="K691" i="3" s="1"/>
  <c r="B691" i="3"/>
  <c r="A691" i="3"/>
  <c r="J690" i="3"/>
  <c r="I690" i="3"/>
  <c r="H690" i="3"/>
  <c r="G690" i="3"/>
  <c r="F690" i="3"/>
  <c r="E690" i="3"/>
  <c r="D690" i="3"/>
  <c r="C690" i="3"/>
  <c r="K690" i="3" s="1"/>
  <c r="B690" i="3"/>
  <c r="A690" i="3"/>
  <c r="J689" i="3"/>
  <c r="I689" i="3"/>
  <c r="H689" i="3"/>
  <c r="G689" i="3"/>
  <c r="F689" i="3"/>
  <c r="E689" i="3"/>
  <c r="D689" i="3"/>
  <c r="C689" i="3"/>
  <c r="K689" i="3" s="1"/>
  <c r="B689" i="3"/>
  <c r="A689" i="3"/>
  <c r="J688" i="3"/>
  <c r="I688" i="3"/>
  <c r="H688" i="3"/>
  <c r="G688" i="3"/>
  <c r="F688" i="3"/>
  <c r="E688" i="3"/>
  <c r="D688" i="3"/>
  <c r="C688" i="3"/>
  <c r="K688" i="3" s="1"/>
  <c r="B688" i="3"/>
  <c r="A688" i="3"/>
  <c r="J687" i="3"/>
  <c r="I687" i="3"/>
  <c r="H687" i="3"/>
  <c r="G687" i="3"/>
  <c r="F687" i="3"/>
  <c r="E687" i="3"/>
  <c r="D687" i="3"/>
  <c r="C687" i="3"/>
  <c r="K687" i="3" s="1"/>
  <c r="B687" i="3"/>
  <c r="A687" i="3"/>
  <c r="J686" i="3"/>
  <c r="I686" i="3"/>
  <c r="H686" i="3"/>
  <c r="G686" i="3"/>
  <c r="F686" i="3"/>
  <c r="E686" i="3"/>
  <c r="D686" i="3"/>
  <c r="C686" i="3"/>
  <c r="K686" i="3" s="1"/>
  <c r="B686" i="3"/>
  <c r="A686" i="3"/>
  <c r="J685" i="3"/>
  <c r="I685" i="3"/>
  <c r="H685" i="3"/>
  <c r="G685" i="3"/>
  <c r="F685" i="3"/>
  <c r="E685" i="3"/>
  <c r="D685" i="3"/>
  <c r="C685" i="3"/>
  <c r="K685" i="3" s="1"/>
  <c r="B685" i="3"/>
  <c r="A685" i="3"/>
  <c r="J684" i="3"/>
  <c r="I684" i="3"/>
  <c r="H684" i="3"/>
  <c r="G684" i="3"/>
  <c r="F684" i="3"/>
  <c r="E684" i="3"/>
  <c r="D684" i="3"/>
  <c r="C684" i="3"/>
  <c r="K684" i="3" s="1"/>
  <c r="B684" i="3"/>
  <c r="A684" i="3"/>
  <c r="J683" i="3"/>
  <c r="I683" i="3"/>
  <c r="H683" i="3"/>
  <c r="G683" i="3"/>
  <c r="F683" i="3"/>
  <c r="E683" i="3"/>
  <c r="D683" i="3"/>
  <c r="C683" i="3"/>
  <c r="K683" i="3" s="1"/>
  <c r="B683" i="3"/>
  <c r="A683" i="3"/>
  <c r="J682" i="3"/>
  <c r="I682" i="3"/>
  <c r="H682" i="3"/>
  <c r="G682" i="3"/>
  <c r="F682" i="3"/>
  <c r="E682" i="3"/>
  <c r="D682" i="3"/>
  <c r="C682" i="3"/>
  <c r="K682" i="3" s="1"/>
  <c r="B682" i="3"/>
  <c r="A682" i="3"/>
  <c r="J681" i="3"/>
  <c r="I681" i="3"/>
  <c r="H681" i="3"/>
  <c r="G681" i="3"/>
  <c r="F681" i="3"/>
  <c r="E681" i="3"/>
  <c r="D681" i="3"/>
  <c r="C681" i="3"/>
  <c r="K681" i="3" s="1"/>
  <c r="B681" i="3"/>
  <c r="A681" i="3"/>
  <c r="J680" i="3"/>
  <c r="I680" i="3"/>
  <c r="H680" i="3"/>
  <c r="G680" i="3"/>
  <c r="F680" i="3"/>
  <c r="E680" i="3"/>
  <c r="D680" i="3"/>
  <c r="C680" i="3"/>
  <c r="K680" i="3" s="1"/>
  <c r="B680" i="3"/>
  <c r="A680" i="3"/>
  <c r="J679" i="3"/>
  <c r="I679" i="3"/>
  <c r="H679" i="3"/>
  <c r="G679" i="3"/>
  <c r="F679" i="3"/>
  <c r="E679" i="3"/>
  <c r="D679" i="3"/>
  <c r="C679" i="3"/>
  <c r="K679" i="3" s="1"/>
  <c r="B679" i="3"/>
  <c r="A679" i="3"/>
  <c r="J678" i="3"/>
  <c r="I678" i="3"/>
  <c r="H678" i="3"/>
  <c r="G678" i="3"/>
  <c r="F678" i="3"/>
  <c r="E678" i="3"/>
  <c r="D678" i="3"/>
  <c r="C678" i="3"/>
  <c r="K678" i="3" s="1"/>
  <c r="B678" i="3"/>
  <c r="A678" i="3"/>
  <c r="J677" i="3"/>
  <c r="I677" i="3"/>
  <c r="H677" i="3"/>
  <c r="G677" i="3"/>
  <c r="F677" i="3"/>
  <c r="E677" i="3"/>
  <c r="D677" i="3"/>
  <c r="C677" i="3"/>
  <c r="K677" i="3" s="1"/>
  <c r="B677" i="3"/>
  <c r="A677" i="3"/>
  <c r="J676" i="3"/>
  <c r="I676" i="3"/>
  <c r="H676" i="3"/>
  <c r="G676" i="3"/>
  <c r="F676" i="3"/>
  <c r="E676" i="3"/>
  <c r="D676" i="3"/>
  <c r="C676" i="3"/>
  <c r="K676" i="3" s="1"/>
  <c r="B676" i="3"/>
  <c r="A676" i="3"/>
  <c r="J675" i="3"/>
  <c r="I675" i="3"/>
  <c r="H675" i="3"/>
  <c r="G675" i="3"/>
  <c r="F675" i="3"/>
  <c r="E675" i="3"/>
  <c r="D675" i="3"/>
  <c r="C675" i="3"/>
  <c r="K675" i="3" s="1"/>
  <c r="B675" i="3"/>
  <c r="A675" i="3"/>
  <c r="J674" i="3"/>
  <c r="I674" i="3"/>
  <c r="H674" i="3"/>
  <c r="G674" i="3"/>
  <c r="F674" i="3"/>
  <c r="E674" i="3"/>
  <c r="D674" i="3"/>
  <c r="C674" i="3"/>
  <c r="K674" i="3" s="1"/>
  <c r="B674" i="3"/>
  <c r="A674" i="3"/>
  <c r="J673" i="3"/>
  <c r="I673" i="3"/>
  <c r="H673" i="3"/>
  <c r="G673" i="3"/>
  <c r="F673" i="3"/>
  <c r="E673" i="3"/>
  <c r="D673" i="3"/>
  <c r="C673" i="3"/>
  <c r="K673" i="3" s="1"/>
  <c r="B673" i="3"/>
  <c r="A673" i="3"/>
  <c r="J672" i="3"/>
  <c r="I672" i="3"/>
  <c r="H672" i="3"/>
  <c r="G672" i="3"/>
  <c r="F672" i="3"/>
  <c r="E672" i="3"/>
  <c r="D672" i="3"/>
  <c r="C672" i="3"/>
  <c r="K672" i="3" s="1"/>
  <c r="B672" i="3"/>
  <c r="A672" i="3"/>
  <c r="J671" i="3"/>
  <c r="I671" i="3"/>
  <c r="H671" i="3"/>
  <c r="G671" i="3"/>
  <c r="F671" i="3"/>
  <c r="E671" i="3"/>
  <c r="D671" i="3"/>
  <c r="C671" i="3"/>
  <c r="K671" i="3" s="1"/>
  <c r="B671" i="3"/>
  <c r="A671" i="3"/>
  <c r="J670" i="3"/>
  <c r="I670" i="3"/>
  <c r="H670" i="3"/>
  <c r="G670" i="3"/>
  <c r="F670" i="3"/>
  <c r="E670" i="3"/>
  <c r="D670" i="3"/>
  <c r="C670" i="3"/>
  <c r="K670" i="3" s="1"/>
  <c r="B670" i="3"/>
  <c r="A670" i="3"/>
  <c r="J669" i="3"/>
  <c r="I669" i="3"/>
  <c r="H669" i="3"/>
  <c r="G669" i="3"/>
  <c r="F669" i="3"/>
  <c r="E669" i="3"/>
  <c r="D669" i="3"/>
  <c r="C669" i="3"/>
  <c r="K669" i="3" s="1"/>
  <c r="B669" i="3"/>
  <c r="A669" i="3"/>
  <c r="J668" i="3"/>
  <c r="I668" i="3"/>
  <c r="H668" i="3"/>
  <c r="G668" i="3"/>
  <c r="F668" i="3"/>
  <c r="E668" i="3"/>
  <c r="D668" i="3"/>
  <c r="C668" i="3"/>
  <c r="K668" i="3" s="1"/>
  <c r="B668" i="3"/>
  <c r="A668" i="3"/>
  <c r="J667" i="3"/>
  <c r="I667" i="3"/>
  <c r="H667" i="3"/>
  <c r="G667" i="3"/>
  <c r="F667" i="3"/>
  <c r="E667" i="3"/>
  <c r="D667" i="3"/>
  <c r="C667" i="3"/>
  <c r="K667" i="3" s="1"/>
  <c r="B667" i="3"/>
  <c r="A667" i="3"/>
  <c r="J666" i="3"/>
  <c r="I666" i="3"/>
  <c r="H666" i="3"/>
  <c r="G666" i="3"/>
  <c r="F666" i="3"/>
  <c r="E666" i="3"/>
  <c r="D666" i="3"/>
  <c r="C666" i="3"/>
  <c r="K666" i="3" s="1"/>
  <c r="B666" i="3"/>
  <c r="A666" i="3"/>
  <c r="J665" i="3"/>
  <c r="I665" i="3"/>
  <c r="H665" i="3"/>
  <c r="G665" i="3"/>
  <c r="F665" i="3"/>
  <c r="E665" i="3"/>
  <c r="D665" i="3"/>
  <c r="C665" i="3"/>
  <c r="K665" i="3" s="1"/>
  <c r="B665" i="3"/>
  <c r="A665" i="3"/>
  <c r="J664" i="3"/>
  <c r="I664" i="3"/>
  <c r="H664" i="3"/>
  <c r="G664" i="3"/>
  <c r="F664" i="3"/>
  <c r="E664" i="3"/>
  <c r="D664" i="3"/>
  <c r="C664" i="3"/>
  <c r="K664" i="3" s="1"/>
  <c r="B664" i="3"/>
  <c r="A664" i="3"/>
  <c r="J663" i="3"/>
  <c r="I663" i="3"/>
  <c r="H663" i="3"/>
  <c r="G663" i="3"/>
  <c r="F663" i="3"/>
  <c r="E663" i="3"/>
  <c r="D663" i="3"/>
  <c r="C663" i="3"/>
  <c r="K663" i="3" s="1"/>
  <c r="B663" i="3"/>
  <c r="A663" i="3"/>
  <c r="J662" i="3"/>
  <c r="I662" i="3"/>
  <c r="H662" i="3"/>
  <c r="G662" i="3"/>
  <c r="F662" i="3"/>
  <c r="E662" i="3"/>
  <c r="D662" i="3"/>
  <c r="C662" i="3"/>
  <c r="K662" i="3" s="1"/>
  <c r="B662" i="3"/>
  <c r="A662" i="3"/>
  <c r="J661" i="3"/>
  <c r="I661" i="3"/>
  <c r="H661" i="3"/>
  <c r="G661" i="3"/>
  <c r="F661" i="3"/>
  <c r="E661" i="3"/>
  <c r="D661" i="3"/>
  <c r="C661" i="3"/>
  <c r="K661" i="3" s="1"/>
  <c r="B661" i="3"/>
  <c r="A661" i="3"/>
  <c r="K660" i="3"/>
  <c r="J660" i="3"/>
  <c r="I660" i="3"/>
  <c r="H660" i="3"/>
  <c r="G660" i="3"/>
  <c r="F660" i="3"/>
  <c r="E660" i="3"/>
  <c r="D660" i="3"/>
  <c r="C660" i="3"/>
  <c r="B660" i="3"/>
  <c r="A660" i="3"/>
  <c r="J659" i="3"/>
  <c r="I659" i="3"/>
  <c r="H659" i="3"/>
  <c r="G659" i="3"/>
  <c r="F659" i="3"/>
  <c r="E659" i="3"/>
  <c r="D659" i="3"/>
  <c r="C659" i="3"/>
  <c r="K659" i="3" s="1"/>
  <c r="B659" i="3"/>
  <c r="A659" i="3"/>
  <c r="J658" i="3"/>
  <c r="I658" i="3"/>
  <c r="H658" i="3"/>
  <c r="G658" i="3"/>
  <c r="F658" i="3"/>
  <c r="E658" i="3"/>
  <c r="D658" i="3"/>
  <c r="C658" i="3"/>
  <c r="K658" i="3" s="1"/>
  <c r="B658" i="3"/>
  <c r="A658" i="3"/>
  <c r="J657" i="3"/>
  <c r="I657" i="3"/>
  <c r="H657" i="3"/>
  <c r="G657" i="3"/>
  <c r="F657" i="3"/>
  <c r="E657" i="3"/>
  <c r="D657" i="3"/>
  <c r="C657" i="3"/>
  <c r="K657" i="3" s="1"/>
  <c r="B657" i="3"/>
  <c r="A657" i="3"/>
  <c r="J656" i="3"/>
  <c r="I656" i="3"/>
  <c r="H656" i="3"/>
  <c r="G656" i="3"/>
  <c r="F656" i="3"/>
  <c r="E656" i="3"/>
  <c r="D656" i="3"/>
  <c r="C656" i="3"/>
  <c r="K656" i="3" s="1"/>
  <c r="B656" i="3"/>
  <c r="A656" i="3"/>
  <c r="J655" i="3"/>
  <c r="I655" i="3"/>
  <c r="H655" i="3"/>
  <c r="G655" i="3"/>
  <c r="F655" i="3"/>
  <c r="E655" i="3"/>
  <c r="D655" i="3"/>
  <c r="C655" i="3"/>
  <c r="K655" i="3" s="1"/>
  <c r="B655" i="3"/>
  <c r="A655" i="3"/>
  <c r="J654" i="3"/>
  <c r="I654" i="3"/>
  <c r="H654" i="3"/>
  <c r="G654" i="3"/>
  <c r="F654" i="3"/>
  <c r="E654" i="3"/>
  <c r="D654" i="3"/>
  <c r="C654" i="3"/>
  <c r="K654" i="3" s="1"/>
  <c r="B654" i="3"/>
  <c r="A654" i="3"/>
  <c r="J653" i="3"/>
  <c r="I653" i="3"/>
  <c r="H653" i="3"/>
  <c r="G653" i="3"/>
  <c r="F653" i="3"/>
  <c r="E653" i="3"/>
  <c r="D653" i="3"/>
  <c r="C653" i="3"/>
  <c r="K653" i="3" s="1"/>
  <c r="B653" i="3"/>
  <c r="A653" i="3"/>
  <c r="J652" i="3"/>
  <c r="I652" i="3"/>
  <c r="H652" i="3"/>
  <c r="G652" i="3"/>
  <c r="F652" i="3"/>
  <c r="E652" i="3"/>
  <c r="D652" i="3"/>
  <c r="C652" i="3"/>
  <c r="K652" i="3" s="1"/>
  <c r="B652" i="3"/>
  <c r="A652" i="3"/>
  <c r="J651" i="3"/>
  <c r="I651" i="3"/>
  <c r="H651" i="3"/>
  <c r="G651" i="3"/>
  <c r="F651" i="3"/>
  <c r="E651" i="3"/>
  <c r="D651" i="3"/>
  <c r="C651" i="3"/>
  <c r="K651" i="3" s="1"/>
  <c r="B651" i="3"/>
  <c r="A651" i="3"/>
  <c r="J650" i="3"/>
  <c r="I650" i="3"/>
  <c r="H650" i="3"/>
  <c r="G650" i="3"/>
  <c r="F650" i="3"/>
  <c r="E650" i="3"/>
  <c r="D650" i="3"/>
  <c r="C650" i="3"/>
  <c r="K650" i="3" s="1"/>
  <c r="B650" i="3"/>
  <c r="A650" i="3"/>
  <c r="J649" i="3"/>
  <c r="I649" i="3"/>
  <c r="H649" i="3"/>
  <c r="G649" i="3"/>
  <c r="F649" i="3"/>
  <c r="E649" i="3"/>
  <c r="D649" i="3"/>
  <c r="C649" i="3"/>
  <c r="K649" i="3" s="1"/>
  <c r="B649" i="3"/>
  <c r="A649" i="3"/>
  <c r="J648" i="3"/>
  <c r="I648" i="3"/>
  <c r="H648" i="3"/>
  <c r="G648" i="3"/>
  <c r="F648" i="3"/>
  <c r="E648" i="3"/>
  <c r="D648" i="3"/>
  <c r="C648" i="3"/>
  <c r="K648" i="3" s="1"/>
  <c r="B648" i="3"/>
  <c r="A648" i="3"/>
  <c r="J647" i="3"/>
  <c r="I647" i="3"/>
  <c r="H647" i="3"/>
  <c r="G647" i="3"/>
  <c r="F647" i="3"/>
  <c r="E647" i="3"/>
  <c r="D647" i="3"/>
  <c r="C647" i="3"/>
  <c r="K647" i="3" s="1"/>
  <c r="B647" i="3"/>
  <c r="A647" i="3"/>
  <c r="J646" i="3"/>
  <c r="I646" i="3"/>
  <c r="H646" i="3"/>
  <c r="G646" i="3"/>
  <c r="F646" i="3"/>
  <c r="E646" i="3"/>
  <c r="D646" i="3"/>
  <c r="C646" i="3"/>
  <c r="K646" i="3" s="1"/>
  <c r="B646" i="3"/>
  <c r="A646" i="3"/>
  <c r="J645" i="3"/>
  <c r="I645" i="3"/>
  <c r="H645" i="3"/>
  <c r="G645" i="3"/>
  <c r="F645" i="3"/>
  <c r="E645" i="3"/>
  <c r="D645" i="3"/>
  <c r="C645" i="3"/>
  <c r="K645" i="3" s="1"/>
  <c r="B645" i="3"/>
  <c r="A645" i="3"/>
  <c r="J644" i="3"/>
  <c r="I644" i="3"/>
  <c r="H644" i="3"/>
  <c r="G644" i="3"/>
  <c r="F644" i="3"/>
  <c r="E644" i="3"/>
  <c r="D644" i="3"/>
  <c r="C644" i="3"/>
  <c r="K644" i="3" s="1"/>
  <c r="B644" i="3"/>
  <c r="A644" i="3"/>
  <c r="J643" i="3"/>
  <c r="I643" i="3"/>
  <c r="H643" i="3"/>
  <c r="G643" i="3"/>
  <c r="F643" i="3"/>
  <c r="E643" i="3"/>
  <c r="D643" i="3"/>
  <c r="C643" i="3"/>
  <c r="K643" i="3" s="1"/>
  <c r="B643" i="3"/>
  <c r="A643" i="3"/>
  <c r="J642" i="3"/>
  <c r="I642" i="3"/>
  <c r="H642" i="3"/>
  <c r="G642" i="3"/>
  <c r="F642" i="3"/>
  <c r="E642" i="3"/>
  <c r="D642" i="3"/>
  <c r="C642" i="3"/>
  <c r="K642" i="3" s="1"/>
  <c r="B642" i="3"/>
  <c r="A642" i="3"/>
  <c r="J641" i="3"/>
  <c r="I641" i="3"/>
  <c r="H641" i="3"/>
  <c r="G641" i="3"/>
  <c r="F641" i="3"/>
  <c r="E641" i="3"/>
  <c r="D641" i="3"/>
  <c r="C641" i="3"/>
  <c r="K641" i="3" s="1"/>
  <c r="B641" i="3"/>
  <c r="A641" i="3"/>
  <c r="J640" i="3"/>
  <c r="I640" i="3"/>
  <c r="H640" i="3"/>
  <c r="G640" i="3"/>
  <c r="F640" i="3"/>
  <c r="E640" i="3"/>
  <c r="D640" i="3"/>
  <c r="C640" i="3"/>
  <c r="K640" i="3" s="1"/>
  <c r="B640" i="3"/>
  <c r="A640" i="3"/>
  <c r="J639" i="3"/>
  <c r="I639" i="3"/>
  <c r="H639" i="3"/>
  <c r="G639" i="3"/>
  <c r="F639" i="3"/>
  <c r="E639" i="3"/>
  <c r="D639" i="3"/>
  <c r="C639" i="3"/>
  <c r="K639" i="3" s="1"/>
  <c r="B639" i="3"/>
  <c r="A639" i="3"/>
  <c r="J638" i="3"/>
  <c r="I638" i="3"/>
  <c r="H638" i="3"/>
  <c r="G638" i="3"/>
  <c r="F638" i="3"/>
  <c r="E638" i="3"/>
  <c r="D638" i="3"/>
  <c r="C638" i="3"/>
  <c r="K638" i="3" s="1"/>
  <c r="B638" i="3"/>
  <c r="A638" i="3"/>
  <c r="J637" i="3"/>
  <c r="I637" i="3"/>
  <c r="H637" i="3"/>
  <c r="G637" i="3"/>
  <c r="F637" i="3"/>
  <c r="E637" i="3"/>
  <c r="D637" i="3"/>
  <c r="C637" i="3"/>
  <c r="K637" i="3" s="1"/>
  <c r="B637" i="3"/>
  <c r="A637" i="3"/>
  <c r="J636" i="3"/>
  <c r="I636" i="3"/>
  <c r="H636" i="3"/>
  <c r="G636" i="3"/>
  <c r="F636" i="3"/>
  <c r="E636" i="3"/>
  <c r="D636" i="3"/>
  <c r="C636" i="3"/>
  <c r="K636" i="3" s="1"/>
  <c r="B636" i="3"/>
  <c r="A636" i="3"/>
  <c r="J635" i="3"/>
  <c r="I635" i="3"/>
  <c r="H635" i="3"/>
  <c r="G635" i="3"/>
  <c r="F635" i="3"/>
  <c r="E635" i="3"/>
  <c r="D635" i="3"/>
  <c r="C635" i="3"/>
  <c r="K635" i="3" s="1"/>
  <c r="B635" i="3"/>
  <c r="A635" i="3"/>
  <c r="J634" i="3"/>
  <c r="I634" i="3"/>
  <c r="H634" i="3"/>
  <c r="G634" i="3"/>
  <c r="F634" i="3"/>
  <c r="E634" i="3"/>
  <c r="D634" i="3"/>
  <c r="C634" i="3"/>
  <c r="K634" i="3" s="1"/>
  <c r="B634" i="3"/>
  <c r="A634" i="3"/>
  <c r="J633" i="3"/>
  <c r="I633" i="3"/>
  <c r="H633" i="3"/>
  <c r="G633" i="3"/>
  <c r="F633" i="3"/>
  <c r="E633" i="3"/>
  <c r="D633" i="3"/>
  <c r="C633" i="3"/>
  <c r="K633" i="3" s="1"/>
  <c r="B633" i="3"/>
  <c r="A633" i="3"/>
  <c r="J632" i="3"/>
  <c r="I632" i="3"/>
  <c r="H632" i="3"/>
  <c r="G632" i="3"/>
  <c r="F632" i="3"/>
  <c r="E632" i="3"/>
  <c r="D632" i="3"/>
  <c r="C632" i="3"/>
  <c r="K632" i="3" s="1"/>
  <c r="B632" i="3"/>
  <c r="A632" i="3"/>
  <c r="J631" i="3"/>
  <c r="I631" i="3"/>
  <c r="H631" i="3"/>
  <c r="G631" i="3"/>
  <c r="F631" i="3"/>
  <c r="E631" i="3"/>
  <c r="D631" i="3"/>
  <c r="C631" i="3"/>
  <c r="K631" i="3" s="1"/>
  <c r="B631" i="3"/>
  <c r="A631" i="3"/>
  <c r="J630" i="3"/>
  <c r="I630" i="3"/>
  <c r="H630" i="3"/>
  <c r="G630" i="3"/>
  <c r="F630" i="3"/>
  <c r="E630" i="3"/>
  <c r="D630" i="3"/>
  <c r="C630" i="3"/>
  <c r="K630" i="3" s="1"/>
  <c r="B630" i="3"/>
  <c r="A630" i="3"/>
  <c r="J629" i="3"/>
  <c r="I629" i="3"/>
  <c r="H629" i="3"/>
  <c r="G629" i="3"/>
  <c r="F629" i="3"/>
  <c r="E629" i="3"/>
  <c r="D629" i="3"/>
  <c r="C629" i="3"/>
  <c r="K629" i="3" s="1"/>
  <c r="B629" i="3"/>
  <c r="A629" i="3"/>
  <c r="J628" i="3"/>
  <c r="I628" i="3"/>
  <c r="H628" i="3"/>
  <c r="G628" i="3"/>
  <c r="F628" i="3"/>
  <c r="E628" i="3"/>
  <c r="D628" i="3"/>
  <c r="C628" i="3"/>
  <c r="K628" i="3" s="1"/>
  <c r="B628" i="3"/>
  <c r="A628" i="3"/>
  <c r="J627" i="3"/>
  <c r="I627" i="3"/>
  <c r="H627" i="3"/>
  <c r="G627" i="3"/>
  <c r="F627" i="3"/>
  <c r="E627" i="3"/>
  <c r="D627" i="3"/>
  <c r="C627" i="3"/>
  <c r="K627" i="3" s="1"/>
  <c r="B627" i="3"/>
  <c r="A627" i="3"/>
  <c r="J626" i="3"/>
  <c r="I626" i="3"/>
  <c r="H626" i="3"/>
  <c r="G626" i="3"/>
  <c r="F626" i="3"/>
  <c r="E626" i="3"/>
  <c r="D626" i="3"/>
  <c r="C626" i="3"/>
  <c r="K626" i="3" s="1"/>
  <c r="B626" i="3"/>
  <c r="A626" i="3"/>
  <c r="J625" i="3"/>
  <c r="I625" i="3"/>
  <c r="H625" i="3"/>
  <c r="G625" i="3"/>
  <c r="F625" i="3"/>
  <c r="E625" i="3"/>
  <c r="D625" i="3"/>
  <c r="C625" i="3"/>
  <c r="K625" i="3" s="1"/>
  <c r="B625" i="3"/>
  <c r="A625" i="3"/>
  <c r="J624" i="3"/>
  <c r="I624" i="3"/>
  <c r="H624" i="3"/>
  <c r="G624" i="3"/>
  <c r="F624" i="3"/>
  <c r="E624" i="3"/>
  <c r="D624" i="3"/>
  <c r="C624" i="3"/>
  <c r="K624" i="3" s="1"/>
  <c r="B624" i="3"/>
  <c r="A624" i="3"/>
  <c r="J623" i="3"/>
  <c r="I623" i="3"/>
  <c r="H623" i="3"/>
  <c r="G623" i="3"/>
  <c r="F623" i="3"/>
  <c r="E623" i="3"/>
  <c r="D623" i="3"/>
  <c r="C623" i="3"/>
  <c r="K623" i="3" s="1"/>
  <c r="B623" i="3"/>
  <c r="A623" i="3"/>
  <c r="J622" i="3"/>
  <c r="I622" i="3"/>
  <c r="H622" i="3"/>
  <c r="G622" i="3"/>
  <c r="F622" i="3"/>
  <c r="E622" i="3"/>
  <c r="D622" i="3"/>
  <c r="C622" i="3"/>
  <c r="K622" i="3" s="1"/>
  <c r="B622" i="3"/>
  <c r="A622" i="3"/>
  <c r="J621" i="3"/>
  <c r="I621" i="3"/>
  <c r="H621" i="3"/>
  <c r="G621" i="3"/>
  <c r="F621" i="3"/>
  <c r="E621" i="3"/>
  <c r="D621" i="3"/>
  <c r="C621" i="3"/>
  <c r="K621" i="3" s="1"/>
  <c r="B621" i="3"/>
  <c r="A621" i="3"/>
  <c r="J620" i="3"/>
  <c r="I620" i="3"/>
  <c r="H620" i="3"/>
  <c r="G620" i="3"/>
  <c r="F620" i="3"/>
  <c r="E620" i="3"/>
  <c r="D620" i="3"/>
  <c r="C620" i="3"/>
  <c r="K620" i="3" s="1"/>
  <c r="B620" i="3"/>
  <c r="A620" i="3"/>
  <c r="J619" i="3"/>
  <c r="I619" i="3"/>
  <c r="H619" i="3"/>
  <c r="G619" i="3"/>
  <c r="F619" i="3"/>
  <c r="E619" i="3"/>
  <c r="D619" i="3"/>
  <c r="C619" i="3"/>
  <c r="K619" i="3" s="1"/>
  <c r="B619" i="3"/>
  <c r="A619" i="3"/>
  <c r="J618" i="3"/>
  <c r="I618" i="3"/>
  <c r="H618" i="3"/>
  <c r="G618" i="3"/>
  <c r="F618" i="3"/>
  <c r="E618" i="3"/>
  <c r="D618" i="3"/>
  <c r="C618" i="3"/>
  <c r="K618" i="3" s="1"/>
  <c r="B618" i="3"/>
  <c r="A618" i="3"/>
  <c r="J617" i="3"/>
  <c r="I617" i="3"/>
  <c r="H617" i="3"/>
  <c r="G617" i="3"/>
  <c r="F617" i="3"/>
  <c r="E617" i="3"/>
  <c r="D617" i="3"/>
  <c r="C617" i="3"/>
  <c r="K617" i="3" s="1"/>
  <c r="B617" i="3"/>
  <c r="A617" i="3"/>
  <c r="J616" i="3"/>
  <c r="I616" i="3"/>
  <c r="H616" i="3"/>
  <c r="G616" i="3"/>
  <c r="F616" i="3"/>
  <c r="E616" i="3"/>
  <c r="D616" i="3"/>
  <c r="C616" i="3"/>
  <c r="K616" i="3" s="1"/>
  <c r="B616" i="3"/>
  <c r="A616" i="3"/>
  <c r="J615" i="3"/>
  <c r="I615" i="3"/>
  <c r="H615" i="3"/>
  <c r="G615" i="3"/>
  <c r="F615" i="3"/>
  <c r="E615" i="3"/>
  <c r="D615" i="3"/>
  <c r="C615" i="3"/>
  <c r="K615" i="3" s="1"/>
  <c r="B615" i="3"/>
  <c r="A615" i="3"/>
  <c r="J614" i="3"/>
  <c r="I614" i="3"/>
  <c r="H614" i="3"/>
  <c r="G614" i="3"/>
  <c r="F614" i="3"/>
  <c r="E614" i="3"/>
  <c r="D614" i="3"/>
  <c r="C614" i="3"/>
  <c r="K614" i="3" s="1"/>
  <c r="B614" i="3"/>
  <c r="A614" i="3"/>
  <c r="J613" i="3"/>
  <c r="I613" i="3"/>
  <c r="H613" i="3"/>
  <c r="G613" i="3"/>
  <c r="F613" i="3"/>
  <c r="E613" i="3"/>
  <c r="D613" i="3"/>
  <c r="C613" i="3"/>
  <c r="K613" i="3" s="1"/>
  <c r="B613" i="3"/>
  <c r="A613" i="3"/>
  <c r="J612" i="3"/>
  <c r="I612" i="3"/>
  <c r="H612" i="3"/>
  <c r="G612" i="3"/>
  <c r="F612" i="3"/>
  <c r="E612" i="3"/>
  <c r="D612" i="3"/>
  <c r="C612" i="3"/>
  <c r="K612" i="3" s="1"/>
  <c r="B612" i="3"/>
  <c r="A612" i="3"/>
  <c r="J611" i="3"/>
  <c r="I611" i="3"/>
  <c r="H611" i="3"/>
  <c r="G611" i="3"/>
  <c r="F611" i="3"/>
  <c r="E611" i="3"/>
  <c r="D611" i="3"/>
  <c r="C611" i="3"/>
  <c r="K611" i="3" s="1"/>
  <c r="B611" i="3"/>
  <c r="A611" i="3"/>
  <c r="J610" i="3"/>
  <c r="I610" i="3"/>
  <c r="H610" i="3"/>
  <c r="G610" i="3"/>
  <c r="F610" i="3"/>
  <c r="E610" i="3"/>
  <c r="D610" i="3"/>
  <c r="C610" i="3"/>
  <c r="K610" i="3" s="1"/>
  <c r="B610" i="3"/>
  <c r="A610" i="3"/>
  <c r="J609" i="3"/>
  <c r="I609" i="3"/>
  <c r="H609" i="3"/>
  <c r="G609" i="3"/>
  <c r="F609" i="3"/>
  <c r="E609" i="3"/>
  <c r="D609" i="3"/>
  <c r="C609" i="3"/>
  <c r="K609" i="3" s="1"/>
  <c r="B609" i="3"/>
  <c r="A609" i="3"/>
  <c r="J608" i="3"/>
  <c r="I608" i="3"/>
  <c r="H608" i="3"/>
  <c r="G608" i="3"/>
  <c r="F608" i="3"/>
  <c r="E608" i="3"/>
  <c r="D608" i="3"/>
  <c r="C608" i="3"/>
  <c r="K608" i="3" s="1"/>
  <c r="B608" i="3"/>
  <c r="A608" i="3"/>
  <c r="J607" i="3"/>
  <c r="I607" i="3"/>
  <c r="H607" i="3"/>
  <c r="G607" i="3"/>
  <c r="F607" i="3"/>
  <c r="E607" i="3"/>
  <c r="D607" i="3"/>
  <c r="C607" i="3"/>
  <c r="K607" i="3" s="1"/>
  <c r="B607" i="3"/>
  <c r="A607" i="3"/>
  <c r="J606" i="3"/>
  <c r="I606" i="3"/>
  <c r="H606" i="3"/>
  <c r="G606" i="3"/>
  <c r="F606" i="3"/>
  <c r="E606" i="3"/>
  <c r="D606" i="3"/>
  <c r="C606" i="3"/>
  <c r="K606" i="3" s="1"/>
  <c r="B606" i="3"/>
  <c r="A606" i="3"/>
  <c r="J605" i="3"/>
  <c r="I605" i="3"/>
  <c r="H605" i="3"/>
  <c r="G605" i="3"/>
  <c r="F605" i="3"/>
  <c r="E605" i="3"/>
  <c r="D605" i="3"/>
  <c r="C605" i="3"/>
  <c r="K605" i="3" s="1"/>
  <c r="B605" i="3"/>
  <c r="A605" i="3"/>
  <c r="J604" i="3"/>
  <c r="I604" i="3"/>
  <c r="H604" i="3"/>
  <c r="G604" i="3"/>
  <c r="F604" i="3"/>
  <c r="E604" i="3"/>
  <c r="D604" i="3"/>
  <c r="C604" i="3"/>
  <c r="K604" i="3" s="1"/>
  <c r="B604" i="3"/>
  <c r="A604" i="3"/>
  <c r="J603" i="3"/>
  <c r="I603" i="3"/>
  <c r="H603" i="3"/>
  <c r="G603" i="3"/>
  <c r="F603" i="3"/>
  <c r="E603" i="3"/>
  <c r="D603" i="3"/>
  <c r="C603" i="3"/>
  <c r="K603" i="3" s="1"/>
  <c r="B603" i="3"/>
  <c r="A603" i="3"/>
  <c r="J602" i="3"/>
  <c r="I602" i="3"/>
  <c r="H602" i="3"/>
  <c r="G602" i="3"/>
  <c r="F602" i="3"/>
  <c r="E602" i="3"/>
  <c r="D602" i="3"/>
  <c r="C602" i="3"/>
  <c r="K602" i="3" s="1"/>
  <c r="B602" i="3"/>
  <c r="A602" i="3"/>
  <c r="J601" i="3"/>
  <c r="I601" i="3"/>
  <c r="H601" i="3"/>
  <c r="G601" i="3"/>
  <c r="F601" i="3"/>
  <c r="E601" i="3"/>
  <c r="D601" i="3"/>
  <c r="C601" i="3"/>
  <c r="K601" i="3" s="1"/>
  <c r="B601" i="3"/>
  <c r="A601" i="3"/>
  <c r="J600" i="3"/>
  <c r="I600" i="3"/>
  <c r="H600" i="3"/>
  <c r="G600" i="3"/>
  <c r="F600" i="3"/>
  <c r="E600" i="3"/>
  <c r="D600" i="3"/>
  <c r="C600" i="3"/>
  <c r="K600" i="3" s="1"/>
  <c r="B600" i="3"/>
  <c r="A600" i="3"/>
  <c r="J599" i="3"/>
  <c r="I599" i="3"/>
  <c r="H599" i="3"/>
  <c r="G599" i="3"/>
  <c r="F599" i="3"/>
  <c r="E599" i="3"/>
  <c r="D599" i="3"/>
  <c r="C599" i="3"/>
  <c r="K599" i="3" s="1"/>
  <c r="B599" i="3"/>
  <c r="A599" i="3"/>
  <c r="J598" i="3"/>
  <c r="I598" i="3"/>
  <c r="H598" i="3"/>
  <c r="G598" i="3"/>
  <c r="F598" i="3"/>
  <c r="E598" i="3"/>
  <c r="D598" i="3"/>
  <c r="C598" i="3"/>
  <c r="K598" i="3" s="1"/>
  <c r="B598" i="3"/>
  <c r="A598" i="3"/>
  <c r="J597" i="3"/>
  <c r="I597" i="3"/>
  <c r="H597" i="3"/>
  <c r="G597" i="3"/>
  <c r="F597" i="3"/>
  <c r="E597" i="3"/>
  <c r="D597" i="3"/>
  <c r="C597" i="3"/>
  <c r="K597" i="3" s="1"/>
  <c r="B597" i="3"/>
  <c r="A597" i="3"/>
  <c r="J596" i="3"/>
  <c r="I596" i="3"/>
  <c r="H596" i="3"/>
  <c r="G596" i="3"/>
  <c r="F596" i="3"/>
  <c r="E596" i="3"/>
  <c r="D596" i="3"/>
  <c r="C596" i="3"/>
  <c r="K596" i="3" s="1"/>
  <c r="B596" i="3"/>
  <c r="A596" i="3"/>
  <c r="J595" i="3"/>
  <c r="I595" i="3"/>
  <c r="H595" i="3"/>
  <c r="G595" i="3"/>
  <c r="F595" i="3"/>
  <c r="E595" i="3"/>
  <c r="D595" i="3"/>
  <c r="C595" i="3"/>
  <c r="K595" i="3" s="1"/>
  <c r="B595" i="3"/>
  <c r="A595" i="3"/>
  <c r="J594" i="3"/>
  <c r="I594" i="3"/>
  <c r="H594" i="3"/>
  <c r="G594" i="3"/>
  <c r="F594" i="3"/>
  <c r="E594" i="3"/>
  <c r="D594" i="3"/>
  <c r="C594" i="3"/>
  <c r="K594" i="3" s="1"/>
  <c r="B594" i="3"/>
  <c r="A594" i="3"/>
  <c r="J593" i="3"/>
  <c r="I593" i="3"/>
  <c r="H593" i="3"/>
  <c r="G593" i="3"/>
  <c r="F593" i="3"/>
  <c r="E593" i="3"/>
  <c r="D593" i="3"/>
  <c r="C593" i="3"/>
  <c r="K593" i="3" s="1"/>
  <c r="B593" i="3"/>
  <c r="A593" i="3"/>
  <c r="J592" i="3"/>
  <c r="I592" i="3"/>
  <c r="H592" i="3"/>
  <c r="G592" i="3"/>
  <c r="F592" i="3"/>
  <c r="E592" i="3"/>
  <c r="D592" i="3"/>
  <c r="C592" i="3"/>
  <c r="K592" i="3" s="1"/>
  <c r="B592" i="3"/>
  <c r="A592" i="3"/>
  <c r="J591" i="3"/>
  <c r="I591" i="3"/>
  <c r="H591" i="3"/>
  <c r="G591" i="3"/>
  <c r="F591" i="3"/>
  <c r="E591" i="3"/>
  <c r="D591" i="3"/>
  <c r="C591" i="3"/>
  <c r="K591" i="3" s="1"/>
  <c r="B591" i="3"/>
  <c r="A591" i="3"/>
  <c r="J590" i="3"/>
  <c r="I590" i="3"/>
  <c r="H590" i="3"/>
  <c r="G590" i="3"/>
  <c r="F590" i="3"/>
  <c r="E590" i="3"/>
  <c r="D590" i="3"/>
  <c r="C590" i="3"/>
  <c r="K590" i="3" s="1"/>
  <c r="B590" i="3"/>
  <c r="A590" i="3"/>
  <c r="J589" i="3"/>
  <c r="I589" i="3"/>
  <c r="H589" i="3"/>
  <c r="G589" i="3"/>
  <c r="F589" i="3"/>
  <c r="E589" i="3"/>
  <c r="D589" i="3"/>
  <c r="C589" i="3"/>
  <c r="K589" i="3" s="1"/>
  <c r="B589" i="3"/>
  <c r="A589" i="3"/>
  <c r="J588" i="3"/>
  <c r="I588" i="3"/>
  <c r="H588" i="3"/>
  <c r="G588" i="3"/>
  <c r="F588" i="3"/>
  <c r="E588" i="3"/>
  <c r="D588" i="3"/>
  <c r="C588" i="3"/>
  <c r="K588" i="3" s="1"/>
  <c r="B588" i="3"/>
  <c r="A588" i="3"/>
  <c r="J587" i="3"/>
  <c r="I587" i="3"/>
  <c r="H587" i="3"/>
  <c r="G587" i="3"/>
  <c r="F587" i="3"/>
  <c r="E587" i="3"/>
  <c r="D587" i="3"/>
  <c r="C587" i="3"/>
  <c r="K587" i="3" s="1"/>
  <c r="B587" i="3"/>
  <c r="A587" i="3"/>
  <c r="J586" i="3"/>
  <c r="I586" i="3"/>
  <c r="H586" i="3"/>
  <c r="G586" i="3"/>
  <c r="F586" i="3"/>
  <c r="E586" i="3"/>
  <c r="D586" i="3"/>
  <c r="C586" i="3"/>
  <c r="K586" i="3" s="1"/>
  <c r="B586" i="3"/>
  <c r="A586" i="3"/>
  <c r="J585" i="3"/>
  <c r="I585" i="3"/>
  <c r="H585" i="3"/>
  <c r="G585" i="3"/>
  <c r="F585" i="3"/>
  <c r="E585" i="3"/>
  <c r="D585" i="3"/>
  <c r="C585" i="3"/>
  <c r="K585" i="3" s="1"/>
  <c r="B585" i="3"/>
  <c r="A585" i="3"/>
  <c r="J584" i="3"/>
  <c r="I584" i="3"/>
  <c r="H584" i="3"/>
  <c r="G584" i="3"/>
  <c r="F584" i="3"/>
  <c r="E584" i="3"/>
  <c r="D584" i="3"/>
  <c r="C584" i="3"/>
  <c r="K584" i="3" s="1"/>
  <c r="B584" i="3"/>
  <c r="A584" i="3"/>
  <c r="J583" i="3"/>
  <c r="I583" i="3"/>
  <c r="H583" i="3"/>
  <c r="G583" i="3"/>
  <c r="F583" i="3"/>
  <c r="E583" i="3"/>
  <c r="D583" i="3"/>
  <c r="C583" i="3"/>
  <c r="K583" i="3" s="1"/>
  <c r="B583" i="3"/>
  <c r="A583" i="3"/>
  <c r="J582" i="3"/>
  <c r="I582" i="3"/>
  <c r="H582" i="3"/>
  <c r="G582" i="3"/>
  <c r="F582" i="3"/>
  <c r="E582" i="3"/>
  <c r="D582" i="3"/>
  <c r="C582" i="3"/>
  <c r="K582" i="3" s="1"/>
  <c r="B582" i="3"/>
  <c r="A582" i="3"/>
  <c r="J581" i="3"/>
  <c r="I581" i="3"/>
  <c r="H581" i="3"/>
  <c r="G581" i="3"/>
  <c r="F581" i="3"/>
  <c r="E581" i="3"/>
  <c r="D581" i="3"/>
  <c r="C581" i="3"/>
  <c r="K581" i="3" s="1"/>
  <c r="B581" i="3"/>
  <c r="A581" i="3"/>
  <c r="J580" i="3"/>
  <c r="I580" i="3"/>
  <c r="H580" i="3"/>
  <c r="G580" i="3"/>
  <c r="F580" i="3"/>
  <c r="E580" i="3"/>
  <c r="D580" i="3"/>
  <c r="C580" i="3"/>
  <c r="K580" i="3" s="1"/>
  <c r="B580" i="3"/>
  <c r="A580" i="3"/>
  <c r="J579" i="3"/>
  <c r="I579" i="3"/>
  <c r="H579" i="3"/>
  <c r="G579" i="3"/>
  <c r="F579" i="3"/>
  <c r="E579" i="3"/>
  <c r="D579" i="3"/>
  <c r="C579" i="3"/>
  <c r="K579" i="3" s="1"/>
  <c r="B579" i="3"/>
  <c r="A579" i="3"/>
  <c r="J578" i="3"/>
  <c r="I578" i="3"/>
  <c r="H578" i="3"/>
  <c r="G578" i="3"/>
  <c r="F578" i="3"/>
  <c r="E578" i="3"/>
  <c r="D578" i="3"/>
  <c r="C578" i="3"/>
  <c r="K578" i="3" s="1"/>
  <c r="B578" i="3"/>
  <c r="A578" i="3"/>
  <c r="J577" i="3"/>
  <c r="I577" i="3"/>
  <c r="H577" i="3"/>
  <c r="G577" i="3"/>
  <c r="F577" i="3"/>
  <c r="E577" i="3"/>
  <c r="D577" i="3"/>
  <c r="C577" i="3"/>
  <c r="K577" i="3" s="1"/>
  <c r="B577" i="3"/>
  <c r="A577" i="3"/>
  <c r="J576" i="3"/>
  <c r="I576" i="3"/>
  <c r="H576" i="3"/>
  <c r="G576" i="3"/>
  <c r="F576" i="3"/>
  <c r="E576" i="3"/>
  <c r="D576" i="3"/>
  <c r="C576" i="3"/>
  <c r="K576" i="3" s="1"/>
  <c r="B576" i="3"/>
  <c r="A576" i="3"/>
  <c r="J575" i="3"/>
  <c r="I575" i="3"/>
  <c r="H575" i="3"/>
  <c r="G575" i="3"/>
  <c r="F575" i="3"/>
  <c r="E575" i="3"/>
  <c r="D575" i="3"/>
  <c r="C575" i="3"/>
  <c r="K575" i="3" s="1"/>
  <c r="B575" i="3"/>
  <c r="A575" i="3"/>
  <c r="J574" i="3"/>
  <c r="I574" i="3"/>
  <c r="H574" i="3"/>
  <c r="G574" i="3"/>
  <c r="F574" i="3"/>
  <c r="E574" i="3"/>
  <c r="D574" i="3"/>
  <c r="C574" i="3"/>
  <c r="K574" i="3" s="1"/>
  <c r="B574" i="3"/>
  <c r="A574" i="3"/>
  <c r="J573" i="3"/>
  <c r="I573" i="3"/>
  <c r="H573" i="3"/>
  <c r="G573" i="3"/>
  <c r="F573" i="3"/>
  <c r="E573" i="3"/>
  <c r="D573" i="3"/>
  <c r="C573" i="3"/>
  <c r="K573" i="3" s="1"/>
  <c r="B573" i="3"/>
  <c r="A573" i="3"/>
  <c r="J572" i="3"/>
  <c r="I572" i="3"/>
  <c r="H572" i="3"/>
  <c r="G572" i="3"/>
  <c r="F572" i="3"/>
  <c r="E572" i="3"/>
  <c r="D572" i="3"/>
  <c r="C572" i="3"/>
  <c r="K572" i="3" s="1"/>
  <c r="B572" i="3"/>
  <c r="A572" i="3"/>
  <c r="J571" i="3"/>
  <c r="I571" i="3"/>
  <c r="H571" i="3"/>
  <c r="G571" i="3"/>
  <c r="F571" i="3"/>
  <c r="E571" i="3"/>
  <c r="D571" i="3"/>
  <c r="C571" i="3"/>
  <c r="K571" i="3" s="1"/>
  <c r="B571" i="3"/>
  <c r="A571" i="3"/>
  <c r="J570" i="3"/>
  <c r="I570" i="3"/>
  <c r="H570" i="3"/>
  <c r="G570" i="3"/>
  <c r="F570" i="3"/>
  <c r="E570" i="3"/>
  <c r="D570" i="3"/>
  <c r="C570" i="3"/>
  <c r="K570" i="3" s="1"/>
  <c r="B570" i="3"/>
  <c r="A570" i="3"/>
  <c r="J569" i="3"/>
  <c r="I569" i="3"/>
  <c r="H569" i="3"/>
  <c r="G569" i="3"/>
  <c r="F569" i="3"/>
  <c r="E569" i="3"/>
  <c r="D569" i="3"/>
  <c r="C569" i="3"/>
  <c r="K569" i="3" s="1"/>
  <c r="B569" i="3"/>
  <c r="A569" i="3"/>
  <c r="J568" i="3"/>
  <c r="I568" i="3"/>
  <c r="H568" i="3"/>
  <c r="G568" i="3"/>
  <c r="F568" i="3"/>
  <c r="E568" i="3"/>
  <c r="D568" i="3"/>
  <c r="C568" i="3"/>
  <c r="K568" i="3" s="1"/>
  <c r="B568" i="3"/>
  <c r="A568" i="3"/>
  <c r="J567" i="3"/>
  <c r="I567" i="3"/>
  <c r="H567" i="3"/>
  <c r="G567" i="3"/>
  <c r="F567" i="3"/>
  <c r="E567" i="3"/>
  <c r="D567" i="3"/>
  <c r="C567" i="3"/>
  <c r="K567" i="3" s="1"/>
  <c r="B567" i="3"/>
  <c r="A567" i="3"/>
  <c r="J566" i="3"/>
  <c r="I566" i="3"/>
  <c r="H566" i="3"/>
  <c r="G566" i="3"/>
  <c r="F566" i="3"/>
  <c r="E566" i="3"/>
  <c r="D566" i="3"/>
  <c r="C566" i="3"/>
  <c r="K566" i="3" s="1"/>
  <c r="B566" i="3"/>
  <c r="A566" i="3"/>
  <c r="J565" i="3"/>
  <c r="I565" i="3"/>
  <c r="H565" i="3"/>
  <c r="G565" i="3"/>
  <c r="F565" i="3"/>
  <c r="E565" i="3"/>
  <c r="D565" i="3"/>
  <c r="C565" i="3"/>
  <c r="K565" i="3" s="1"/>
  <c r="B565" i="3"/>
  <c r="A565" i="3"/>
  <c r="J564" i="3"/>
  <c r="I564" i="3"/>
  <c r="H564" i="3"/>
  <c r="G564" i="3"/>
  <c r="F564" i="3"/>
  <c r="E564" i="3"/>
  <c r="D564" i="3"/>
  <c r="C564" i="3"/>
  <c r="K564" i="3" s="1"/>
  <c r="B564" i="3"/>
  <c r="A564" i="3"/>
  <c r="J563" i="3"/>
  <c r="I563" i="3"/>
  <c r="H563" i="3"/>
  <c r="G563" i="3"/>
  <c r="F563" i="3"/>
  <c r="E563" i="3"/>
  <c r="D563" i="3"/>
  <c r="C563" i="3"/>
  <c r="K563" i="3" s="1"/>
  <c r="B563" i="3"/>
  <c r="A563" i="3"/>
  <c r="J562" i="3"/>
  <c r="I562" i="3"/>
  <c r="H562" i="3"/>
  <c r="G562" i="3"/>
  <c r="F562" i="3"/>
  <c r="E562" i="3"/>
  <c r="D562" i="3"/>
  <c r="C562" i="3"/>
  <c r="K562" i="3" s="1"/>
  <c r="B562" i="3"/>
  <c r="A562" i="3"/>
  <c r="J561" i="3"/>
  <c r="I561" i="3"/>
  <c r="H561" i="3"/>
  <c r="G561" i="3"/>
  <c r="F561" i="3"/>
  <c r="E561" i="3"/>
  <c r="D561" i="3"/>
  <c r="C561" i="3"/>
  <c r="K561" i="3" s="1"/>
  <c r="B561" i="3"/>
  <c r="A561" i="3"/>
  <c r="J560" i="3"/>
  <c r="I560" i="3"/>
  <c r="H560" i="3"/>
  <c r="G560" i="3"/>
  <c r="F560" i="3"/>
  <c r="E560" i="3"/>
  <c r="D560" i="3"/>
  <c r="C560" i="3"/>
  <c r="K560" i="3" s="1"/>
  <c r="B560" i="3"/>
  <c r="A560" i="3"/>
  <c r="J559" i="3"/>
  <c r="I559" i="3"/>
  <c r="H559" i="3"/>
  <c r="G559" i="3"/>
  <c r="F559" i="3"/>
  <c r="E559" i="3"/>
  <c r="D559" i="3"/>
  <c r="C559" i="3"/>
  <c r="K559" i="3" s="1"/>
  <c r="B559" i="3"/>
  <c r="A559" i="3"/>
  <c r="J558" i="3"/>
  <c r="I558" i="3"/>
  <c r="H558" i="3"/>
  <c r="G558" i="3"/>
  <c r="F558" i="3"/>
  <c r="E558" i="3"/>
  <c r="D558" i="3"/>
  <c r="C558" i="3"/>
  <c r="K558" i="3" s="1"/>
  <c r="B558" i="3"/>
  <c r="A558" i="3"/>
  <c r="J557" i="3"/>
  <c r="I557" i="3"/>
  <c r="H557" i="3"/>
  <c r="G557" i="3"/>
  <c r="F557" i="3"/>
  <c r="E557" i="3"/>
  <c r="D557" i="3"/>
  <c r="C557" i="3"/>
  <c r="K557" i="3" s="1"/>
  <c r="B557" i="3"/>
  <c r="A557" i="3"/>
  <c r="J556" i="3"/>
  <c r="I556" i="3"/>
  <c r="H556" i="3"/>
  <c r="G556" i="3"/>
  <c r="F556" i="3"/>
  <c r="E556" i="3"/>
  <c r="D556" i="3"/>
  <c r="C556" i="3"/>
  <c r="K556" i="3" s="1"/>
  <c r="B556" i="3"/>
  <c r="A556" i="3"/>
  <c r="J555" i="3"/>
  <c r="I555" i="3"/>
  <c r="H555" i="3"/>
  <c r="G555" i="3"/>
  <c r="F555" i="3"/>
  <c r="E555" i="3"/>
  <c r="D555" i="3"/>
  <c r="C555" i="3"/>
  <c r="K555" i="3" s="1"/>
  <c r="B555" i="3"/>
  <c r="A555" i="3"/>
  <c r="J554" i="3"/>
  <c r="I554" i="3"/>
  <c r="H554" i="3"/>
  <c r="G554" i="3"/>
  <c r="F554" i="3"/>
  <c r="E554" i="3"/>
  <c r="D554" i="3"/>
  <c r="C554" i="3"/>
  <c r="K554" i="3" s="1"/>
  <c r="B554" i="3"/>
  <c r="A554" i="3"/>
  <c r="J553" i="3"/>
  <c r="I553" i="3"/>
  <c r="H553" i="3"/>
  <c r="G553" i="3"/>
  <c r="F553" i="3"/>
  <c r="E553" i="3"/>
  <c r="D553" i="3"/>
  <c r="C553" i="3"/>
  <c r="K553" i="3" s="1"/>
  <c r="B553" i="3"/>
  <c r="A553" i="3"/>
  <c r="J552" i="3"/>
  <c r="I552" i="3"/>
  <c r="H552" i="3"/>
  <c r="G552" i="3"/>
  <c r="F552" i="3"/>
  <c r="E552" i="3"/>
  <c r="D552" i="3"/>
  <c r="C552" i="3"/>
  <c r="K552" i="3" s="1"/>
  <c r="B552" i="3"/>
  <c r="A552" i="3"/>
  <c r="J551" i="3"/>
  <c r="I551" i="3"/>
  <c r="H551" i="3"/>
  <c r="G551" i="3"/>
  <c r="F551" i="3"/>
  <c r="E551" i="3"/>
  <c r="D551" i="3"/>
  <c r="C551" i="3"/>
  <c r="K551" i="3" s="1"/>
  <c r="B551" i="3"/>
  <c r="A551" i="3"/>
  <c r="J550" i="3"/>
  <c r="I550" i="3"/>
  <c r="H550" i="3"/>
  <c r="G550" i="3"/>
  <c r="F550" i="3"/>
  <c r="E550" i="3"/>
  <c r="D550" i="3"/>
  <c r="C550" i="3"/>
  <c r="K550" i="3" s="1"/>
  <c r="B550" i="3"/>
  <c r="A550" i="3"/>
  <c r="J549" i="3"/>
  <c r="I549" i="3"/>
  <c r="H549" i="3"/>
  <c r="G549" i="3"/>
  <c r="F549" i="3"/>
  <c r="E549" i="3"/>
  <c r="D549" i="3"/>
  <c r="C549" i="3"/>
  <c r="K549" i="3" s="1"/>
  <c r="B549" i="3"/>
  <c r="A549" i="3"/>
  <c r="J548" i="3"/>
  <c r="I548" i="3"/>
  <c r="H548" i="3"/>
  <c r="G548" i="3"/>
  <c r="F548" i="3"/>
  <c r="E548" i="3"/>
  <c r="D548" i="3"/>
  <c r="C548" i="3"/>
  <c r="K548" i="3" s="1"/>
  <c r="B548" i="3"/>
  <c r="A548" i="3"/>
  <c r="J547" i="3"/>
  <c r="I547" i="3"/>
  <c r="H547" i="3"/>
  <c r="G547" i="3"/>
  <c r="F547" i="3"/>
  <c r="E547" i="3"/>
  <c r="D547" i="3"/>
  <c r="C547" i="3"/>
  <c r="K547" i="3" s="1"/>
  <c r="B547" i="3"/>
  <c r="A547" i="3"/>
  <c r="J546" i="3"/>
  <c r="I546" i="3"/>
  <c r="H546" i="3"/>
  <c r="G546" i="3"/>
  <c r="F546" i="3"/>
  <c r="E546" i="3"/>
  <c r="D546" i="3"/>
  <c r="C546" i="3"/>
  <c r="K546" i="3" s="1"/>
  <c r="B546" i="3"/>
  <c r="A546" i="3"/>
  <c r="J545" i="3"/>
  <c r="I545" i="3"/>
  <c r="H545" i="3"/>
  <c r="G545" i="3"/>
  <c r="F545" i="3"/>
  <c r="E545" i="3"/>
  <c r="D545" i="3"/>
  <c r="C545" i="3"/>
  <c r="K545" i="3" s="1"/>
  <c r="B545" i="3"/>
  <c r="A545" i="3"/>
  <c r="J544" i="3"/>
  <c r="I544" i="3"/>
  <c r="H544" i="3"/>
  <c r="G544" i="3"/>
  <c r="F544" i="3"/>
  <c r="E544" i="3"/>
  <c r="D544" i="3"/>
  <c r="C544" i="3"/>
  <c r="K544" i="3" s="1"/>
  <c r="B544" i="3"/>
  <c r="A544" i="3"/>
  <c r="J543" i="3"/>
  <c r="I543" i="3"/>
  <c r="H543" i="3"/>
  <c r="G543" i="3"/>
  <c r="F543" i="3"/>
  <c r="E543" i="3"/>
  <c r="D543" i="3"/>
  <c r="C543" i="3"/>
  <c r="K543" i="3" s="1"/>
  <c r="B543" i="3"/>
  <c r="A543" i="3"/>
  <c r="J542" i="3"/>
  <c r="I542" i="3"/>
  <c r="H542" i="3"/>
  <c r="G542" i="3"/>
  <c r="F542" i="3"/>
  <c r="E542" i="3"/>
  <c r="D542" i="3"/>
  <c r="C542" i="3"/>
  <c r="K542" i="3" s="1"/>
  <c r="B542" i="3"/>
  <c r="A542" i="3"/>
  <c r="J541" i="3"/>
  <c r="I541" i="3"/>
  <c r="H541" i="3"/>
  <c r="G541" i="3"/>
  <c r="F541" i="3"/>
  <c r="E541" i="3"/>
  <c r="D541" i="3"/>
  <c r="C541" i="3"/>
  <c r="K541" i="3" s="1"/>
  <c r="B541" i="3"/>
  <c r="A541" i="3"/>
  <c r="J540" i="3"/>
  <c r="I540" i="3"/>
  <c r="H540" i="3"/>
  <c r="G540" i="3"/>
  <c r="F540" i="3"/>
  <c r="E540" i="3"/>
  <c r="D540" i="3"/>
  <c r="C540" i="3"/>
  <c r="K540" i="3" s="1"/>
  <c r="B540" i="3"/>
  <c r="A540" i="3"/>
  <c r="J539" i="3"/>
  <c r="I539" i="3"/>
  <c r="H539" i="3"/>
  <c r="G539" i="3"/>
  <c r="F539" i="3"/>
  <c r="E539" i="3"/>
  <c r="D539" i="3"/>
  <c r="C539" i="3"/>
  <c r="K539" i="3" s="1"/>
  <c r="B539" i="3"/>
  <c r="A539" i="3"/>
  <c r="J538" i="3"/>
  <c r="I538" i="3"/>
  <c r="H538" i="3"/>
  <c r="G538" i="3"/>
  <c r="F538" i="3"/>
  <c r="E538" i="3"/>
  <c r="D538" i="3"/>
  <c r="C538" i="3"/>
  <c r="K538" i="3" s="1"/>
  <c r="B538" i="3"/>
  <c r="A538" i="3"/>
  <c r="J537" i="3"/>
  <c r="I537" i="3"/>
  <c r="H537" i="3"/>
  <c r="G537" i="3"/>
  <c r="F537" i="3"/>
  <c r="E537" i="3"/>
  <c r="D537" i="3"/>
  <c r="C537" i="3"/>
  <c r="K537" i="3" s="1"/>
  <c r="B537" i="3"/>
  <c r="A537" i="3"/>
  <c r="J536" i="3"/>
  <c r="I536" i="3"/>
  <c r="H536" i="3"/>
  <c r="G536" i="3"/>
  <c r="F536" i="3"/>
  <c r="E536" i="3"/>
  <c r="D536" i="3"/>
  <c r="C536" i="3"/>
  <c r="K536" i="3" s="1"/>
  <c r="B536" i="3"/>
  <c r="A536" i="3"/>
  <c r="J535" i="3"/>
  <c r="I535" i="3"/>
  <c r="H535" i="3"/>
  <c r="G535" i="3"/>
  <c r="F535" i="3"/>
  <c r="E535" i="3"/>
  <c r="D535" i="3"/>
  <c r="C535" i="3"/>
  <c r="K535" i="3" s="1"/>
  <c r="B535" i="3"/>
  <c r="A535" i="3"/>
  <c r="J534" i="3"/>
  <c r="I534" i="3"/>
  <c r="H534" i="3"/>
  <c r="G534" i="3"/>
  <c r="F534" i="3"/>
  <c r="E534" i="3"/>
  <c r="D534" i="3"/>
  <c r="C534" i="3"/>
  <c r="K534" i="3" s="1"/>
  <c r="B534" i="3"/>
  <c r="A534" i="3"/>
  <c r="J533" i="3"/>
  <c r="I533" i="3"/>
  <c r="H533" i="3"/>
  <c r="G533" i="3"/>
  <c r="F533" i="3"/>
  <c r="E533" i="3"/>
  <c r="D533" i="3"/>
  <c r="C533" i="3"/>
  <c r="K533" i="3" s="1"/>
  <c r="B533" i="3"/>
  <c r="A533" i="3"/>
  <c r="J532" i="3"/>
  <c r="I532" i="3"/>
  <c r="H532" i="3"/>
  <c r="G532" i="3"/>
  <c r="F532" i="3"/>
  <c r="E532" i="3"/>
  <c r="D532" i="3"/>
  <c r="C532" i="3"/>
  <c r="K532" i="3" s="1"/>
  <c r="B532" i="3"/>
  <c r="A532" i="3"/>
  <c r="J531" i="3"/>
  <c r="I531" i="3"/>
  <c r="H531" i="3"/>
  <c r="G531" i="3"/>
  <c r="F531" i="3"/>
  <c r="E531" i="3"/>
  <c r="D531" i="3"/>
  <c r="C531" i="3"/>
  <c r="K531" i="3" s="1"/>
  <c r="B531" i="3"/>
  <c r="A531" i="3"/>
  <c r="J530" i="3"/>
  <c r="I530" i="3"/>
  <c r="H530" i="3"/>
  <c r="G530" i="3"/>
  <c r="F530" i="3"/>
  <c r="E530" i="3"/>
  <c r="D530" i="3"/>
  <c r="C530" i="3"/>
  <c r="K530" i="3" s="1"/>
  <c r="B530" i="3"/>
  <c r="A530" i="3"/>
  <c r="J529" i="3"/>
  <c r="I529" i="3"/>
  <c r="H529" i="3"/>
  <c r="G529" i="3"/>
  <c r="F529" i="3"/>
  <c r="E529" i="3"/>
  <c r="D529" i="3"/>
  <c r="C529" i="3"/>
  <c r="K529" i="3" s="1"/>
  <c r="B529" i="3"/>
  <c r="A529" i="3"/>
  <c r="J528" i="3"/>
  <c r="I528" i="3"/>
  <c r="H528" i="3"/>
  <c r="G528" i="3"/>
  <c r="F528" i="3"/>
  <c r="E528" i="3"/>
  <c r="D528" i="3"/>
  <c r="C528" i="3"/>
  <c r="K528" i="3" s="1"/>
  <c r="B528" i="3"/>
  <c r="A528" i="3"/>
  <c r="J527" i="3"/>
  <c r="I527" i="3"/>
  <c r="H527" i="3"/>
  <c r="G527" i="3"/>
  <c r="F527" i="3"/>
  <c r="E527" i="3"/>
  <c r="D527" i="3"/>
  <c r="C527" i="3"/>
  <c r="K527" i="3" s="1"/>
  <c r="B527" i="3"/>
  <c r="A527" i="3"/>
  <c r="J526" i="3"/>
  <c r="I526" i="3"/>
  <c r="H526" i="3"/>
  <c r="G526" i="3"/>
  <c r="F526" i="3"/>
  <c r="E526" i="3"/>
  <c r="D526" i="3"/>
  <c r="C526" i="3"/>
  <c r="K526" i="3" s="1"/>
  <c r="B526" i="3"/>
  <c r="A526" i="3"/>
  <c r="J525" i="3"/>
  <c r="I525" i="3"/>
  <c r="H525" i="3"/>
  <c r="G525" i="3"/>
  <c r="F525" i="3"/>
  <c r="E525" i="3"/>
  <c r="D525" i="3"/>
  <c r="C525" i="3"/>
  <c r="K525" i="3" s="1"/>
  <c r="B525" i="3"/>
  <c r="A525" i="3"/>
  <c r="J524" i="3"/>
  <c r="K524" i="3" s="1"/>
  <c r="I524" i="3"/>
  <c r="H524" i="3"/>
  <c r="G524" i="3"/>
  <c r="F524" i="3"/>
  <c r="E524" i="3"/>
  <c r="D524" i="3"/>
  <c r="C524" i="3"/>
  <c r="B524" i="3"/>
  <c r="A524" i="3"/>
  <c r="J523" i="3"/>
  <c r="I523" i="3"/>
  <c r="H523" i="3"/>
  <c r="G523" i="3"/>
  <c r="F523" i="3"/>
  <c r="E523" i="3"/>
  <c r="D523" i="3"/>
  <c r="C523" i="3"/>
  <c r="K523" i="3" s="1"/>
  <c r="B523" i="3"/>
  <c r="A523" i="3"/>
  <c r="J522" i="3"/>
  <c r="I522" i="3"/>
  <c r="H522" i="3"/>
  <c r="G522" i="3"/>
  <c r="F522" i="3"/>
  <c r="E522" i="3"/>
  <c r="D522" i="3"/>
  <c r="C522" i="3"/>
  <c r="K522" i="3" s="1"/>
  <c r="B522" i="3"/>
  <c r="A522" i="3"/>
  <c r="J521" i="3"/>
  <c r="I521" i="3"/>
  <c r="H521" i="3"/>
  <c r="G521" i="3"/>
  <c r="F521" i="3"/>
  <c r="E521" i="3"/>
  <c r="D521" i="3"/>
  <c r="C521" i="3"/>
  <c r="K521" i="3" s="1"/>
  <c r="B521" i="3"/>
  <c r="A521" i="3"/>
  <c r="J520" i="3"/>
  <c r="I520" i="3"/>
  <c r="H520" i="3"/>
  <c r="G520" i="3"/>
  <c r="F520" i="3"/>
  <c r="E520" i="3"/>
  <c r="D520" i="3"/>
  <c r="C520" i="3"/>
  <c r="K520" i="3" s="1"/>
  <c r="B520" i="3"/>
  <c r="A520" i="3"/>
  <c r="J519" i="3"/>
  <c r="I519" i="3"/>
  <c r="H519" i="3"/>
  <c r="G519" i="3"/>
  <c r="F519" i="3"/>
  <c r="E519" i="3"/>
  <c r="D519" i="3"/>
  <c r="C519" i="3"/>
  <c r="K519" i="3" s="1"/>
  <c r="B519" i="3"/>
  <c r="A519" i="3"/>
  <c r="J518" i="3"/>
  <c r="I518" i="3"/>
  <c r="H518" i="3"/>
  <c r="G518" i="3"/>
  <c r="F518" i="3"/>
  <c r="E518" i="3"/>
  <c r="D518" i="3"/>
  <c r="C518" i="3"/>
  <c r="K518" i="3" s="1"/>
  <c r="B518" i="3"/>
  <c r="A518" i="3"/>
  <c r="J517" i="3"/>
  <c r="I517" i="3"/>
  <c r="H517" i="3"/>
  <c r="G517" i="3"/>
  <c r="F517" i="3"/>
  <c r="E517" i="3"/>
  <c r="D517" i="3"/>
  <c r="C517" i="3"/>
  <c r="K517" i="3" s="1"/>
  <c r="B517" i="3"/>
  <c r="A517" i="3"/>
  <c r="J516" i="3"/>
  <c r="I516" i="3"/>
  <c r="H516" i="3"/>
  <c r="G516" i="3"/>
  <c r="F516" i="3"/>
  <c r="E516" i="3"/>
  <c r="D516" i="3"/>
  <c r="C516" i="3"/>
  <c r="K516" i="3" s="1"/>
  <c r="B516" i="3"/>
  <c r="A516" i="3"/>
  <c r="J515" i="3"/>
  <c r="I515" i="3"/>
  <c r="H515" i="3"/>
  <c r="G515" i="3"/>
  <c r="F515" i="3"/>
  <c r="E515" i="3"/>
  <c r="D515" i="3"/>
  <c r="C515" i="3"/>
  <c r="K515" i="3" s="1"/>
  <c r="B515" i="3"/>
  <c r="A515" i="3"/>
  <c r="J514" i="3"/>
  <c r="I514" i="3"/>
  <c r="H514" i="3"/>
  <c r="G514" i="3"/>
  <c r="F514" i="3"/>
  <c r="E514" i="3"/>
  <c r="D514" i="3"/>
  <c r="C514" i="3"/>
  <c r="K514" i="3" s="1"/>
  <c r="B514" i="3"/>
  <c r="A514" i="3"/>
  <c r="J513" i="3"/>
  <c r="I513" i="3"/>
  <c r="H513" i="3"/>
  <c r="G513" i="3"/>
  <c r="F513" i="3"/>
  <c r="E513" i="3"/>
  <c r="D513" i="3"/>
  <c r="C513" i="3"/>
  <c r="K513" i="3" s="1"/>
  <c r="B513" i="3"/>
  <c r="A513" i="3"/>
  <c r="J512" i="3"/>
  <c r="I512" i="3"/>
  <c r="H512" i="3"/>
  <c r="G512" i="3"/>
  <c r="F512" i="3"/>
  <c r="E512" i="3"/>
  <c r="D512" i="3"/>
  <c r="C512" i="3"/>
  <c r="K512" i="3" s="1"/>
  <c r="B512" i="3"/>
  <c r="A512" i="3"/>
  <c r="J511" i="3"/>
  <c r="I511" i="3"/>
  <c r="H511" i="3"/>
  <c r="G511" i="3"/>
  <c r="F511" i="3"/>
  <c r="E511" i="3"/>
  <c r="D511" i="3"/>
  <c r="C511" i="3"/>
  <c r="K511" i="3" s="1"/>
  <c r="B511" i="3"/>
  <c r="A511" i="3"/>
  <c r="J510" i="3"/>
  <c r="I510" i="3"/>
  <c r="H510" i="3"/>
  <c r="G510" i="3"/>
  <c r="F510" i="3"/>
  <c r="E510" i="3"/>
  <c r="D510" i="3"/>
  <c r="C510" i="3"/>
  <c r="K510" i="3" s="1"/>
  <c r="B510" i="3"/>
  <c r="A510" i="3"/>
  <c r="J509" i="3"/>
  <c r="I509" i="3"/>
  <c r="H509" i="3"/>
  <c r="G509" i="3"/>
  <c r="F509" i="3"/>
  <c r="E509" i="3"/>
  <c r="D509" i="3"/>
  <c r="C509" i="3"/>
  <c r="K509" i="3" s="1"/>
  <c r="B509" i="3"/>
  <c r="A509" i="3"/>
  <c r="J508" i="3"/>
  <c r="I508" i="3"/>
  <c r="H508" i="3"/>
  <c r="G508" i="3"/>
  <c r="F508" i="3"/>
  <c r="E508" i="3"/>
  <c r="D508" i="3"/>
  <c r="C508" i="3"/>
  <c r="K508" i="3" s="1"/>
  <c r="B508" i="3"/>
  <c r="A508" i="3"/>
  <c r="J507" i="3"/>
  <c r="I507" i="3"/>
  <c r="H507" i="3"/>
  <c r="G507" i="3"/>
  <c r="F507" i="3"/>
  <c r="E507" i="3"/>
  <c r="D507" i="3"/>
  <c r="C507" i="3"/>
  <c r="K507" i="3" s="1"/>
  <c r="B507" i="3"/>
  <c r="A507" i="3"/>
  <c r="J506" i="3"/>
  <c r="I506" i="3"/>
  <c r="H506" i="3"/>
  <c r="G506" i="3"/>
  <c r="F506" i="3"/>
  <c r="E506" i="3"/>
  <c r="D506" i="3"/>
  <c r="C506" i="3"/>
  <c r="K506" i="3" s="1"/>
  <c r="B506" i="3"/>
  <c r="A506" i="3"/>
  <c r="J505" i="3"/>
  <c r="I505" i="3"/>
  <c r="H505" i="3"/>
  <c r="G505" i="3"/>
  <c r="F505" i="3"/>
  <c r="E505" i="3"/>
  <c r="D505" i="3"/>
  <c r="C505" i="3"/>
  <c r="K505" i="3" s="1"/>
  <c r="B505" i="3"/>
  <c r="A505" i="3"/>
  <c r="J504" i="3"/>
  <c r="I504" i="3"/>
  <c r="H504" i="3"/>
  <c r="G504" i="3"/>
  <c r="F504" i="3"/>
  <c r="E504" i="3"/>
  <c r="D504" i="3"/>
  <c r="C504" i="3"/>
  <c r="K504" i="3" s="1"/>
  <c r="B504" i="3"/>
  <c r="A504" i="3"/>
  <c r="J503" i="3"/>
  <c r="I503" i="3"/>
  <c r="H503" i="3"/>
  <c r="G503" i="3"/>
  <c r="F503" i="3"/>
  <c r="E503" i="3"/>
  <c r="D503" i="3"/>
  <c r="C503" i="3"/>
  <c r="K503" i="3" s="1"/>
  <c r="B503" i="3"/>
  <c r="A503" i="3"/>
  <c r="J502" i="3"/>
  <c r="I502" i="3"/>
  <c r="H502" i="3"/>
  <c r="G502" i="3"/>
  <c r="F502" i="3"/>
  <c r="E502" i="3"/>
  <c r="D502" i="3"/>
  <c r="C502" i="3"/>
  <c r="K502" i="3" s="1"/>
  <c r="B502" i="3"/>
  <c r="A502" i="3"/>
  <c r="J501" i="3"/>
  <c r="I501" i="3"/>
  <c r="H501" i="3"/>
  <c r="G501" i="3"/>
  <c r="F501" i="3"/>
  <c r="E501" i="3"/>
  <c r="D501" i="3"/>
  <c r="C501" i="3"/>
  <c r="K501" i="3" s="1"/>
  <c r="B501" i="3"/>
  <c r="A501" i="3"/>
  <c r="J500" i="3"/>
  <c r="I500" i="3"/>
  <c r="H500" i="3"/>
  <c r="G500" i="3"/>
  <c r="F500" i="3"/>
  <c r="E500" i="3"/>
  <c r="D500" i="3"/>
  <c r="C500" i="3"/>
  <c r="K500" i="3" s="1"/>
  <c r="B500" i="3"/>
  <c r="A500" i="3"/>
  <c r="J499" i="3"/>
  <c r="I499" i="3"/>
  <c r="H499" i="3"/>
  <c r="G499" i="3"/>
  <c r="F499" i="3"/>
  <c r="E499" i="3"/>
  <c r="D499" i="3"/>
  <c r="C499" i="3"/>
  <c r="K499" i="3" s="1"/>
  <c r="B499" i="3"/>
  <c r="A499" i="3"/>
  <c r="J498" i="3"/>
  <c r="I498" i="3"/>
  <c r="H498" i="3"/>
  <c r="G498" i="3"/>
  <c r="F498" i="3"/>
  <c r="E498" i="3"/>
  <c r="D498" i="3"/>
  <c r="C498" i="3"/>
  <c r="K498" i="3" s="1"/>
  <c r="B498" i="3"/>
  <c r="A498" i="3"/>
  <c r="J497" i="3"/>
  <c r="I497" i="3"/>
  <c r="H497" i="3"/>
  <c r="G497" i="3"/>
  <c r="F497" i="3"/>
  <c r="E497" i="3"/>
  <c r="D497" i="3"/>
  <c r="C497" i="3"/>
  <c r="K497" i="3" s="1"/>
  <c r="B497" i="3"/>
  <c r="A497" i="3"/>
  <c r="J496" i="3"/>
  <c r="I496" i="3"/>
  <c r="H496" i="3"/>
  <c r="G496" i="3"/>
  <c r="F496" i="3"/>
  <c r="E496" i="3"/>
  <c r="D496" i="3"/>
  <c r="C496" i="3"/>
  <c r="K496" i="3" s="1"/>
  <c r="B496" i="3"/>
  <c r="A496" i="3"/>
  <c r="J495" i="3"/>
  <c r="I495" i="3"/>
  <c r="H495" i="3"/>
  <c r="G495" i="3"/>
  <c r="F495" i="3"/>
  <c r="E495" i="3"/>
  <c r="D495" i="3"/>
  <c r="C495" i="3"/>
  <c r="K495" i="3" s="1"/>
  <c r="B495" i="3"/>
  <c r="A495" i="3"/>
  <c r="J494" i="3"/>
  <c r="I494" i="3"/>
  <c r="H494" i="3"/>
  <c r="G494" i="3"/>
  <c r="F494" i="3"/>
  <c r="E494" i="3"/>
  <c r="D494" i="3"/>
  <c r="C494" i="3"/>
  <c r="K494" i="3" s="1"/>
  <c r="B494" i="3"/>
  <c r="A494" i="3"/>
  <c r="J493" i="3"/>
  <c r="I493" i="3"/>
  <c r="H493" i="3"/>
  <c r="G493" i="3"/>
  <c r="F493" i="3"/>
  <c r="E493" i="3"/>
  <c r="D493" i="3"/>
  <c r="C493" i="3"/>
  <c r="K493" i="3" s="1"/>
  <c r="B493" i="3"/>
  <c r="A493" i="3"/>
  <c r="J492" i="3"/>
  <c r="I492" i="3"/>
  <c r="H492" i="3"/>
  <c r="G492" i="3"/>
  <c r="F492" i="3"/>
  <c r="E492" i="3"/>
  <c r="D492" i="3"/>
  <c r="C492" i="3"/>
  <c r="K492" i="3" s="1"/>
  <c r="B492" i="3"/>
  <c r="A492" i="3"/>
  <c r="J491" i="3"/>
  <c r="I491" i="3"/>
  <c r="H491" i="3"/>
  <c r="G491" i="3"/>
  <c r="F491" i="3"/>
  <c r="E491" i="3"/>
  <c r="D491" i="3"/>
  <c r="C491" i="3"/>
  <c r="K491" i="3" s="1"/>
  <c r="B491" i="3"/>
  <c r="A491" i="3"/>
  <c r="J490" i="3"/>
  <c r="I490" i="3"/>
  <c r="H490" i="3"/>
  <c r="G490" i="3"/>
  <c r="F490" i="3"/>
  <c r="E490" i="3"/>
  <c r="D490" i="3"/>
  <c r="C490" i="3"/>
  <c r="K490" i="3" s="1"/>
  <c r="B490" i="3"/>
  <c r="A490" i="3"/>
  <c r="J489" i="3"/>
  <c r="I489" i="3"/>
  <c r="H489" i="3"/>
  <c r="G489" i="3"/>
  <c r="F489" i="3"/>
  <c r="E489" i="3"/>
  <c r="D489" i="3"/>
  <c r="C489" i="3"/>
  <c r="K489" i="3" s="1"/>
  <c r="B489" i="3"/>
  <c r="A489" i="3"/>
  <c r="J488" i="3"/>
  <c r="I488" i="3"/>
  <c r="H488" i="3"/>
  <c r="G488" i="3"/>
  <c r="F488" i="3"/>
  <c r="E488" i="3"/>
  <c r="D488" i="3"/>
  <c r="C488" i="3"/>
  <c r="K488" i="3" s="1"/>
  <c r="B488" i="3"/>
  <c r="A488" i="3"/>
  <c r="J487" i="3"/>
  <c r="I487" i="3"/>
  <c r="H487" i="3"/>
  <c r="G487" i="3"/>
  <c r="F487" i="3"/>
  <c r="E487" i="3"/>
  <c r="D487" i="3"/>
  <c r="C487" i="3"/>
  <c r="K487" i="3" s="1"/>
  <c r="B487" i="3"/>
  <c r="A487" i="3"/>
  <c r="J486" i="3"/>
  <c r="I486" i="3"/>
  <c r="H486" i="3"/>
  <c r="G486" i="3"/>
  <c r="F486" i="3"/>
  <c r="E486" i="3"/>
  <c r="D486" i="3"/>
  <c r="C486" i="3"/>
  <c r="K486" i="3" s="1"/>
  <c r="B486" i="3"/>
  <c r="A486" i="3"/>
  <c r="J485" i="3"/>
  <c r="I485" i="3"/>
  <c r="H485" i="3"/>
  <c r="G485" i="3"/>
  <c r="F485" i="3"/>
  <c r="E485" i="3"/>
  <c r="D485" i="3"/>
  <c r="C485" i="3"/>
  <c r="K485" i="3" s="1"/>
  <c r="B485" i="3"/>
  <c r="A485" i="3"/>
  <c r="J484" i="3"/>
  <c r="I484" i="3"/>
  <c r="H484" i="3"/>
  <c r="G484" i="3"/>
  <c r="F484" i="3"/>
  <c r="E484" i="3"/>
  <c r="D484" i="3"/>
  <c r="C484" i="3"/>
  <c r="K484" i="3" s="1"/>
  <c r="B484" i="3"/>
  <c r="A484" i="3"/>
  <c r="J483" i="3"/>
  <c r="I483" i="3"/>
  <c r="H483" i="3"/>
  <c r="G483" i="3"/>
  <c r="F483" i="3"/>
  <c r="E483" i="3"/>
  <c r="D483" i="3"/>
  <c r="C483" i="3"/>
  <c r="K483" i="3" s="1"/>
  <c r="B483" i="3"/>
  <c r="A483" i="3"/>
  <c r="J482" i="3"/>
  <c r="I482" i="3"/>
  <c r="H482" i="3"/>
  <c r="G482" i="3"/>
  <c r="F482" i="3"/>
  <c r="E482" i="3"/>
  <c r="D482" i="3"/>
  <c r="C482" i="3"/>
  <c r="K482" i="3" s="1"/>
  <c r="B482" i="3"/>
  <c r="A482" i="3"/>
  <c r="J481" i="3"/>
  <c r="I481" i="3"/>
  <c r="H481" i="3"/>
  <c r="G481" i="3"/>
  <c r="F481" i="3"/>
  <c r="E481" i="3"/>
  <c r="D481" i="3"/>
  <c r="C481" i="3"/>
  <c r="K481" i="3" s="1"/>
  <c r="B481" i="3"/>
  <c r="A481" i="3"/>
  <c r="J480" i="3"/>
  <c r="I480" i="3"/>
  <c r="H480" i="3"/>
  <c r="G480" i="3"/>
  <c r="F480" i="3"/>
  <c r="E480" i="3"/>
  <c r="D480" i="3"/>
  <c r="C480" i="3"/>
  <c r="K480" i="3" s="1"/>
  <c r="B480" i="3"/>
  <c r="A480" i="3"/>
  <c r="J479" i="3"/>
  <c r="I479" i="3"/>
  <c r="H479" i="3"/>
  <c r="G479" i="3"/>
  <c r="F479" i="3"/>
  <c r="E479" i="3"/>
  <c r="D479" i="3"/>
  <c r="C479" i="3"/>
  <c r="K479" i="3" s="1"/>
  <c r="B479" i="3"/>
  <c r="A479" i="3"/>
  <c r="J478" i="3"/>
  <c r="I478" i="3"/>
  <c r="H478" i="3"/>
  <c r="G478" i="3"/>
  <c r="F478" i="3"/>
  <c r="E478" i="3"/>
  <c r="D478" i="3"/>
  <c r="C478" i="3"/>
  <c r="K478" i="3" s="1"/>
  <c r="B478" i="3"/>
  <c r="A478" i="3"/>
  <c r="J477" i="3"/>
  <c r="I477" i="3"/>
  <c r="H477" i="3"/>
  <c r="G477" i="3"/>
  <c r="F477" i="3"/>
  <c r="E477" i="3"/>
  <c r="D477" i="3"/>
  <c r="C477" i="3"/>
  <c r="K477" i="3" s="1"/>
  <c r="B477" i="3"/>
  <c r="A477" i="3"/>
  <c r="J476" i="3"/>
  <c r="I476" i="3"/>
  <c r="H476" i="3"/>
  <c r="G476" i="3"/>
  <c r="F476" i="3"/>
  <c r="E476" i="3"/>
  <c r="D476" i="3"/>
  <c r="C476" i="3"/>
  <c r="K476" i="3" s="1"/>
  <c r="B476" i="3"/>
  <c r="A476" i="3"/>
  <c r="J475" i="3"/>
  <c r="I475" i="3"/>
  <c r="H475" i="3"/>
  <c r="G475" i="3"/>
  <c r="F475" i="3"/>
  <c r="E475" i="3"/>
  <c r="D475" i="3"/>
  <c r="C475" i="3"/>
  <c r="K475" i="3" s="1"/>
  <c r="B475" i="3"/>
  <c r="A475" i="3"/>
  <c r="J474" i="3"/>
  <c r="I474" i="3"/>
  <c r="H474" i="3"/>
  <c r="G474" i="3"/>
  <c r="F474" i="3"/>
  <c r="E474" i="3"/>
  <c r="D474" i="3"/>
  <c r="C474" i="3"/>
  <c r="K474" i="3" s="1"/>
  <c r="B474" i="3"/>
  <c r="A474" i="3"/>
  <c r="J473" i="3"/>
  <c r="I473" i="3"/>
  <c r="H473" i="3"/>
  <c r="G473" i="3"/>
  <c r="F473" i="3"/>
  <c r="E473" i="3"/>
  <c r="D473" i="3"/>
  <c r="C473" i="3"/>
  <c r="K473" i="3" s="1"/>
  <c r="B473" i="3"/>
  <c r="A473" i="3"/>
  <c r="J472" i="3"/>
  <c r="I472" i="3"/>
  <c r="H472" i="3"/>
  <c r="G472" i="3"/>
  <c r="F472" i="3"/>
  <c r="E472" i="3"/>
  <c r="D472" i="3"/>
  <c r="C472" i="3"/>
  <c r="K472" i="3" s="1"/>
  <c r="B472" i="3"/>
  <c r="A472" i="3"/>
  <c r="J471" i="3"/>
  <c r="I471" i="3"/>
  <c r="H471" i="3"/>
  <c r="G471" i="3"/>
  <c r="F471" i="3"/>
  <c r="E471" i="3"/>
  <c r="D471" i="3"/>
  <c r="C471" i="3"/>
  <c r="K471" i="3" s="1"/>
  <c r="B471" i="3"/>
  <c r="A471" i="3"/>
  <c r="J470" i="3"/>
  <c r="I470" i="3"/>
  <c r="H470" i="3"/>
  <c r="G470" i="3"/>
  <c r="F470" i="3"/>
  <c r="E470" i="3"/>
  <c r="D470" i="3"/>
  <c r="C470" i="3"/>
  <c r="K470" i="3" s="1"/>
  <c r="B470" i="3"/>
  <c r="A470" i="3"/>
  <c r="J469" i="3"/>
  <c r="I469" i="3"/>
  <c r="H469" i="3"/>
  <c r="G469" i="3"/>
  <c r="F469" i="3"/>
  <c r="E469" i="3"/>
  <c r="D469" i="3"/>
  <c r="C469" i="3"/>
  <c r="K469" i="3" s="1"/>
  <c r="B469" i="3"/>
  <c r="A469" i="3"/>
  <c r="J468" i="3"/>
  <c r="I468" i="3"/>
  <c r="H468" i="3"/>
  <c r="G468" i="3"/>
  <c r="F468" i="3"/>
  <c r="E468" i="3"/>
  <c r="D468" i="3"/>
  <c r="C468" i="3"/>
  <c r="K468" i="3" s="1"/>
  <c r="B468" i="3"/>
  <c r="A468" i="3"/>
  <c r="J467" i="3"/>
  <c r="I467" i="3"/>
  <c r="H467" i="3"/>
  <c r="G467" i="3"/>
  <c r="F467" i="3"/>
  <c r="E467" i="3"/>
  <c r="D467" i="3"/>
  <c r="C467" i="3"/>
  <c r="K467" i="3" s="1"/>
  <c r="B467" i="3"/>
  <c r="A467" i="3"/>
  <c r="J466" i="3"/>
  <c r="I466" i="3"/>
  <c r="H466" i="3"/>
  <c r="G466" i="3"/>
  <c r="F466" i="3"/>
  <c r="E466" i="3"/>
  <c r="D466" i="3"/>
  <c r="C466" i="3"/>
  <c r="K466" i="3" s="1"/>
  <c r="B466" i="3"/>
  <c r="A466" i="3"/>
  <c r="J465" i="3"/>
  <c r="I465" i="3"/>
  <c r="H465" i="3"/>
  <c r="G465" i="3"/>
  <c r="F465" i="3"/>
  <c r="E465" i="3"/>
  <c r="D465" i="3"/>
  <c r="C465" i="3"/>
  <c r="K465" i="3" s="1"/>
  <c r="B465" i="3"/>
  <c r="A465" i="3"/>
  <c r="J464" i="3"/>
  <c r="I464" i="3"/>
  <c r="H464" i="3"/>
  <c r="G464" i="3"/>
  <c r="F464" i="3"/>
  <c r="E464" i="3"/>
  <c r="D464" i="3"/>
  <c r="C464" i="3"/>
  <c r="K464" i="3" s="1"/>
  <c r="B464" i="3"/>
  <c r="A464" i="3"/>
  <c r="J463" i="3"/>
  <c r="I463" i="3"/>
  <c r="H463" i="3"/>
  <c r="G463" i="3"/>
  <c r="F463" i="3"/>
  <c r="E463" i="3"/>
  <c r="D463" i="3"/>
  <c r="C463" i="3"/>
  <c r="K463" i="3" s="1"/>
  <c r="B463" i="3"/>
  <c r="A463" i="3"/>
  <c r="J462" i="3"/>
  <c r="I462" i="3"/>
  <c r="H462" i="3"/>
  <c r="G462" i="3"/>
  <c r="F462" i="3"/>
  <c r="E462" i="3"/>
  <c r="D462" i="3"/>
  <c r="C462" i="3"/>
  <c r="K462" i="3" s="1"/>
  <c r="B462" i="3"/>
  <c r="A462" i="3"/>
  <c r="J461" i="3"/>
  <c r="I461" i="3"/>
  <c r="H461" i="3"/>
  <c r="G461" i="3"/>
  <c r="F461" i="3"/>
  <c r="E461" i="3"/>
  <c r="D461" i="3"/>
  <c r="C461" i="3"/>
  <c r="K461" i="3" s="1"/>
  <c r="B461" i="3"/>
  <c r="A461" i="3"/>
  <c r="J460" i="3"/>
  <c r="I460" i="3"/>
  <c r="H460" i="3"/>
  <c r="G460" i="3"/>
  <c r="F460" i="3"/>
  <c r="E460" i="3"/>
  <c r="D460" i="3"/>
  <c r="C460" i="3"/>
  <c r="K460" i="3" s="1"/>
  <c r="B460" i="3"/>
  <c r="A460" i="3"/>
  <c r="J459" i="3"/>
  <c r="I459" i="3"/>
  <c r="H459" i="3"/>
  <c r="G459" i="3"/>
  <c r="F459" i="3"/>
  <c r="E459" i="3"/>
  <c r="D459" i="3"/>
  <c r="C459" i="3"/>
  <c r="K459" i="3" s="1"/>
  <c r="B459" i="3"/>
  <c r="A459" i="3"/>
  <c r="J458" i="3"/>
  <c r="I458" i="3"/>
  <c r="H458" i="3"/>
  <c r="G458" i="3"/>
  <c r="F458" i="3"/>
  <c r="E458" i="3"/>
  <c r="D458" i="3"/>
  <c r="C458" i="3"/>
  <c r="K458" i="3" s="1"/>
  <c r="B458" i="3"/>
  <c r="A458" i="3"/>
  <c r="J457" i="3"/>
  <c r="I457" i="3"/>
  <c r="H457" i="3"/>
  <c r="B9" i="1" s="1"/>
  <c r="G457" i="3"/>
  <c r="B8" i="1" s="1"/>
  <c r="F457" i="3"/>
  <c r="B7" i="1" s="1"/>
  <c r="E457" i="3"/>
  <c r="D457" i="3"/>
  <c r="B5" i="1" s="1"/>
  <c r="C457" i="3"/>
  <c r="B457" i="3"/>
  <c r="A457" i="3"/>
  <c r="J456" i="3"/>
  <c r="B11" i="1" s="1"/>
  <c r="I456" i="3"/>
  <c r="H456" i="3"/>
  <c r="G456" i="3"/>
  <c r="F456" i="3"/>
  <c r="E456" i="3"/>
  <c r="D456" i="3"/>
  <c r="C456" i="3"/>
  <c r="B456" i="3"/>
  <c r="A456" i="3"/>
  <c r="J455" i="3"/>
  <c r="I455" i="3"/>
  <c r="H455" i="3"/>
  <c r="G455" i="3"/>
  <c r="F455" i="3"/>
  <c r="E455" i="3"/>
  <c r="D455" i="3"/>
  <c r="C455" i="3"/>
  <c r="K455" i="3" s="1"/>
  <c r="B455" i="3"/>
  <c r="A455" i="3"/>
  <c r="J454" i="3"/>
  <c r="I454" i="3"/>
  <c r="H454" i="3"/>
  <c r="G454" i="3"/>
  <c r="F454" i="3"/>
  <c r="E454" i="3"/>
  <c r="D454" i="3"/>
  <c r="C454" i="3"/>
  <c r="K454" i="3" s="1"/>
  <c r="B454" i="3"/>
  <c r="A454" i="3"/>
  <c r="J453" i="3"/>
  <c r="I453" i="3"/>
  <c r="H453" i="3"/>
  <c r="G453" i="3"/>
  <c r="F453" i="3"/>
  <c r="E453" i="3"/>
  <c r="D453" i="3"/>
  <c r="C453" i="3"/>
  <c r="K453" i="3" s="1"/>
  <c r="B453" i="3"/>
  <c r="A453" i="3"/>
  <c r="J452" i="3"/>
  <c r="I452" i="3"/>
  <c r="H452" i="3"/>
  <c r="G452" i="3"/>
  <c r="F452" i="3"/>
  <c r="E452" i="3"/>
  <c r="D452" i="3"/>
  <c r="C452" i="3"/>
  <c r="K452" i="3" s="1"/>
  <c r="B452" i="3"/>
  <c r="A452" i="3"/>
  <c r="J451" i="3"/>
  <c r="I451" i="3"/>
  <c r="H451" i="3"/>
  <c r="G451" i="3"/>
  <c r="F451" i="3"/>
  <c r="E451" i="3"/>
  <c r="D451" i="3"/>
  <c r="C451" i="3"/>
  <c r="K451" i="3" s="1"/>
  <c r="B451" i="3"/>
  <c r="A451" i="3"/>
  <c r="J450" i="3"/>
  <c r="I450" i="3"/>
  <c r="H450" i="3"/>
  <c r="G450" i="3"/>
  <c r="F450" i="3"/>
  <c r="E450" i="3"/>
  <c r="D450" i="3"/>
  <c r="C450" i="3"/>
  <c r="K450" i="3" s="1"/>
  <c r="B450" i="3"/>
  <c r="A450" i="3"/>
  <c r="J449" i="3"/>
  <c r="I449" i="3"/>
  <c r="H449" i="3"/>
  <c r="G449" i="3"/>
  <c r="F449" i="3"/>
  <c r="E449" i="3"/>
  <c r="D449" i="3"/>
  <c r="C449" i="3"/>
  <c r="K449" i="3" s="1"/>
  <c r="B449" i="3"/>
  <c r="A449" i="3"/>
  <c r="J448" i="3"/>
  <c r="I448" i="3"/>
  <c r="H448" i="3"/>
  <c r="G448" i="3"/>
  <c r="F448" i="3"/>
  <c r="E448" i="3"/>
  <c r="D448" i="3"/>
  <c r="C448" i="3"/>
  <c r="K448" i="3" s="1"/>
  <c r="B448" i="3"/>
  <c r="A448" i="3"/>
  <c r="J447" i="3"/>
  <c r="I447" i="3"/>
  <c r="H447" i="3"/>
  <c r="G447" i="3"/>
  <c r="F447" i="3"/>
  <c r="E447" i="3"/>
  <c r="D447" i="3"/>
  <c r="C447" i="3"/>
  <c r="K447" i="3" s="1"/>
  <c r="B447" i="3"/>
  <c r="A447" i="3"/>
  <c r="J446" i="3"/>
  <c r="I446" i="3"/>
  <c r="H446" i="3"/>
  <c r="G446" i="3"/>
  <c r="F446" i="3"/>
  <c r="E446" i="3"/>
  <c r="D446" i="3"/>
  <c r="C446" i="3"/>
  <c r="K446" i="3" s="1"/>
  <c r="B446" i="3"/>
  <c r="A446" i="3"/>
  <c r="J445" i="3"/>
  <c r="I445" i="3"/>
  <c r="H445" i="3"/>
  <c r="G445" i="3"/>
  <c r="F445" i="3"/>
  <c r="E445" i="3"/>
  <c r="D445" i="3"/>
  <c r="C445" i="3"/>
  <c r="K445" i="3" s="1"/>
  <c r="B445" i="3"/>
  <c r="A445" i="3"/>
  <c r="J444" i="3"/>
  <c r="I444" i="3"/>
  <c r="H444" i="3"/>
  <c r="G444" i="3"/>
  <c r="F444" i="3"/>
  <c r="E444" i="3"/>
  <c r="D444" i="3"/>
  <c r="C444" i="3"/>
  <c r="K444" i="3" s="1"/>
  <c r="B444" i="3"/>
  <c r="A444" i="3"/>
  <c r="J443" i="3"/>
  <c r="I443" i="3"/>
  <c r="H443" i="3"/>
  <c r="G443" i="3"/>
  <c r="F443" i="3"/>
  <c r="E443" i="3"/>
  <c r="D443" i="3"/>
  <c r="C443" i="3"/>
  <c r="K443" i="3" s="1"/>
  <c r="B443" i="3"/>
  <c r="A443" i="3"/>
  <c r="J442" i="3"/>
  <c r="I442" i="3"/>
  <c r="H442" i="3"/>
  <c r="G442" i="3"/>
  <c r="F442" i="3"/>
  <c r="E442" i="3"/>
  <c r="D442" i="3"/>
  <c r="C442" i="3"/>
  <c r="K442" i="3" s="1"/>
  <c r="B442" i="3"/>
  <c r="A442" i="3"/>
  <c r="J441" i="3"/>
  <c r="I441" i="3"/>
  <c r="H441" i="3"/>
  <c r="G441" i="3"/>
  <c r="F441" i="3"/>
  <c r="E441" i="3"/>
  <c r="D441" i="3"/>
  <c r="C441" i="3"/>
  <c r="K441" i="3" s="1"/>
  <c r="B441" i="3"/>
  <c r="A441" i="3"/>
  <c r="J440" i="3"/>
  <c r="I440" i="3"/>
  <c r="H440" i="3"/>
  <c r="G440" i="3"/>
  <c r="F440" i="3"/>
  <c r="E440" i="3"/>
  <c r="D440" i="3"/>
  <c r="C440" i="3"/>
  <c r="K440" i="3" s="1"/>
  <c r="B440" i="3"/>
  <c r="A440" i="3"/>
  <c r="J439" i="3"/>
  <c r="I439" i="3"/>
  <c r="H439" i="3"/>
  <c r="G439" i="3"/>
  <c r="F439" i="3"/>
  <c r="E439" i="3"/>
  <c r="D439" i="3"/>
  <c r="C439" i="3"/>
  <c r="K439" i="3" s="1"/>
  <c r="B439" i="3"/>
  <c r="A439" i="3"/>
  <c r="J438" i="3"/>
  <c r="I438" i="3"/>
  <c r="H438" i="3"/>
  <c r="G438" i="3"/>
  <c r="F438" i="3"/>
  <c r="E438" i="3"/>
  <c r="D438" i="3"/>
  <c r="C438" i="3"/>
  <c r="K438" i="3" s="1"/>
  <c r="B438" i="3"/>
  <c r="A438" i="3"/>
  <c r="J437" i="3"/>
  <c r="I437" i="3"/>
  <c r="H437" i="3"/>
  <c r="G437" i="3"/>
  <c r="F437" i="3"/>
  <c r="E437" i="3"/>
  <c r="D437" i="3"/>
  <c r="C437" i="3"/>
  <c r="K437" i="3" s="1"/>
  <c r="B437" i="3"/>
  <c r="A437" i="3"/>
  <c r="J436" i="3"/>
  <c r="I436" i="3"/>
  <c r="H436" i="3"/>
  <c r="G436" i="3"/>
  <c r="F436" i="3"/>
  <c r="E436" i="3"/>
  <c r="D436" i="3"/>
  <c r="C436" i="3"/>
  <c r="K436" i="3" s="1"/>
  <c r="B436" i="3"/>
  <c r="A436" i="3"/>
  <c r="J435" i="3"/>
  <c r="I435" i="3"/>
  <c r="H435" i="3"/>
  <c r="G435" i="3"/>
  <c r="F435" i="3"/>
  <c r="E435" i="3"/>
  <c r="D435" i="3"/>
  <c r="C435" i="3"/>
  <c r="K435" i="3" s="1"/>
  <c r="B435" i="3"/>
  <c r="A435" i="3"/>
  <c r="J434" i="3"/>
  <c r="I434" i="3"/>
  <c r="H434" i="3"/>
  <c r="G434" i="3"/>
  <c r="F434" i="3"/>
  <c r="E434" i="3"/>
  <c r="D434" i="3"/>
  <c r="C434" i="3"/>
  <c r="K434" i="3" s="1"/>
  <c r="B434" i="3"/>
  <c r="A434" i="3"/>
  <c r="J433" i="3"/>
  <c r="I433" i="3"/>
  <c r="H433" i="3"/>
  <c r="G433" i="3"/>
  <c r="F433" i="3"/>
  <c r="E433" i="3"/>
  <c r="D433" i="3"/>
  <c r="C433" i="3"/>
  <c r="K433" i="3" s="1"/>
  <c r="B433" i="3"/>
  <c r="A433" i="3"/>
  <c r="J432" i="3"/>
  <c r="I432" i="3"/>
  <c r="H432" i="3"/>
  <c r="G432" i="3"/>
  <c r="F432" i="3"/>
  <c r="E432" i="3"/>
  <c r="D432" i="3"/>
  <c r="C432" i="3"/>
  <c r="K432" i="3" s="1"/>
  <c r="B432" i="3"/>
  <c r="A432" i="3"/>
  <c r="J431" i="3"/>
  <c r="I431" i="3"/>
  <c r="H431" i="3"/>
  <c r="G431" i="3"/>
  <c r="F431" i="3"/>
  <c r="E431" i="3"/>
  <c r="D431" i="3"/>
  <c r="C431" i="3"/>
  <c r="K431" i="3" s="1"/>
  <c r="B431" i="3"/>
  <c r="A431" i="3"/>
  <c r="J430" i="3"/>
  <c r="I430" i="3"/>
  <c r="H430" i="3"/>
  <c r="G430" i="3"/>
  <c r="F430" i="3"/>
  <c r="E430" i="3"/>
  <c r="D430" i="3"/>
  <c r="C430" i="3"/>
  <c r="K430" i="3" s="1"/>
  <c r="B430" i="3"/>
  <c r="A430" i="3"/>
  <c r="J429" i="3"/>
  <c r="I429" i="3"/>
  <c r="H429" i="3"/>
  <c r="G429" i="3"/>
  <c r="F429" i="3"/>
  <c r="E429" i="3"/>
  <c r="D429" i="3"/>
  <c r="C429" i="3"/>
  <c r="K429" i="3" s="1"/>
  <c r="B429" i="3"/>
  <c r="A429" i="3"/>
  <c r="J428" i="3"/>
  <c r="I428" i="3"/>
  <c r="H428" i="3"/>
  <c r="G428" i="3"/>
  <c r="F428" i="3"/>
  <c r="E428" i="3"/>
  <c r="D428" i="3"/>
  <c r="C428" i="3"/>
  <c r="K428" i="3" s="1"/>
  <c r="B428" i="3"/>
  <c r="A428" i="3"/>
  <c r="J427" i="3"/>
  <c r="I427" i="3"/>
  <c r="H427" i="3"/>
  <c r="G427" i="3"/>
  <c r="F427" i="3"/>
  <c r="E427" i="3"/>
  <c r="D427" i="3"/>
  <c r="C427" i="3"/>
  <c r="K427" i="3" s="1"/>
  <c r="B427" i="3"/>
  <c r="A427" i="3"/>
  <c r="J426" i="3"/>
  <c r="I426" i="3"/>
  <c r="H426" i="3"/>
  <c r="G426" i="3"/>
  <c r="F426" i="3"/>
  <c r="E426" i="3"/>
  <c r="D426" i="3"/>
  <c r="C426" i="3"/>
  <c r="K426" i="3" s="1"/>
  <c r="B426" i="3"/>
  <c r="A426" i="3"/>
  <c r="J425" i="3"/>
  <c r="I425" i="3"/>
  <c r="H425" i="3"/>
  <c r="G425" i="3"/>
  <c r="F425" i="3"/>
  <c r="E425" i="3"/>
  <c r="D425" i="3"/>
  <c r="C425" i="3"/>
  <c r="K425" i="3" s="1"/>
  <c r="B425" i="3"/>
  <c r="A425" i="3"/>
  <c r="J424" i="3"/>
  <c r="I424" i="3"/>
  <c r="H424" i="3"/>
  <c r="G424" i="3"/>
  <c r="F424" i="3"/>
  <c r="E424" i="3"/>
  <c r="D424" i="3"/>
  <c r="C424" i="3"/>
  <c r="K424" i="3" s="1"/>
  <c r="B424" i="3"/>
  <c r="A424" i="3"/>
  <c r="J423" i="3"/>
  <c r="I423" i="3"/>
  <c r="H423" i="3"/>
  <c r="G423" i="3"/>
  <c r="F423" i="3"/>
  <c r="E423" i="3"/>
  <c r="D423" i="3"/>
  <c r="C423" i="3"/>
  <c r="K423" i="3" s="1"/>
  <c r="B423" i="3"/>
  <c r="A423" i="3"/>
  <c r="J422" i="3"/>
  <c r="I422" i="3"/>
  <c r="H422" i="3"/>
  <c r="G422" i="3"/>
  <c r="F422" i="3"/>
  <c r="E422" i="3"/>
  <c r="D422" i="3"/>
  <c r="C422" i="3"/>
  <c r="K422" i="3" s="1"/>
  <c r="B422" i="3"/>
  <c r="A422" i="3"/>
  <c r="J421" i="3"/>
  <c r="I421" i="3"/>
  <c r="H421" i="3"/>
  <c r="G421" i="3"/>
  <c r="F421" i="3"/>
  <c r="E421" i="3"/>
  <c r="D421" i="3"/>
  <c r="C421" i="3"/>
  <c r="K421" i="3" s="1"/>
  <c r="B421" i="3"/>
  <c r="A421" i="3"/>
  <c r="J420" i="3"/>
  <c r="I420" i="3"/>
  <c r="H420" i="3"/>
  <c r="G420" i="3"/>
  <c r="F420" i="3"/>
  <c r="E420" i="3"/>
  <c r="D420" i="3"/>
  <c r="C420" i="3"/>
  <c r="K420" i="3" s="1"/>
  <c r="B420" i="3"/>
  <c r="A420" i="3"/>
  <c r="J419" i="3"/>
  <c r="I419" i="3"/>
  <c r="H419" i="3"/>
  <c r="G419" i="3"/>
  <c r="F419" i="3"/>
  <c r="E419" i="3"/>
  <c r="D419" i="3"/>
  <c r="C419" i="3"/>
  <c r="K419" i="3" s="1"/>
  <c r="B419" i="3"/>
  <c r="A419" i="3"/>
  <c r="J418" i="3"/>
  <c r="I418" i="3"/>
  <c r="H418" i="3"/>
  <c r="G418" i="3"/>
  <c r="F418" i="3"/>
  <c r="E418" i="3"/>
  <c r="D418" i="3"/>
  <c r="C418" i="3"/>
  <c r="K418" i="3" s="1"/>
  <c r="B418" i="3"/>
  <c r="A418" i="3"/>
  <c r="J417" i="3"/>
  <c r="I417" i="3"/>
  <c r="H417" i="3"/>
  <c r="G417" i="3"/>
  <c r="F417" i="3"/>
  <c r="E417" i="3"/>
  <c r="D417" i="3"/>
  <c r="C417" i="3"/>
  <c r="K417" i="3" s="1"/>
  <c r="B417" i="3"/>
  <c r="A417" i="3"/>
  <c r="J416" i="3"/>
  <c r="I416" i="3"/>
  <c r="H416" i="3"/>
  <c r="G416" i="3"/>
  <c r="F416" i="3"/>
  <c r="E416" i="3"/>
  <c r="D416" i="3"/>
  <c r="C416" i="3"/>
  <c r="K416" i="3" s="1"/>
  <c r="B416" i="3"/>
  <c r="A416" i="3"/>
  <c r="J415" i="3"/>
  <c r="I415" i="3"/>
  <c r="H415" i="3"/>
  <c r="G415" i="3"/>
  <c r="F415" i="3"/>
  <c r="E415" i="3"/>
  <c r="D415" i="3"/>
  <c r="C415" i="3"/>
  <c r="K415" i="3" s="1"/>
  <c r="B415" i="3"/>
  <c r="A415" i="3"/>
  <c r="J414" i="3"/>
  <c r="I414" i="3"/>
  <c r="H414" i="3"/>
  <c r="G414" i="3"/>
  <c r="F414" i="3"/>
  <c r="E414" i="3"/>
  <c r="D414" i="3"/>
  <c r="C414" i="3"/>
  <c r="K414" i="3" s="1"/>
  <c r="B414" i="3"/>
  <c r="A414" i="3"/>
  <c r="J413" i="3"/>
  <c r="I413" i="3"/>
  <c r="H413" i="3"/>
  <c r="G413" i="3"/>
  <c r="F413" i="3"/>
  <c r="E413" i="3"/>
  <c r="D413" i="3"/>
  <c r="C413" i="3"/>
  <c r="K413" i="3" s="1"/>
  <c r="B413" i="3"/>
  <c r="A413" i="3"/>
  <c r="J412" i="3"/>
  <c r="I412" i="3"/>
  <c r="H412" i="3"/>
  <c r="G412" i="3"/>
  <c r="F412" i="3"/>
  <c r="E412" i="3"/>
  <c r="D412" i="3"/>
  <c r="C412" i="3"/>
  <c r="K412" i="3" s="1"/>
  <c r="B412" i="3"/>
  <c r="A412" i="3"/>
  <c r="J411" i="3"/>
  <c r="I411" i="3"/>
  <c r="H411" i="3"/>
  <c r="G411" i="3"/>
  <c r="F411" i="3"/>
  <c r="E411" i="3"/>
  <c r="D411" i="3"/>
  <c r="C411" i="3"/>
  <c r="K411" i="3" s="1"/>
  <c r="B411" i="3"/>
  <c r="A411" i="3"/>
  <c r="J410" i="3"/>
  <c r="I410" i="3"/>
  <c r="H410" i="3"/>
  <c r="G410" i="3"/>
  <c r="F410" i="3"/>
  <c r="E410" i="3"/>
  <c r="D410" i="3"/>
  <c r="C410" i="3"/>
  <c r="K410" i="3" s="1"/>
  <c r="B410" i="3"/>
  <c r="A410" i="3"/>
  <c r="J409" i="3"/>
  <c r="I409" i="3"/>
  <c r="H409" i="3"/>
  <c r="G409" i="3"/>
  <c r="F409" i="3"/>
  <c r="E409" i="3"/>
  <c r="D409" i="3"/>
  <c r="C409" i="3"/>
  <c r="K409" i="3" s="1"/>
  <c r="B409" i="3"/>
  <c r="A409" i="3"/>
  <c r="J408" i="3"/>
  <c r="I408" i="3"/>
  <c r="H408" i="3"/>
  <c r="G408" i="3"/>
  <c r="F408" i="3"/>
  <c r="E408" i="3"/>
  <c r="D408" i="3"/>
  <c r="C408" i="3"/>
  <c r="K408" i="3" s="1"/>
  <c r="B408" i="3"/>
  <c r="A408" i="3"/>
  <c r="J407" i="3"/>
  <c r="I407" i="3"/>
  <c r="H407" i="3"/>
  <c r="G407" i="3"/>
  <c r="F407" i="3"/>
  <c r="E407" i="3"/>
  <c r="D407" i="3"/>
  <c r="C407" i="3"/>
  <c r="K407" i="3" s="1"/>
  <c r="B407" i="3"/>
  <c r="A407" i="3"/>
  <c r="J406" i="3"/>
  <c r="I406" i="3"/>
  <c r="H406" i="3"/>
  <c r="G406" i="3"/>
  <c r="F406" i="3"/>
  <c r="E406" i="3"/>
  <c r="D406" i="3"/>
  <c r="C406" i="3"/>
  <c r="K406" i="3" s="1"/>
  <c r="B406" i="3"/>
  <c r="A406" i="3"/>
  <c r="J405" i="3"/>
  <c r="I405" i="3"/>
  <c r="H405" i="3"/>
  <c r="G405" i="3"/>
  <c r="F405" i="3"/>
  <c r="E405" i="3"/>
  <c r="D405" i="3"/>
  <c r="C405" i="3"/>
  <c r="K405" i="3" s="1"/>
  <c r="B405" i="3"/>
  <c r="A405" i="3"/>
  <c r="J404" i="3"/>
  <c r="I404" i="3"/>
  <c r="H404" i="3"/>
  <c r="G404" i="3"/>
  <c r="F404" i="3"/>
  <c r="E404" i="3"/>
  <c r="D404" i="3"/>
  <c r="C404" i="3"/>
  <c r="K404" i="3" s="1"/>
  <c r="B404" i="3"/>
  <c r="A404" i="3"/>
  <c r="J403" i="3"/>
  <c r="I403" i="3"/>
  <c r="H403" i="3"/>
  <c r="G403" i="3"/>
  <c r="F403" i="3"/>
  <c r="E403" i="3"/>
  <c r="D403" i="3"/>
  <c r="C403" i="3"/>
  <c r="K403" i="3" s="1"/>
  <c r="B403" i="3"/>
  <c r="A403" i="3"/>
  <c r="J402" i="3"/>
  <c r="I402" i="3"/>
  <c r="H402" i="3"/>
  <c r="G402" i="3"/>
  <c r="F402" i="3"/>
  <c r="E402" i="3"/>
  <c r="D402" i="3"/>
  <c r="C402" i="3"/>
  <c r="K402" i="3" s="1"/>
  <c r="B402" i="3"/>
  <c r="A402" i="3"/>
  <c r="J401" i="3"/>
  <c r="I401" i="3"/>
  <c r="H401" i="3"/>
  <c r="G401" i="3"/>
  <c r="F401" i="3"/>
  <c r="E401" i="3"/>
  <c r="D401" i="3"/>
  <c r="C401" i="3"/>
  <c r="K401" i="3" s="1"/>
  <c r="B401" i="3"/>
  <c r="A401" i="3"/>
  <c r="J400" i="3"/>
  <c r="I400" i="3"/>
  <c r="H400" i="3"/>
  <c r="G400" i="3"/>
  <c r="F400" i="3"/>
  <c r="E400" i="3"/>
  <c r="D400" i="3"/>
  <c r="C400" i="3"/>
  <c r="K400" i="3" s="1"/>
  <c r="B400" i="3"/>
  <c r="A400" i="3"/>
  <c r="J399" i="3"/>
  <c r="I399" i="3"/>
  <c r="H399" i="3"/>
  <c r="G399" i="3"/>
  <c r="F399" i="3"/>
  <c r="E399" i="3"/>
  <c r="D399" i="3"/>
  <c r="C399" i="3"/>
  <c r="K399" i="3" s="1"/>
  <c r="B399" i="3"/>
  <c r="A399" i="3"/>
  <c r="J398" i="3"/>
  <c r="I398" i="3"/>
  <c r="H398" i="3"/>
  <c r="G398" i="3"/>
  <c r="F398" i="3"/>
  <c r="E398" i="3"/>
  <c r="D398" i="3"/>
  <c r="C398" i="3"/>
  <c r="K398" i="3" s="1"/>
  <c r="B398" i="3"/>
  <c r="A398" i="3"/>
  <c r="J397" i="3"/>
  <c r="I397" i="3"/>
  <c r="H397" i="3"/>
  <c r="G397" i="3"/>
  <c r="F397" i="3"/>
  <c r="E397" i="3"/>
  <c r="D397" i="3"/>
  <c r="C397" i="3"/>
  <c r="K397" i="3" s="1"/>
  <c r="B397" i="3"/>
  <c r="A397" i="3"/>
  <c r="J396" i="3"/>
  <c r="I396" i="3"/>
  <c r="H396" i="3"/>
  <c r="G396" i="3"/>
  <c r="F396" i="3"/>
  <c r="E396" i="3"/>
  <c r="D396" i="3"/>
  <c r="C396" i="3"/>
  <c r="K396" i="3" s="1"/>
  <c r="B396" i="3"/>
  <c r="A396" i="3"/>
  <c r="J395" i="3"/>
  <c r="I395" i="3"/>
  <c r="H395" i="3"/>
  <c r="G395" i="3"/>
  <c r="F395" i="3"/>
  <c r="E395" i="3"/>
  <c r="D395" i="3"/>
  <c r="C395" i="3"/>
  <c r="K395" i="3" s="1"/>
  <c r="B395" i="3"/>
  <c r="A395" i="3"/>
  <c r="J394" i="3"/>
  <c r="I394" i="3"/>
  <c r="H394" i="3"/>
  <c r="G394" i="3"/>
  <c r="F394" i="3"/>
  <c r="E394" i="3"/>
  <c r="D394" i="3"/>
  <c r="C394" i="3"/>
  <c r="K394" i="3" s="1"/>
  <c r="B394" i="3"/>
  <c r="A394" i="3"/>
  <c r="J393" i="3"/>
  <c r="I393" i="3"/>
  <c r="H393" i="3"/>
  <c r="G393" i="3"/>
  <c r="F393" i="3"/>
  <c r="E393" i="3"/>
  <c r="D393" i="3"/>
  <c r="C393" i="3"/>
  <c r="K393" i="3" s="1"/>
  <c r="B393" i="3"/>
  <c r="A393" i="3"/>
  <c r="J392" i="3"/>
  <c r="I392" i="3"/>
  <c r="H392" i="3"/>
  <c r="G392" i="3"/>
  <c r="F392" i="3"/>
  <c r="E392" i="3"/>
  <c r="D392" i="3"/>
  <c r="C392" i="3"/>
  <c r="K392" i="3" s="1"/>
  <c r="B392" i="3"/>
  <c r="A392" i="3"/>
  <c r="J391" i="3"/>
  <c r="I391" i="3"/>
  <c r="H391" i="3"/>
  <c r="G391" i="3"/>
  <c r="F391" i="3"/>
  <c r="E391" i="3"/>
  <c r="D391" i="3"/>
  <c r="C391" i="3"/>
  <c r="K391" i="3" s="1"/>
  <c r="B391" i="3"/>
  <c r="A391" i="3"/>
  <c r="J390" i="3"/>
  <c r="I390" i="3"/>
  <c r="H390" i="3"/>
  <c r="G390" i="3"/>
  <c r="F390" i="3"/>
  <c r="E390" i="3"/>
  <c r="D390" i="3"/>
  <c r="C390" i="3"/>
  <c r="K390" i="3" s="1"/>
  <c r="B390" i="3"/>
  <c r="A390" i="3"/>
  <c r="J389" i="3"/>
  <c r="I389" i="3"/>
  <c r="H389" i="3"/>
  <c r="G389" i="3"/>
  <c r="F389" i="3"/>
  <c r="E389" i="3"/>
  <c r="D389" i="3"/>
  <c r="C389" i="3"/>
  <c r="K389" i="3" s="1"/>
  <c r="B389" i="3"/>
  <c r="A389" i="3"/>
  <c r="J388" i="3"/>
  <c r="I388" i="3"/>
  <c r="K388" i="3" s="1"/>
  <c r="H388" i="3"/>
  <c r="G388" i="3"/>
  <c r="F388" i="3"/>
  <c r="E388" i="3"/>
  <c r="D388" i="3"/>
  <c r="C388" i="3"/>
  <c r="B388" i="3"/>
  <c r="A388" i="3"/>
  <c r="J387" i="3"/>
  <c r="I387" i="3"/>
  <c r="H387" i="3"/>
  <c r="G387" i="3"/>
  <c r="F387" i="3"/>
  <c r="E387" i="3"/>
  <c r="D387" i="3"/>
  <c r="C387" i="3"/>
  <c r="K387" i="3" s="1"/>
  <c r="B387" i="3"/>
  <c r="A387" i="3"/>
  <c r="J386" i="3"/>
  <c r="I386" i="3"/>
  <c r="H386" i="3"/>
  <c r="G386" i="3"/>
  <c r="F386" i="3"/>
  <c r="E386" i="3"/>
  <c r="D386" i="3"/>
  <c r="C386" i="3"/>
  <c r="K386" i="3" s="1"/>
  <c r="B386" i="3"/>
  <c r="A386" i="3"/>
  <c r="J385" i="3"/>
  <c r="I385" i="3"/>
  <c r="H385" i="3"/>
  <c r="G385" i="3"/>
  <c r="F385" i="3"/>
  <c r="E385" i="3"/>
  <c r="D385" i="3"/>
  <c r="C385" i="3"/>
  <c r="K385" i="3" s="1"/>
  <c r="B385" i="3"/>
  <c r="A385" i="3"/>
  <c r="J384" i="3"/>
  <c r="I384" i="3"/>
  <c r="H384" i="3"/>
  <c r="G384" i="3"/>
  <c r="F384" i="3"/>
  <c r="E384" i="3"/>
  <c r="D384" i="3"/>
  <c r="C384" i="3"/>
  <c r="K384" i="3" s="1"/>
  <c r="B384" i="3"/>
  <c r="A384" i="3"/>
  <c r="J383" i="3"/>
  <c r="I383" i="3"/>
  <c r="H383" i="3"/>
  <c r="G383" i="3"/>
  <c r="F383" i="3"/>
  <c r="E383" i="3"/>
  <c r="D383" i="3"/>
  <c r="C383" i="3"/>
  <c r="K383" i="3" s="1"/>
  <c r="B383" i="3"/>
  <c r="A383" i="3"/>
  <c r="J382" i="3"/>
  <c r="I382" i="3"/>
  <c r="H382" i="3"/>
  <c r="G382" i="3"/>
  <c r="F382" i="3"/>
  <c r="E382" i="3"/>
  <c r="D382" i="3"/>
  <c r="C382" i="3"/>
  <c r="K382" i="3" s="1"/>
  <c r="B382" i="3"/>
  <c r="A382" i="3"/>
  <c r="J381" i="3"/>
  <c r="I381" i="3"/>
  <c r="H381" i="3"/>
  <c r="G381" i="3"/>
  <c r="F381" i="3"/>
  <c r="E381" i="3"/>
  <c r="D381" i="3"/>
  <c r="C381" i="3"/>
  <c r="K381" i="3" s="1"/>
  <c r="B381" i="3"/>
  <c r="A381" i="3"/>
  <c r="J380" i="3"/>
  <c r="I380" i="3"/>
  <c r="H380" i="3"/>
  <c r="G380" i="3"/>
  <c r="F380" i="3"/>
  <c r="E380" i="3"/>
  <c r="D380" i="3"/>
  <c r="C380" i="3"/>
  <c r="K380" i="3" s="1"/>
  <c r="B380" i="3"/>
  <c r="A380" i="3"/>
  <c r="J379" i="3"/>
  <c r="I379" i="3"/>
  <c r="H379" i="3"/>
  <c r="G379" i="3"/>
  <c r="F379" i="3"/>
  <c r="E379" i="3"/>
  <c r="D379" i="3"/>
  <c r="C379" i="3"/>
  <c r="K379" i="3" s="1"/>
  <c r="B379" i="3"/>
  <c r="A379" i="3"/>
  <c r="J378" i="3"/>
  <c r="I378" i="3"/>
  <c r="H378" i="3"/>
  <c r="G378" i="3"/>
  <c r="F378" i="3"/>
  <c r="E378" i="3"/>
  <c r="D378" i="3"/>
  <c r="C378" i="3"/>
  <c r="K378" i="3" s="1"/>
  <c r="B378" i="3"/>
  <c r="A378" i="3"/>
  <c r="J377" i="3"/>
  <c r="I377" i="3"/>
  <c r="H377" i="3"/>
  <c r="G377" i="3"/>
  <c r="F377" i="3"/>
  <c r="E377" i="3"/>
  <c r="D377" i="3"/>
  <c r="C377" i="3"/>
  <c r="K377" i="3" s="1"/>
  <c r="B377" i="3"/>
  <c r="A377" i="3"/>
  <c r="J376" i="3"/>
  <c r="I376" i="3"/>
  <c r="H376" i="3"/>
  <c r="G376" i="3"/>
  <c r="F376" i="3"/>
  <c r="E376" i="3"/>
  <c r="D376" i="3"/>
  <c r="C376" i="3"/>
  <c r="K376" i="3" s="1"/>
  <c r="B376" i="3"/>
  <c r="A376" i="3"/>
  <c r="J375" i="3"/>
  <c r="I375" i="3"/>
  <c r="H375" i="3"/>
  <c r="G375" i="3"/>
  <c r="F375" i="3"/>
  <c r="E375" i="3"/>
  <c r="D375" i="3"/>
  <c r="C375" i="3"/>
  <c r="K375" i="3" s="1"/>
  <c r="B375" i="3"/>
  <c r="A375" i="3"/>
  <c r="J374" i="3"/>
  <c r="I374" i="3"/>
  <c r="H374" i="3"/>
  <c r="G374" i="3"/>
  <c r="F374" i="3"/>
  <c r="E374" i="3"/>
  <c r="D374" i="3"/>
  <c r="C374" i="3"/>
  <c r="K374" i="3" s="1"/>
  <c r="B374" i="3"/>
  <c r="A374" i="3"/>
  <c r="J373" i="3"/>
  <c r="I373" i="3"/>
  <c r="H373" i="3"/>
  <c r="G373" i="3"/>
  <c r="F373" i="3"/>
  <c r="E373" i="3"/>
  <c r="D373" i="3"/>
  <c r="C373" i="3"/>
  <c r="K373" i="3" s="1"/>
  <c r="B373" i="3"/>
  <c r="A373" i="3"/>
  <c r="J372" i="3"/>
  <c r="I372" i="3"/>
  <c r="H372" i="3"/>
  <c r="G372" i="3"/>
  <c r="F372" i="3"/>
  <c r="E372" i="3"/>
  <c r="D372" i="3"/>
  <c r="C372" i="3"/>
  <c r="K372" i="3" s="1"/>
  <c r="B372" i="3"/>
  <c r="A372" i="3"/>
  <c r="J371" i="3"/>
  <c r="I371" i="3"/>
  <c r="H371" i="3"/>
  <c r="G371" i="3"/>
  <c r="F371" i="3"/>
  <c r="E371" i="3"/>
  <c r="D371" i="3"/>
  <c r="C371" i="3"/>
  <c r="K371" i="3" s="1"/>
  <c r="B371" i="3"/>
  <c r="A371" i="3"/>
  <c r="J370" i="3"/>
  <c r="I370" i="3"/>
  <c r="H370" i="3"/>
  <c r="G370" i="3"/>
  <c r="F370" i="3"/>
  <c r="E370" i="3"/>
  <c r="D370" i="3"/>
  <c r="C370" i="3"/>
  <c r="K370" i="3" s="1"/>
  <c r="B370" i="3"/>
  <c r="A370" i="3"/>
  <c r="J369" i="3"/>
  <c r="I369" i="3"/>
  <c r="H369" i="3"/>
  <c r="G369" i="3"/>
  <c r="F369" i="3"/>
  <c r="E369" i="3"/>
  <c r="D369" i="3"/>
  <c r="C369" i="3"/>
  <c r="K369" i="3" s="1"/>
  <c r="B369" i="3"/>
  <c r="A369" i="3"/>
  <c r="J368" i="3"/>
  <c r="I368" i="3"/>
  <c r="H368" i="3"/>
  <c r="G368" i="3"/>
  <c r="F368" i="3"/>
  <c r="E368" i="3"/>
  <c r="D368" i="3"/>
  <c r="C368" i="3"/>
  <c r="K368" i="3" s="1"/>
  <c r="B368" i="3"/>
  <c r="A368" i="3"/>
  <c r="J367" i="3"/>
  <c r="I367" i="3"/>
  <c r="H367" i="3"/>
  <c r="G367" i="3"/>
  <c r="F367" i="3"/>
  <c r="E367" i="3"/>
  <c r="D367" i="3"/>
  <c r="C367" i="3"/>
  <c r="K367" i="3" s="1"/>
  <c r="B367" i="3"/>
  <c r="A367" i="3"/>
  <c r="J366" i="3"/>
  <c r="I366" i="3"/>
  <c r="H366" i="3"/>
  <c r="G366" i="3"/>
  <c r="F366" i="3"/>
  <c r="E366" i="3"/>
  <c r="D366" i="3"/>
  <c r="C366" i="3"/>
  <c r="K366" i="3" s="1"/>
  <c r="B366" i="3"/>
  <c r="A366" i="3"/>
  <c r="J365" i="3"/>
  <c r="I365" i="3"/>
  <c r="H365" i="3"/>
  <c r="G365" i="3"/>
  <c r="F365" i="3"/>
  <c r="E365" i="3"/>
  <c r="D365" i="3"/>
  <c r="C365" i="3"/>
  <c r="K365" i="3" s="1"/>
  <c r="B365" i="3"/>
  <c r="A365" i="3"/>
  <c r="J364" i="3"/>
  <c r="I364" i="3"/>
  <c r="H364" i="3"/>
  <c r="G364" i="3"/>
  <c r="F364" i="3"/>
  <c r="E364" i="3"/>
  <c r="D364" i="3"/>
  <c r="C364" i="3"/>
  <c r="K364" i="3" s="1"/>
  <c r="B364" i="3"/>
  <c r="A364" i="3"/>
  <c r="J363" i="3"/>
  <c r="I363" i="3"/>
  <c r="H363" i="3"/>
  <c r="G363" i="3"/>
  <c r="F363" i="3"/>
  <c r="E363" i="3"/>
  <c r="D363" i="3"/>
  <c r="C363" i="3"/>
  <c r="K363" i="3" s="1"/>
  <c r="B363" i="3"/>
  <c r="A363" i="3"/>
  <c r="J362" i="3"/>
  <c r="I362" i="3"/>
  <c r="H362" i="3"/>
  <c r="G362" i="3"/>
  <c r="F362" i="3"/>
  <c r="E362" i="3"/>
  <c r="D362" i="3"/>
  <c r="C362" i="3"/>
  <c r="K362" i="3" s="1"/>
  <c r="B362" i="3"/>
  <c r="A362" i="3"/>
  <c r="J361" i="3"/>
  <c r="I361" i="3"/>
  <c r="H361" i="3"/>
  <c r="G361" i="3"/>
  <c r="F361" i="3"/>
  <c r="E361" i="3"/>
  <c r="D361" i="3"/>
  <c r="C361" i="3"/>
  <c r="K361" i="3" s="1"/>
  <c r="B361" i="3"/>
  <c r="A361" i="3"/>
  <c r="J360" i="3"/>
  <c r="I360" i="3"/>
  <c r="H360" i="3"/>
  <c r="G360" i="3"/>
  <c r="F360" i="3"/>
  <c r="E360" i="3"/>
  <c r="D360" i="3"/>
  <c r="C360" i="3"/>
  <c r="K360" i="3" s="1"/>
  <c r="B360" i="3"/>
  <c r="A360" i="3"/>
  <c r="J359" i="3"/>
  <c r="I359" i="3"/>
  <c r="H359" i="3"/>
  <c r="G359" i="3"/>
  <c r="F359" i="3"/>
  <c r="E359" i="3"/>
  <c r="D359" i="3"/>
  <c r="C359" i="3"/>
  <c r="K359" i="3" s="1"/>
  <c r="B359" i="3"/>
  <c r="A359" i="3"/>
  <c r="J358" i="3"/>
  <c r="I358" i="3"/>
  <c r="H358" i="3"/>
  <c r="G358" i="3"/>
  <c r="F358" i="3"/>
  <c r="E358" i="3"/>
  <c r="D358" i="3"/>
  <c r="C358" i="3"/>
  <c r="K358" i="3" s="1"/>
  <c r="B358" i="3"/>
  <c r="A358" i="3"/>
  <c r="J357" i="3"/>
  <c r="I357" i="3"/>
  <c r="H357" i="3"/>
  <c r="G357" i="3"/>
  <c r="F357" i="3"/>
  <c r="E357" i="3"/>
  <c r="D357" i="3"/>
  <c r="C357" i="3"/>
  <c r="K357" i="3" s="1"/>
  <c r="B357" i="3"/>
  <c r="A357" i="3"/>
  <c r="J356" i="3"/>
  <c r="I356" i="3"/>
  <c r="H356" i="3"/>
  <c r="G356" i="3"/>
  <c r="F356" i="3"/>
  <c r="E356" i="3"/>
  <c r="D356" i="3"/>
  <c r="C356" i="3"/>
  <c r="K356" i="3" s="1"/>
  <c r="B356" i="3"/>
  <c r="A356" i="3"/>
  <c r="J355" i="3"/>
  <c r="I355" i="3"/>
  <c r="H355" i="3"/>
  <c r="G355" i="3"/>
  <c r="F355" i="3"/>
  <c r="E355" i="3"/>
  <c r="D355" i="3"/>
  <c r="C355" i="3"/>
  <c r="K355" i="3" s="1"/>
  <c r="B355" i="3"/>
  <c r="A355" i="3"/>
  <c r="J354" i="3"/>
  <c r="I354" i="3"/>
  <c r="H354" i="3"/>
  <c r="G354" i="3"/>
  <c r="F354" i="3"/>
  <c r="E354" i="3"/>
  <c r="D354" i="3"/>
  <c r="C354" i="3"/>
  <c r="K354" i="3" s="1"/>
  <c r="B354" i="3"/>
  <c r="A354" i="3"/>
  <c r="J353" i="3"/>
  <c r="I353" i="3"/>
  <c r="H353" i="3"/>
  <c r="G353" i="3"/>
  <c r="F353" i="3"/>
  <c r="E353" i="3"/>
  <c r="D353" i="3"/>
  <c r="C353" i="3"/>
  <c r="K353" i="3" s="1"/>
  <c r="B353" i="3"/>
  <c r="A353" i="3"/>
  <c r="J352" i="3"/>
  <c r="I352" i="3"/>
  <c r="H352" i="3"/>
  <c r="G352" i="3"/>
  <c r="F352" i="3"/>
  <c r="E352" i="3"/>
  <c r="D352" i="3"/>
  <c r="C352" i="3"/>
  <c r="K352" i="3" s="1"/>
  <c r="B352" i="3"/>
  <c r="A352" i="3"/>
  <c r="J351" i="3"/>
  <c r="I351" i="3"/>
  <c r="H351" i="3"/>
  <c r="G351" i="3"/>
  <c r="F351" i="3"/>
  <c r="E351" i="3"/>
  <c r="D351" i="3"/>
  <c r="C351" i="3"/>
  <c r="K351" i="3" s="1"/>
  <c r="B351" i="3"/>
  <c r="A351" i="3"/>
  <c r="J350" i="3"/>
  <c r="I350" i="3"/>
  <c r="H350" i="3"/>
  <c r="G350" i="3"/>
  <c r="F350" i="3"/>
  <c r="E350" i="3"/>
  <c r="D350" i="3"/>
  <c r="C350" i="3"/>
  <c r="K350" i="3" s="1"/>
  <c r="B350" i="3"/>
  <c r="A350" i="3"/>
  <c r="J349" i="3"/>
  <c r="I349" i="3"/>
  <c r="H349" i="3"/>
  <c r="G349" i="3"/>
  <c r="F349" i="3"/>
  <c r="E349" i="3"/>
  <c r="D349" i="3"/>
  <c r="C349" i="3"/>
  <c r="K349" i="3" s="1"/>
  <c r="B349" i="3"/>
  <c r="A349" i="3"/>
  <c r="J348" i="3"/>
  <c r="I348" i="3"/>
  <c r="H348" i="3"/>
  <c r="G348" i="3"/>
  <c r="F348" i="3"/>
  <c r="E348" i="3"/>
  <c r="D348" i="3"/>
  <c r="C348" i="3"/>
  <c r="K348" i="3" s="1"/>
  <c r="B348" i="3"/>
  <c r="A348" i="3"/>
  <c r="J347" i="3"/>
  <c r="I347" i="3"/>
  <c r="H347" i="3"/>
  <c r="G347" i="3"/>
  <c r="F347" i="3"/>
  <c r="E347" i="3"/>
  <c r="D347" i="3"/>
  <c r="C347" i="3"/>
  <c r="K347" i="3" s="1"/>
  <c r="B347" i="3"/>
  <c r="A347" i="3"/>
  <c r="J346" i="3"/>
  <c r="I346" i="3"/>
  <c r="H346" i="3"/>
  <c r="G346" i="3"/>
  <c r="F346" i="3"/>
  <c r="E346" i="3"/>
  <c r="D346" i="3"/>
  <c r="C346" i="3"/>
  <c r="K346" i="3" s="1"/>
  <c r="B346" i="3"/>
  <c r="A346" i="3"/>
  <c r="J345" i="3"/>
  <c r="I345" i="3"/>
  <c r="H345" i="3"/>
  <c r="G345" i="3"/>
  <c r="F345" i="3"/>
  <c r="E345" i="3"/>
  <c r="D345" i="3"/>
  <c r="C345" i="3"/>
  <c r="K345" i="3" s="1"/>
  <c r="B345" i="3"/>
  <c r="A345" i="3"/>
  <c r="J344" i="3"/>
  <c r="I344" i="3"/>
  <c r="H344" i="3"/>
  <c r="G344" i="3"/>
  <c r="F344" i="3"/>
  <c r="E344" i="3"/>
  <c r="D344" i="3"/>
  <c r="C344" i="3"/>
  <c r="K344" i="3" s="1"/>
  <c r="B344" i="3"/>
  <c r="A344" i="3"/>
  <c r="J343" i="3"/>
  <c r="I343" i="3"/>
  <c r="H343" i="3"/>
  <c r="G343" i="3"/>
  <c r="F343" i="3"/>
  <c r="E343" i="3"/>
  <c r="D343" i="3"/>
  <c r="C343" i="3"/>
  <c r="K343" i="3" s="1"/>
  <c r="B343" i="3"/>
  <c r="A343" i="3"/>
  <c r="J342" i="3"/>
  <c r="I342" i="3"/>
  <c r="H342" i="3"/>
  <c r="G342" i="3"/>
  <c r="F342" i="3"/>
  <c r="E342" i="3"/>
  <c r="D342" i="3"/>
  <c r="C342" i="3"/>
  <c r="K342" i="3" s="1"/>
  <c r="B342" i="3"/>
  <c r="A342" i="3"/>
  <c r="J341" i="3"/>
  <c r="I341" i="3"/>
  <c r="H341" i="3"/>
  <c r="G341" i="3"/>
  <c r="F341" i="3"/>
  <c r="E341" i="3"/>
  <c r="D341" i="3"/>
  <c r="C341" i="3"/>
  <c r="K341" i="3" s="1"/>
  <c r="B341" i="3"/>
  <c r="A341" i="3"/>
  <c r="J340" i="3"/>
  <c r="I340" i="3"/>
  <c r="H340" i="3"/>
  <c r="G340" i="3"/>
  <c r="F340" i="3"/>
  <c r="E340" i="3"/>
  <c r="D340" i="3"/>
  <c r="C340" i="3"/>
  <c r="K340" i="3" s="1"/>
  <c r="B340" i="3"/>
  <c r="A340" i="3"/>
  <c r="J339" i="3"/>
  <c r="I339" i="3"/>
  <c r="H339" i="3"/>
  <c r="G339" i="3"/>
  <c r="F339" i="3"/>
  <c r="E339" i="3"/>
  <c r="D339" i="3"/>
  <c r="C339" i="3"/>
  <c r="K339" i="3" s="1"/>
  <c r="B339" i="3"/>
  <c r="A339" i="3"/>
  <c r="J338" i="3"/>
  <c r="I338" i="3"/>
  <c r="H338" i="3"/>
  <c r="G338" i="3"/>
  <c r="F338" i="3"/>
  <c r="E338" i="3"/>
  <c r="D338" i="3"/>
  <c r="C338" i="3"/>
  <c r="K338" i="3" s="1"/>
  <c r="B338" i="3"/>
  <c r="A338" i="3"/>
  <c r="J337" i="3"/>
  <c r="I337" i="3"/>
  <c r="H337" i="3"/>
  <c r="G337" i="3"/>
  <c r="F337" i="3"/>
  <c r="E337" i="3"/>
  <c r="D337" i="3"/>
  <c r="C337" i="3"/>
  <c r="K337" i="3" s="1"/>
  <c r="B337" i="3"/>
  <c r="A337" i="3"/>
  <c r="J336" i="3"/>
  <c r="I336" i="3"/>
  <c r="H336" i="3"/>
  <c r="G336" i="3"/>
  <c r="F336" i="3"/>
  <c r="E336" i="3"/>
  <c r="D336" i="3"/>
  <c r="C336" i="3"/>
  <c r="K336" i="3" s="1"/>
  <c r="B336" i="3"/>
  <c r="A336" i="3"/>
  <c r="J335" i="3"/>
  <c r="I335" i="3"/>
  <c r="H335" i="3"/>
  <c r="G335" i="3"/>
  <c r="F335" i="3"/>
  <c r="E335" i="3"/>
  <c r="D335" i="3"/>
  <c r="C335" i="3"/>
  <c r="K335" i="3" s="1"/>
  <c r="B335" i="3"/>
  <c r="A335" i="3"/>
  <c r="J334" i="3"/>
  <c r="I334" i="3"/>
  <c r="H334" i="3"/>
  <c r="G334" i="3"/>
  <c r="F334" i="3"/>
  <c r="E334" i="3"/>
  <c r="D334" i="3"/>
  <c r="C334" i="3"/>
  <c r="K334" i="3" s="1"/>
  <c r="B334" i="3"/>
  <c r="A334" i="3"/>
  <c r="J333" i="3"/>
  <c r="I333" i="3"/>
  <c r="H333" i="3"/>
  <c r="G333" i="3"/>
  <c r="F333" i="3"/>
  <c r="E333" i="3"/>
  <c r="D333" i="3"/>
  <c r="C333" i="3"/>
  <c r="K333" i="3" s="1"/>
  <c r="B333" i="3"/>
  <c r="A333" i="3"/>
  <c r="J332" i="3"/>
  <c r="I332" i="3"/>
  <c r="H332" i="3"/>
  <c r="G332" i="3"/>
  <c r="F332" i="3"/>
  <c r="E332" i="3"/>
  <c r="D332" i="3"/>
  <c r="C332" i="3"/>
  <c r="K332" i="3" s="1"/>
  <c r="B332" i="3"/>
  <c r="A332" i="3"/>
  <c r="J331" i="3"/>
  <c r="I331" i="3"/>
  <c r="H331" i="3"/>
  <c r="G331" i="3"/>
  <c r="F331" i="3"/>
  <c r="E331" i="3"/>
  <c r="D331" i="3"/>
  <c r="C331" i="3"/>
  <c r="K331" i="3" s="1"/>
  <c r="B331" i="3"/>
  <c r="A331" i="3"/>
  <c r="J330" i="3"/>
  <c r="I330" i="3"/>
  <c r="H330" i="3"/>
  <c r="G330" i="3"/>
  <c r="F330" i="3"/>
  <c r="E330" i="3"/>
  <c r="D330" i="3"/>
  <c r="C330" i="3"/>
  <c r="K330" i="3" s="1"/>
  <c r="B330" i="3"/>
  <c r="A330" i="3"/>
  <c r="J329" i="3"/>
  <c r="I329" i="3"/>
  <c r="H329" i="3"/>
  <c r="G329" i="3"/>
  <c r="F329" i="3"/>
  <c r="E329" i="3"/>
  <c r="D329" i="3"/>
  <c r="C329" i="3"/>
  <c r="K329" i="3" s="1"/>
  <c r="B329" i="3"/>
  <c r="A329" i="3"/>
  <c r="J328" i="3"/>
  <c r="I328" i="3"/>
  <c r="H328" i="3"/>
  <c r="G328" i="3"/>
  <c r="F328" i="3"/>
  <c r="E328" i="3"/>
  <c r="D328" i="3"/>
  <c r="C328" i="3"/>
  <c r="K328" i="3" s="1"/>
  <c r="B328" i="3"/>
  <c r="A328" i="3"/>
  <c r="J327" i="3"/>
  <c r="I327" i="3"/>
  <c r="H327" i="3"/>
  <c r="G327" i="3"/>
  <c r="F327" i="3"/>
  <c r="E327" i="3"/>
  <c r="D327" i="3"/>
  <c r="C327" i="3"/>
  <c r="K327" i="3" s="1"/>
  <c r="B327" i="3"/>
  <c r="A327" i="3"/>
  <c r="J326" i="3"/>
  <c r="I326" i="3"/>
  <c r="H326" i="3"/>
  <c r="G326" i="3"/>
  <c r="F326" i="3"/>
  <c r="E326" i="3"/>
  <c r="D326" i="3"/>
  <c r="C326" i="3"/>
  <c r="K326" i="3" s="1"/>
  <c r="B326" i="3"/>
  <c r="A326" i="3"/>
  <c r="J325" i="3"/>
  <c r="I325" i="3"/>
  <c r="H325" i="3"/>
  <c r="G325" i="3"/>
  <c r="F325" i="3"/>
  <c r="E325" i="3"/>
  <c r="D325" i="3"/>
  <c r="C325" i="3"/>
  <c r="K325" i="3" s="1"/>
  <c r="B325" i="3"/>
  <c r="A325" i="3"/>
  <c r="J324" i="3"/>
  <c r="I324" i="3"/>
  <c r="H324" i="3"/>
  <c r="G324" i="3"/>
  <c r="F324" i="3"/>
  <c r="E324" i="3"/>
  <c r="D324" i="3"/>
  <c r="C324" i="3"/>
  <c r="K324" i="3" s="1"/>
  <c r="B324" i="3"/>
  <c r="A324" i="3"/>
  <c r="J323" i="3"/>
  <c r="I323" i="3"/>
  <c r="H323" i="3"/>
  <c r="G323" i="3"/>
  <c r="F323" i="3"/>
  <c r="E323" i="3"/>
  <c r="D323" i="3"/>
  <c r="C323" i="3"/>
  <c r="K323" i="3" s="1"/>
  <c r="B323" i="3"/>
  <c r="A323" i="3"/>
  <c r="J322" i="3"/>
  <c r="I322" i="3"/>
  <c r="H322" i="3"/>
  <c r="G322" i="3"/>
  <c r="F322" i="3"/>
  <c r="E322" i="3"/>
  <c r="D322" i="3"/>
  <c r="C322" i="3"/>
  <c r="K322" i="3" s="1"/>
  <c r="B322" i="3"/>
  <c r="A322" i="3"/>
  <c r="J321" i="3"/>
  <c r="I321" i="3"/>
  <c r="H321" i="3"/>
  <c r="G321" i="3"/>
  <c r="F321" i="3"/>
  <c r="E321" i="3"/>
  <c r="D321" i="3"/>
  <c r="C321" i="3"/>
  <c r="K321" i="3" s="1"/>
  <c r="B321" i="3"/>
  <c r="A321" i="3"/>
  <c r="J320" i="3"/>
  <c r="I320" i="3"/>
  <c r="K320" i="3" s="1"/>
  <c r="H320" i="3"/>
  <c r="G320" i="3"/>
  <c r="F320" i="3"/>
  <c r="E320" i="3"/>
  <c r="D320" i="3"/>
  <c r="C320" i="3"/>
  <c r="B320" i="3"/>
  <c r="A320" i="3"/>
  <c r="J319" i="3"/>
  <c r="I319" i="3"/>
  <c r="H319" i="3"/>
  <c r="G319" i="3"/>
  <c r="F319" i="3"/>
  <c r="E319" i="3"/>
  <c r="D319" i="3"/>
  <c r="C319" i="3"/>
  <c r="K319" i="3" s="1"/>
  <c r="B319" i="3"/>
  <c r="A319" i="3"/>
  <c r="J318" i="3"/>
  <c r="I318" i="3"/>
  <c r="H318" i="3"/>
  <c r="G318" i="3"/>
  <c r="F318" i="3"/>
  <c r="E318" i="3"/>
  <c r="D318" i="3"/>
  <c r="C318" i="3"/>
  <c r="K318" i="3" s="1"/>
  <c r="B318" i="3"/>
  <c r="A318" i="3"/>
  <c r="J317" i="3"/>
  <c r="I317" i="3"/>
  <c r="H317" i="3"/>
  <c r="G317" i="3"/>
  <c r="F317" i="3"/>
  <c r="E317" i="3"/>
  <c r="D317" i="3"/>
  <c r="C317" i="3"/>
  <c r="K317" i="3" s="1"/>
  <c r="B317" i="3"/>
  <c r="A317" i="3"/>
  <c r="J316" i="3"/>
  <c r="I316" i="3"/>
  <c r="H316" i="3"/>
  <c r="G316" i="3"/>
  <c r="F316" i="3"/>
  <c r="E316" i="3"/>
  <c r="D316" i="3"/>
  <c r="C316" i="3"/>
  <c r="K316" i="3" s="1"/>
  <c r="B316" i="3"/>
  <c r="A316" i="3"/>
  <c r="J315" i="3"/>
  <c r="I315" i="3"/>
  <c r="H315" i="3"/>
  <c r="G315" i="3"/>
  <c r="F315" i="3"/>
  <c r="E315" i="3"/>
  <c r="D315" i="3"/>
  <c r="C315" i="3"/>
  <c r="K315" i="3" s="1"/>
  <c r="B315" i="3"/>
  <c r="A315" i="3"/>
  <c r="J314" i="3"/>
  <c r="I314" i="3"/>
  <c r="H314" i="3"/>
  <c r="G314" i="3"/>
  <c r="F314" i="3"/>
  <c r="E314" i="3"/>
  <c r="D314" i="3"/>
  <c r="C314" i="3"/>
  <c r="K314" i="3" s="1"/>
  <c r="B314" i="3"/>
  <c r="A314" i="3"/>
  <c r="J313" i="3"/>
  <c r="I313" i="3"/>
  <c r="H313" i="3"/>
  <c r="G313" i="3"/>
  <c r="F313" i="3"/>
  <c r="E313" i="3"/>
  <c r="D313" i="3"/>
  <c r="C313" i="3"/>
  <c r="K313" i="3" s="1"/>
  <c r="B313" i="3"/>
  <c r="A313" i="3"/>
  <c r="J312" i="3"/>
  <c r="I312" i="3"/>
  <c r="H312" i="3"/>
  <c r="G312" i="3"/>
  <c r="F312" i="3"/>
  <c r="E312" i="3"/>
  <c r="D312" i="3"/>
  <c r="C312" i="3"/>
  <c r="K312" i="3" s="1"/>
  <c r="B312" i="3"/>
  <c r="A312" i="3"/>
  <c r="J311" i="3"/>
  <c r="I311" i="3"/>
  <c r="H311" i="3"/>
  <c r="G311" i="3"/>
  <c r="F311" i="3"/>
  <c r="E311" i="3"/>
  <c r="D311" i="3"/>
  <c r="C311" i="3"/>
  <c r="K311" i="3" s="1"/>
  <c r="B311" i="3"/>
  <c r="A311" i="3"/>
  <c r="J310" i="3"/>
  <c r="I310" i="3"/>
  <c r="H310" i="3"/>
  <c r="G310" i="3"/>
  <c r="F310" i="3"/>
  <c r="E310" i="3"/>
  <c r="D310" i="3"/>
  <c r="C310" i="3"/>
  <c r="K310" i="3" s="1"/>
  <c r="B310" i="3"/>
  <c r="A310" i="3"/>
  <c r="J309" i="3"/>
  <c r="I309" i="3"/>
  <c r="H309" i="3"/>
  <c r="G309" i="3"/>
  <c r="F309" i="3"/>
  <c r="E309" i="3"/>
  <c r="D309" i="3"/>
  <c r="C309" i="3"/>
  <c r="K309" i="3" s="1"/>
  <c r="B309" i="3"/>
  <c r="A309" i="3"/>
  <c r="J308" i="3"/>
  <c r="I308" i="3"/>
  <c r="H308" i="3"/>
  <c r="G308" i="3"/>
  <c r="F308" i="3"/>
  <c r="E308" i="3"/>
  <c r="D308" i="3"/>
  <c r="C308" i="3"/>
  <c r="K308" i="3" s="1"/>
  <c r="B308" i="3"/>
  <c r="A308" i="3"/>
  <c r="J307" i="3"/>
  <c r="I307" i="3"/>
  <c r="H307" i="3"/>
  <c r="G307" i="3"/>
  <c r="F307" i="3"/>
  <c r="E307" i="3"/>
  <c r="D307" i="3"/>
  <c r="C307" i="3"/>
  <c r="K307" i="3" s="1"/>
  <c r="B307" i="3"/>
  <c r="A307" i="3"/>
  <c r="J306" i="3"/>
  <c r="I306" i="3"/>
  <c r="H306" i="3"/>
  <c r="G306" i="3"/>
  <c r="F306" i="3"/>
  <c r="E306" i="3"/>
  <c r="D306" i="3"/>
  <c r="C306" i="3"/>
  <c r="K306" i="3" s="1"/>
  <c r="B306" i="3"/>
  <c r="A306" i="3"/>
  <c r="J305" i="3"/>
  <c r="I305" i="3"/>
  <c r="H305" i="3"/>
  <c r="G305" i="3"/>
  <c r="F305" i="3"/>
  <c r="E305" i="3"/>
  <c r="D305" i="3"/>
  <c r="C305" i="3"/>
  <c r="K305" i="3" s="1"/>
  <c r="B305" i="3"/>
  <c r="A305" i="3"/>
  <c r="J304" i="3"/>
  <c r="I304" i="3"/>
  <c r="H304" i="3"/>
  <c r="G304" i="3"/>
  <c r="F304" i="3"/>
  <c r="E304" i="3"/>
  <c r="D304" i="3"/>
  <c r="C304" i="3"/>
  <c r="K304" i="3" s="1"/>
  <c r="B304" i="3"/>
  <c r="A304" i="3"/>
  <c r="J303" i="3"/>
  <c r="I303" i="3"/>
  <c r="H303" i="3"/>
  <c r="G303" i="3"/>
  <c r="F303" i="3"/>
  <c r="E303" i="3"/>
  <c r="D303" i="3"/>
  <c r="C303" i="3"/>
  <c r="K303" i="3" s="1"/>
  <c r="B303" i="3"/>
  <c r="A303" i="3"/>
  <c r="J302" i="3"/>
  <c r="I302" i="3"/>
  <c r="H302" i="3"/>
  <c r="G302" i="3"/>
  <c r="F302" i="3"/>
  <c r="E302" i="3"/>
  <c r="D302" i="3"/>
  <c r="C302" i="3"/>
  <c r="K302" i="3" s="1"/>
  <c r="B302" i="3"/>
  <c r="A302" i="3"/>
  <c r="J301" i="3"/>
  <c r="I301" i="3"/>
  <c r="H301" i="3"/>
  <c r="G301" i="3"/>
  <c r="F301" i="3"/>
  <c r="E301" i="3"/>
  <c r="D301" i="3"/>
  <c r="C301" i="3"/>
  <c r="K301" i="3" s="1"/>
  <c r="B301" i="3"/>
  <c r="A301" i="3"/>
  <c r="J300" i="3"/>
  <c r="I300" i="3"/>
  <c r="H300" i="3"/>
  <c r="G300" i="3"/>
  <c r="F300" i="3"/>
  <c r="E300" i="3"/>
  <c r="D300" i="3"/>
  <c r="C300" i="3"/>
  <c r="K300" i="3" s="1"/>
  <c r="B300" i="3"/>
  <c r="A300" i="3"/>
  <c r="J299" i="3"/>
  <c r="I299" i="3"/>
  <c r="H299" i="3"/>
  <c r="G299" i="3"/>
  <c r="F299" i="3"/>
  <c r="E299" i="3"/>
  <c r="D299" i="3"/>
  <c r="C299" i="3"/>
  <c r="K299" i="3" s="1"/>
  <c r="B299" i="3"/>
  <c r="A299" i="3"/>
  <c r="J298" i="3"/>
  <c r="I298" i="3"/>
  <c r="H298" i="3"/>
  <c r="G298" i="3"/>
  <c r="F298" i="3"/>
  <c r="E298" i="3"/>
  <c r="D298" i="3"/>
  <c r="C298" i="3"/>
  <c r="K298" i="3" s="1"/>
  <c r="B298" i="3"/>
  <c r="A298" i="3"/>
  <c r="J297" i="3"/>
  <c r="I297" i="3"/>
  <c r="H297" i="3"/>
  <c r="G297" i="3"/>
  <c r="F297" i="3"/>
  <c r="E297" i="3"/>
  <c r="D297" i="3"/>
  <c r="C297" i="3"/>
  <c r="K297" i="3" s="1"/>
  <c r="B297" i="3"/>
  <c r="A297" i="3"/>
  <c r="J296" i="3"/>
  <c r="I296" i="3"/>
  <c r="H296" i="3"/>
  <c r="G296" i="3"/>
  <c r="F296" i="3"/>
  <c r="E296" i="3"/>
  <c r="D296" i="3"/>
  <c r="C296" i="3"/>
  <c r="K296" i="3" s="1"/>
  <c r="B296" i="3"/>
  <c r="A296" i="3"/>
  <c r="J295" i="3"/>
  <c r="I295" i="3"/>
  <c r="H295" i="3"/>
  <c r="G295" i="3"/>
  <c r="F295" i="3"/>
  <c r="E295" i="3"/>
  <c r="D295" i="3"/>
  <c r="C295" i="3"/>
  <c r="K295" i="3" s="1"/>
  <c r="B295" i="3"/>
  <c r="A295" i="3"/>
  <c r="J294" i="3"/>
  <c r="I294" i="3"/>
  <c r="H294" i="3"/>
  <c r="G294" i="3"/>
  <c r="F294" i="3"/>
  <c r="E294" i="3"/>
  <c r="D294" i="3"/>
  <c r="C294" i="3"/>
  <c r="K294" i="3" s="1"/>
  <c r="B294" i="3"/>
  <c r="A294" i="3"/>
  <c r="J293" i="3"/>
  <c r="I293" i="3"/>
  <c r="H293" i="3"/>
  <c r="G293" i="3"/>
  <c r="F293" i="3"/>
  <c r="E293" i="3"/>
  <c r="D293" i="3"/>
  <c r="C293" i="3"/>
  <c r="K293" i="3" s="1"/>
  <c r="B293" i="3"/>
  <c r="A293" i="3"/>
  <c r="J292" i="3"/>
  <c r="I292" i="3"/>
  <c r="H292" i="3"/>
  <c r="G292" i="3"/>
  <c r="F292" i="3"/>
  <c r="E292" i="3"/>
  <c r="D292" i="3"/>
  <c r="C292" i="3"/>
  <c r="K292" i="3" s="1"/>
  <c r="B292" i="3"/>
  <c r="A292" i="3"/>
  <c r="J291" i="3"/>
  <c r="I291" i="3"/>
  <c r="H291" i="3"/>
  <c r="G291" i="3"/>
  <c r="F291" i="3"/>
  <c r="E291" i="3"/>
  <c r="D291" i="3"/>
  <c r="C291" i="3"/>
  <c r="K291" i="3" s="1"/>
  <c r="B291" i="3"/>
  <c r="A291" i="3"/>
  <c r="J290" i="3"/>
  <c r="I290" i="3"/>
  <c r="H290" i="3"/>
  <c r="G290" i="3"/>
  <c r="F290" i="3"/>
  <c r="E290" i="3"/>
  <c r="D290" i="3"/>
  <c r="C290" i="3"/>
  <c r="K290" i="3" s="1"/>
  <c r="B290" i="3"/>
  <c r="A290" i="3"/>
  <c r="J289" i="3"/>
  <c r="I289" i="3"/>
  <c r="H289" i="3"/>
  <c r="G289" i="3"/>
  <c r="F289" i="3"/>
  <c r="E289" i="3"/>
  <c r="D289" i="3"/>
  <c r="C289" i="3"/>
  <c r="K289" i="3" s="1"/>
  <c r="B289" i="3"/>
  <c r="A289" i="3"/>
  <c r="J288" i="3"/>
  <c r="I288" i="3"/>
  <c r="H288" i="3"/>
  <c r="G288" i="3"/>
  <c r="F288" i="3"/>
  <c r="E288" i="3"/>
  <c r="D288" i="3"/>
  <c r="C288" i="3"/>
  <c r="K288" i="3" s="1"/>
  <c r="B288" i="3"/>
  <c r="A288" i="3"/>
  <c r="J287" i="3"/>
  <c r="I287" i="3"/>
  <c r="H287" i="3"/>
  <c r="G287" i="3"/>
  <c r="F287" i="3"/>
  <c r="E287" i="3"/>
  <c r="D287" i="3"/>
  <c r="C287" i="3"/>
  <c r="K287" i="3" s="1"/>
  <c r="B287" i="3"/>
  <c r="A287" i="3"/>
  <c r="J286" i="3"/>
  <c r="I286" i="3"/>
  <c r="H286" i="3"/>
  <c r="G286" i="3"/>
  <c r="F286" i="3"/>
  <c r="E286" i="3"/>
  <c r="D286" i="3"/>
  <c r="C286" i="3"/>
  <c r="K286" i="3" s="1"/>
  <c r="B286" i="3"/>
  <c r="A286" i="3"/>
  <c r="J285" i="3"/>
  <c r="I285" i="3"/>
  <c r="H285" i="3"/>
  <c r="G285" i="3"/>
  <c r="F285" i="3"/>
  <c r="E285" i="3"/>
  <c r="D285" i="3"/>
  <c r="C285" i="3"/>
  <c r="K285" i="3" s="1"/>
  <c r="B285" i="3"/>
  <c r="A285" i="3"/>
  <c r="J284" i="3"/>
  <c r="I284" i="3"/>
  <c r="H284" i="3"/>
  <c r="G284" i="3"/>
  <c r="F284" i="3"/>
  <c r="E284" i="3"/>
  <c r="D284" i="3"/>
  <c r="C284" i="3"/>
  <c r="K284" i="3" s="1"/>
  <c r="B284" i="3"/>
  <c r="A284" i="3"/>
  <c r="J283" i="3"/>
  <c r="I283" i="3"/>
  <c r="H283" i="3"/>
  <c r="G283" i="3"/>
  <c r="F283" i="3"/>
  <c r="E283" i="3"/>
  <c r="D283" i="3"/>
  <c r="C283" i="3"/>
  <c r="K283" i="3" s="1"/>
  <c r="B283" i="3"/>
  <c r="A283" i="3"/>
  <c r="J282" i="3"/>
  <c r="I282" i="3"/>
  <c r="H282" i="3"/>
  <c r="G282" i="3"/>
  <c r="F282" i="3"/>
  <c r="E282" i="3"/>
  <c r="D282" i="3"/>
  <c r="C282" i="3"/>
  <c r="K282" i="3" s="1"/>
  <c r="B282" i="3"/>
  <c r="A282" i="3"/>
  <c r="J281" i="3"/>
  <c r="I281" i="3"/>
  <c r="H281" i="3"/>
  <c r="G281" i="3"/>
  <c r="F281" i="3"/>
  <c r="E281" i="3"/>
  <c r="D281" i="3"/>
  <c r="C281" i="3"/>
  <c r="K281" i="3" s="1"/>
  <c r="B281" i="3"/>
  <c r="A281" i="3"/>
  <c r="J280" i="3"/>
  <c r="I280" i="3"/>
  <c r="H280" i="3"/>
  <c r="G280" i="3"/>
  <c r="F280" i="3"/>
  <c r="E280" i="3"/>
  <c r="D280" i="3"/>
  <c r="C280" i="3"/>
  <c r="K280" i="3" s="1"/>
  <c r="B280" i="3"/>
  <c r="A280" i="3"/>
  <c r="J279" i="3"/>
  <c r="I279" i="3"/>
  <c r="H279" i="3"/>
  <c r="G279" i="3"/>
  <c r="F279" i="3"/>
  <c r="E279" i="3"/>
  <c r="D279" i="3"/>
  <c r="C279" i="3"/>
  <c r="K279" i="3" s="1"/>
  <c r="B279" i="3"/>
  <c r="A279" i="3"/>
  <c r="J278" i="3"/>
  <c r="I278" i="3"/>
  <c r="H278" i="3"/>
  <c r="G278" i="3"/>
  <c r="F278" i="3"/>
  <c r="E278" i="3"/>
  <c r="D278" i="3"/>
  <c r="C278" i="3"/>
  <c r="K278" i="3" s="1"/>
  <c r="B278" i="3"/>
  <c r="A278" i="3"/>
  <c r="J277" i="3"/>
  <c r="I277" i="3"/>
  <c r="H277" i="3"/>
  <c r="G277" i="3"/>
  <c r="F277" i="3"/>
  <c r="E277" i="3"/>
  <c r="D277" i="3"/>
  <c r="C277" i="3"/>
  <c r="K277" i="3" s="1"/>
  <c r="B277" i="3"/>
  <c r="A277" i="3"/>
  <c r="J276" i="3"/>
  <c r="I276" i="3"/>
  <c r="H276" i="3"/>
  <c r="G276" i="3"/>
  <c r="F276" i="3"/>
  <c r="E276" i="3"/>
  <c r="D276" i="3"/>
  <c r="C276" i="3"/>
  <c r="K276" i="3" s="1"/>
  <c r="B276" i="3"/>
  <c r="A276" i="3"/>
  <c r="J275" i="3"/>
  <c r="I275" i="3"/>
  <c r="H275" i="3"/>
  <c r="G275" i="3"/>
  <c r="F275" i="3"/>
  <c r="E275" i="3"/>
  <c r="D275" i="3"/>
  <c r="C275" i="3"/>
  <c r="K275" i="3" s="1"/>
  <c r="B275" i="3"/>
  <c r="A275" i="3"/>
  <c r="J274" i="3"/>
  <c r="I274" i="3"/>
  <c r="H274" i="3"/>
  <c r="G274" i="3"/>
  <c r="F274" i="3"/>
  <c r="E274" i="3"/>
  <c r="D274" i="3"/>
  <c r="C274" i="3"/>
  <c r="K274" i="3" s="1"/>
  <c r="B274" i="3"/>
  <c r="A274" i="3"/>
  <c r="J273" i="3"/>
  <c r="I273" i="3"/>
  <c r="H273" i="3"/>
  <c r="G273" i="3"/>
  <c r="F273" i="3"/>
  <c r="E273" i="3"/>
  <c r="D273" i="3"/>
  <c r="C273" i="3"/>
  <c r="K273" i="3" s="1"/>
  <c r="B273" i="3"/>
  <c r="A273" i="3"/>
  <c r="J272" i="3"/>
  <c r="I272" i="3"/>
  <c r="H272" i="3"/>
  <c r="G272" i="3"/>
  <c r="F272" i="3"/>
  <c r="E272" i="3"/>
  <c r="D272" i="3"/>
  <c r="C272" i="3"/>
  <c r="K272" i="3" s="1"/>
  <c r="B272" i="3"/>
  <c r="A272" i="3"/>
  <c r="J271" i="3"/>
  <c r="I271" i="3"/>
  <c r="H271" i="3"/>
  <c r="G271" i="3"/>
  <c r="F271" i="3"/>
  <c r="E271" i="3"/>
  <c r="D271" i="3"/>
  <c r="C271" i="3"/>
  <c r="K271" i="3" s="1"/>
  <c r="B271" i="3"/>
  <c r="A271" i="3"/>
  <c r="J270" i="3"/>
  <c r="I270" i="3"/>
  <c r="H270" i="3"/>
  <c r="G270" i="3"/>
  <c r="F270" i="3"/>
  <c r="E270" i="3"/>
  <c r="D270" i="3"/>
  <c r="C270" i="3"/>
  <c r="K270" i="3" s="1"/>
  <c r="B270" i="3"/>
  <c r="A270" i="3"/>
  <c r="J269" i="3"/>
  <c r="I269" i="3"/>
  <c r="H269" i="3"/>
  <c r="G269" i="3"/>
  <c r="F269" i="3"/>
  <c r="E269" i="3"/>
  <c r="D269" i="3"/>
  <c r="C269" i="3"/>
  <c r="K269" i="3" s="1"/>
  <c r="B269" i="3"/>
  <c r="A269" i="3"/>
  <c r="J268" i="3"/>
  <c r="I268" i="3"/>
  <c r="H268" i="3"/>
  <c r="G268" i="3"/>
  <c r="F268" i="3"/>
  <c r="E268" i="3"/>
  <c r="D268" i="3"/>
  <c r="C268" i="3"/>
  <c r="K268" i="3" s="1"/>
  <c r="B268" i="3"/>
  <c r="A268" i="3"/>
  <c r="J267" i="3"/>
  <c r="I267" i="3"/>
  <c r="H267" i="3"/>
  <c r="G267" i="3"/>
  <c r="F267" i="3"/>
  <c r="E267" i="3"/>
  <c r="D267" i="3"/>
  <c r="C267" i="3"/>
  <c r="K267" i="3" s="1"/>
  <c r="B267" i="3"/>
  <c r="A267" i="3"/>
  <c r="J266" i="3"/>
  <c r="I266" i="3"/>
  <c r="H266" i="3"/>
  <c r="G266" i="3"/>
  <c r="F266" i="3"/>
  <c r="E266" i="3"/>
  <c r="D266" i="3"/>
  <c r="C266" i="3"/>
  <c r="K266" i="3" s="1"/>
  <c r="B266" i="3"/>
  <c r="A266" i="3"/>
  <c r="J265" i="3"/>
  <c r="I265" i="3"/>
  <c r="H265" i="3"/>
  <c r="G265" i="3"/>
  <c r="F265" i="3"/>
  <c r="E265" i="3"/>
  <c r="D265" i="3"/>
  <c r="C265" i="3"/>
  <c r="K265" i="3" s="1"/>
  <c r="B265" i="3"/>
  <c r="A265" i="3"/>
  <c r="J264" i="3"/>
  <c r="I264" i="3"/>
  <c r="H264" i="3"/>
  <c r="G264" i="3"/>
  <c r="F264" i="3"/>
  <c r="E264" i="3"/>
  <c r="D264" i="3"/>
  <c r="C264" i="3"/>
  <c r="K264" i="3" s="1"/>
  <c r="B264" i="3"/>
  <c r="A264" i="3"/>
  <c r="J263" i="3"/>
  <c r="I263" i="3"/>
  <c r="H263" i="3"/>
  <c r="G263" i="3"/>
  <c r="F263" i="3"/>
  <c r="E263" i="3"/>
  <c r="D263" i="3"/>
  <c r="C263" i="3"/>
  <c r="K263" i="3" s="1"/>
  <c r="B263" i="3"/>
  <c r="A263" i="3"/>
  <c r="J262" i="3"/>
  <c r="I262" i="3"/>
  <c r="H262" i="3"/>
  <c r="G262" i="3"/>
  <c r="F262" i="3"/>
  <c r="E262" i="3"/>
  <c r="D262" i="3"/>
  <c r="C262" i="3"/>
  <c r="K262" i="3" s="1"/>
  <c r="B262" i="3"/>
  <c r="A262" i="3"/>
  <c r="J261" i="3"/>
  <c r="I261" i="3"/>
  <c r="H261" i="3"/>
  <c r="G261" i="3"/>
  <c r="F261" i="3"/>
  <c r="E261" i="3"/>
  <c r="D261" i="3"/>
  <c r="C261" i="3"/>
  <c r="K261" i="3" s="1"/>
  <c r="B261" i="3"/>
  <c r="A261" i="3"/>
  <c r="J260" i="3"/>
  <c r="I260" i="3"/>
  <c r="H260" i="3"/>
  <c r="G260" i="3"/>
  <c r="F260" i="3"/>
  <c r="E260" i="3"/>
  <c r="D260" i="3"/>
  <c r="C260" i="3"/>
  <c r="K260" i="3" s="1"/>
  <c r="B260" i="3"/>
  <c r="A260" i="3"/>
  <c r="J259" i="3"/>
  <c r="I259" i="3"/>
  <c r="H259" i="3"/>
  <c r="G259" i="3"/>
  <c r="F259" i="3"/>
  <c r="E259" i="3"/>
  <c r="D259" i="3"/>
  <c r="C259" i="3"/>
  <c r="K259" i="3" s="1"/>
  <c r="B259" i="3"/>
  <c r="A259" i="3"/>
  <c r="J258" i="3"/>
  <c r="I258" i="3"/>
  <c r="H258" i="3"/>
  <c r="G258" i="3"/>
  <c r="F258" i="3"/>
  <c r="E258" i="3"/>
  <c r="D258" i="3"/>
  <c r="C258" i="3"/>
  <c r="K258" i="3" s="1"/>
  <c r="B258" i="3"/>
  <c r="A258" i="3"/>
  <c r="J257" i="3"/>
  <c r="I257" i="3"/>
  <c r="H257" i="3"/>
  <c r="G257" i="3"/>
  <c r="F257" i="3"/>
  <c r="E257" i="3"/>
  <c r="D257" i="3"/>
  <c r="C257" i="3"/>
  <c r="K257" i="3" s="1"/>
  <c r="B257" i="3"/>
  <c r="A257" i="3"/>
  <c r="J256" i="3"/>
  <c r="I256" i="3"/>
  <c r="H256" i="3"/>
  <c r="G256" i="3"/>
  <c r="F256" i="3"/>
  <c r="E256" i="3"/>
  <c r="D256" i="3"/>
  <c r="C256" i="3"/>
  <c r="K256" i="3" s="1"/>
  <c r="B256" i="3"/>
  <c r="A256" i="3"/>
  <c r="J255" i="3"/>
  <c r="I255" i="3"/>
  <c r="H255" i="3"/>
  <c r="G255" i="3"/>
  <c r="F255" i="3"/>
  <c r="E255" i="3"/>
  <c r="D255" i="3"/>
  <c r="C255" i="3"/>
  <c r="K255" i="3" s="1"/>
  <c r="B255" i="3"/>
  <c r="A255" i="3"/>
  <c r="J254" i="3"/>
  <c r="I254" i="3"/>
  <c r="H254" i="3"/>
  <c r="G254" i="3"/>
  <c r="F254" i="3"/>
  <c r="E254" i="3"/>
  <c r="D254" i="3"/>
  <c r="C254" i="3"/>
  <c r="K254" i="3" s="1"/>
  <c r="B254" i="3"/>
  <c r="A254" i="3"/>
  <c r="J253" i="3"/>
  <c r="I253" i="3"/>
  <c r="H253" i="3"/>
  <c r="G253" i="3"/>
  <c r="F253" i="3"/>
  <c r="E253" i="3"/>
  <c r="D253" i="3"/>
  <c r="C253" i="3"/>
  <c r="K253" i="3" s="1"/>
  <c r="B253" i="3"/>
  <c r="A253" i="3"/>
  <c r="J252" i="3"/>
  <c r="I252" i="3"/>
  <c r="H252" i="3"/>
  <c r="K252" i="3" s="1"/>
  <c r="G252" i="3"/>
  <c r="F252" i="3"/>
  <c r="E252" i="3"/>
  <c r="D252" i="3"/>
  <c r="C252" i="3"/>
  <c r="B252" i="3"/>
  <c r="A252" i="3"/>
  <c r="J251" i="3"/>
  <c r="I251" i="3"/>
  <c r="H251" i="3"/>
  <c r="G251" i="3"/>
  <c r="F251" i="3"/>
  <c r="E251" i="3"/>
  <c r="D251" i="3"/>
  <c r="C251" i="3"/>
  <c r="K251" i="3" s="1"/>
  <c r="B251" i="3"/>
  <c r="A251" i="3"/>
  <c r="J250" i="3"/>
  <c r="I250" i="3"/>
  <c r="H250" i="3"/>
  <c r="G250" i="3"/>
  <c r="F250" i="3"/>
  <c r="E250" i="3"/>
  <c r="D250" i="3"/>
  <c r="C250" i="3"/>
  <c r="K250" i="3" s="1"/>
  <c r="B250" i="3"/>
  <c r="A250" i="3"/>
  <c r="J249" i="3"/>
  <c r="I249" i="3"/>
  <c r="H249" i="3"/>
  <c r="G249" i="3"/>
  <c r="F249" i="3"/>
  <c r="E249" i="3"/>
  <c r="D249" i="3"/>
  <c r="C249" i="3"/>
  <c r="K249" i="3" s="1"/>
  <c r="B249" i="3"/>
  <c r="A249" i="3"/>
  <c r="J248" i="3"/>
  <c r="I248" i="3"/>
  <c r="H248" i="3"/>
  <c r="G248" i="3"/>
  <c r="F248" i="3"/>
  <c r="E248" i="3"/>
  <c r="D248" i="3"/>
  <c r="C248" i="3"/>
  <c r="K248" i="3" s="1"/>
  <c r="B248" i="3"/>
  <c r="A248" i="3"/>
  <c r="J247" i="3"/>
  <c r="I247" i="3"/>
  <c r="H247" i="3"/>
  <c r="G247" i="3"/>
  <c r="F247" i="3"/>
  <c r="E247" i="3"/>
  <c r="D247" i="3"/>
  <c r="C247" i="3"/>
  <c r="K247" i="3" s="1"/>
  <c r="B247" i="3"/>
  <c r="A247" i="3"/>
  <c r="J246" i="3"/>
  <c r="I246" i="3"/>
  <c r="H246" i="3"/>
  <c r="G246" i="3"/>
  <c r="F246" i="3"/>
  <c r="E246" i="3"/>
  <c r="D246" i="3"/>
  <c r="C246" i="3"/>
  <c r="K246" i="3" s="1"/>
  <c r="B246" i="3"/>
  <c r="A246" i="3"/>
  <c r="J245" i="3"/>
  <c r="I245" i="3"/>
  <c r="H245" i="3"/>
  <c r="G245" i="3"/>
  <c r="F245" i="3"/>
  <c r="E245" i="3"/>
  <c r="D245" i="3"/>
  <c r="C245" i="3"/>
  <c r="K245" i="3" s="1"/>
  <c r="B245" i="3"/>
  <c r="A245" i="3"/>
  <c r="J244" i="3"/>
  <c r="I244" i="3"/>
  <c r="H244" i="3"/>
  <c r="G244" i="3"/>
  <c r="F244" i="3"/>
  <c r="E244" i="3"/>
  <c r="D244" i="3"/>
  <c r="C244" i="3"/>
  <c r="K244" i="3" s="1"/>
  <c r="B244" i="3"/>
  <c r="A244" i="3"/>
  <c r="J243" i="3"/>
  <c r="I243" i="3"/>
  <c r="H243" i="3"/>
  <c r="G243" i="3"/>
  <c r="F243" i="3"/>
  <c r="E243" i="3"/>
  <c r="D243" i="3"/>
  <c r="C243" i="3"/>
  <c r="K243" i="3" s="1"/>
  <c r="B243" i="3"/>
  <c r="A243" i="3"/>
  <c r="J242" i="3"/>
  <c r="I242" i="3"/>
  <c r="H242" i="3"/>
  <c r="G242" i="3"/>
  <c r="F242" i="3"/>
  <c r="E242" i="3"/>
  <c r="D242" i="3"/>
  <c r="C242" i="3"/>
  <c r="K242" i="3" s="1"/>
  <c r="B242" i="3"/>
  <c r="A242" i="3"/>
  <c r="J241" i="3"/>
  <c r="I241" i="3"/>
  <c r="H241" i="3"/>
  <c r="G241" i="3"/>
  <c r="F241" i="3"/>
  <c r="E241" i="3"/>
  <c r="D241" i="3"/>
  <c r="C241" i="3"/>
  <c r="K241" i="3" s="1"/>
  <c r="B241" i="3"/>
  <c r="A241" i="3"/>
  <c r="J240" i="3"/>
  <c r="I240" i="3"/>
  <c r="H240" i="3"/>
  <c r="G240" i="3"/>
  <c r="F240" i="3"/>
  <c r="E240" i="3"/>
  <c r="D240" i="3"/>
  <c r="C240" i="3"/>
  <c r="K240" i="3" s="1"/>
  <c r="B240" i="3"/>
  <c r="A240" i="3"/>
  <c r="J239" i="3"/>
  <c r="I239" i="3"/>
  <c r="H239" i="3"/>
  <c r="G239" i="3"/>
  <c r="F239" i="3"/>
  <c r="E239" i="3"/>
  <c r="D239" i="3"/>
  <c r="C239" i="3"/>
  <c r="K239" i="3" s="1"/>
  <c r="B239" i="3"/>
  <c r="A239" i="3"/>
  <c r="J238" i="3"/>
  <c r="I238" i="3"/>
  <c r="H238" i="3"/>
  <c r="G238" i="3"/>
  <c r="F238" i="3"/>
  <c r="E238" i="3"/>
  <c r="D238" i="3"/>
  <c r="C238" i="3"/>
  <c r="K238" i="3" s="1"/>
  <c r="B238" i="3"/>
  <c r="A238" i="3"/>
  <c r="J237" i="3"/>
  <c r="I237" i="3"/>
  <c r="H237" i="3"/>
  <c r="G237" i="3"/>
  <c r="F237" i="3"/>
  <c r="E237" i="3"/>
  <c r="D237" i="3"/>
  <c r="C237" i="3"/>
  <c r="K237" i="3" s="1"/>
  <c r="B237" i="3"/>
  <c r="A237" i="3"/>
  <c r="J236" i="3"/>
  <c r="I236" i="3"/>
  <c r="H236" i="3"/>
  <c r="G236" i="3"/>
  <c r="F236" i="3"/>
  <c r="E236" i="3"/>
  <c r="D236" i="3"/>
  <c r="C236" i="3"/>
  <c r="K236" i="3" s="1"/>
  <c r="B236" i="3"/>
  <c r="A236" i="3"/>
  <c r="J235" i="3"/>
  <c r="I235" i="3"/>
  <c r="H235" i="3"/>
  <c r="G235" i="3"/>
  <c r="F235" i="3"/>
  <c r="E235" i="3"/>
  <c r="D235" i="3"/>
  <c r="C235" i="3"/>
  <c r="K235" i="3" s="1"/>
  <c r="B235" i="3"/>
  <c r="A235" i="3"/>
  <c r="J234" i="3"/>
  <c r="I234" i="3"/>
  <c r="H234" i="3"/>
  <c r="G234" i="3"/>
  <c r="F234" i="3"/>
  <c r="E234" i="3"/>
  <c r="D234" i="3"/>
  <c r="C234" i="3"/>
  <c r="K234" i="3" s="1"/>
  <c r="B234" i="3"/>
  <c r="A234" i="3"/>
  <c r="J233" i="3"/>
  <c r="I233" i="3"/>
  <c r="H233" i="3"/>
  <c r="G233" i="3"/>
  <c r="F233" i="3"/>
  <c r="E233" i="3"/>
  <c r="D233" i="3"/>
  <c r="C233" i="3"/>
  <c r="K233" i="3" s="1"/>
  <c r="B233" i="3"/>
  <c r="A233" i="3"/>
  <c r="J232" i="3"/>
  <c r="I232" i="3"/>
  <c r="H232" i="3"/>
  <c r="G232" i="3"/>
  <c r="F232" i="3"/>
  <c r="E232" i="3"/>
  <c r="D232" i="3"/>
  <c r="C232" i="3"/>
  <c r="K232" i="3" s="1"/>
  <c r="B232" i="3"/>
  <c r="A232" i="3"/>
  <c r="J231" i="3"/>
  <c r="I231" i="3"/>
  <c r="H231" i="3"/>
  <c r="G231" i="3"/>
  <c r="F231" i="3"/>
  <c r="E231" i="3"/>
  <c r="D231" i="3"/>
  <c r="C231" i="3"/>
  <c r="K231" i="3" s="1"/>
  <c r="B231" i="3"/>
  <c r="A231" i="3"/>
  <c r="J230" i="3"/>
  <c r="I230" i="3"/>
  <c r="H230" i="3"/>
  <c r="G230" i="3"/>
  <c r="F230" i="3"/>
  <c r="E230" i="3"/>
  <c r="D230" i="3"/>
  <c r="C230" i="3"/>
  <c r="K230" i="3" s="1"/>
  <c r="B230" i="3"/>
  <c r="A230" i="3"/>
  <c r="J229" i="3"/>
  <c r="I229" i="3"/>
  <c r="H229" i="3"/>
  <c r="G229" i="3"/>
  <c r="F229" i="3"/>
  <c r="E229" i="3"/>
  <c r="D229" i="3"/>
  <c r="C229" i="3"/>
  <c r="K229" i="3" s="1"/>
  <c r="B229" i="3"/>
  <c r="A229" i="3"/>
  <c r="J228" i="3"/>
  <c r="I228" i="3"/>
  <c r="H228" i="3"/>
  <c r="G228" i="3"/>
  <c r="F228" i="3"/>
  <c r="E228" i="3"/>
  <c r="D228" i="3"/>
  <c r="C228" i="3"/>
  <c r="K228" i="3" s="1"/>
  <c r="B228" i="3"/>
  <c r="A228" i="3"/>
  <c r="J227" i="3"/>
  <c r="I227" i="3"/>
  <c r="H227" i="3"/>
  <c r="G227" i="3"/>
  <c r="F227" i="3"/>
  <c r="E227" i="3"/>
  <c r="D227" i="3"/>
  <c r="C227" i="3"/>
  <c r="K227" i="3" s="1"/>
  <c r="B227" i="3"/>
  <c r="A227" i="3"/>
  <c r="J226" i="3"/>
  <c r="I226" i="3"/>
  <c r="H226" i="3"/>
  <c r="G226" i="3"/>
  <c r="F226" i="3"/>
  <c r="E226" i="3"/>
  <c r="D226" i="3"/>
  <c r="C226" i="3"/>
  <c r="K226" i="3" s="1"/>
  <c r="B226" i="3"/>
  <c r="A226" i="3"/>
  <c r="J225" i="3"/>
  <c r="I225" i="3"/>
  <c r="H225" i="3"/>
  <c r="G225" i="3"/>
  <c r="F225" i="3"/>
  <c r="E225" i="3"/>
  <c r="D225" i="3"/>
  <c r="C225" i="3"/>
  <c r="K225" i="3" s="1"/>
  <c r="B225" i="3"/>
  <c r="A225" i="3"/>
  <c r="J224" i="3"/>
  <c r="I224" i="3"/>
  <c r="H224" i="3"/>
  <c r="G224" i="3"/>
  <c r="F224" i="3"/>
  <c r="E224" i="3"/>
  <c r="D224" i="3"/>
  <c r="C224" i="3"/>
  <c r="K224" i="3" s="1"/>
  <c r="B224" i="3"/>
  <c r="A224" i="3"/>
  <c r="J223" i="3"/>
  <c r="I223" i="3"/>
  <c r="H223" i="3"/>
  <c r="G223" i="3"/>
  <c r="F223" i="3"/>
  <c r="E223" i="3"/>
  <c r="D223" i="3"/>
  <c r="C223" i="3"/>
  <c r="K223" i="3" s="1"/>
  <c r="B223" i="3"/>
  <c r="A223" i="3"/>
  <c r="J222" i="3"/>
  <c r="I222" i="3"/>
  <c r="H222" i="3"/>
  <c r="G222" i="3"/>
  <c r="F222" i="3"/>
  <c r="E222" i="3"/>
  <c r="D222" i="3"/>
  <c r="C222" i="3"/>
  <c r="K222" i="3" s="1"/>
  <c r="B222" i="3"/>
  <c r="A222" i="3"/>
  <c r="J221" i="3"/>
  <c r="I221" i="3"/>
  <c r="H221" i="3"/>
  <c r="G221" i="3"/>
  <c r="F221" i="3"/>
  <c r="E221" i="3"/>
  <c r="D221" i="3"/>
  <c r="C221" i="3"/>
  <c r="K221" i="3" s="1"/>
  <c r="B221" i="3"/>
  <c r="A221" i="3"/>
  <c r="J220" i="3"/>
  <c r="I220" i="3"/>
  <c r="H220" i="3"/>
  <c r="G220" i="3"/>
  <c r="F220" i="3"/>
  <c r="E220" i="3"/>
  <c r="D220" i="3"/>
  <c r="C220" i="3"/>
  <c r="K220" i="3" s="1"/>
  <c r="B220" i="3"/>
  <c r="A220" i="3"/>
  <c r="J219" i="3"/>
  <c r="I219" i="3"/>
  <c r="H219" i="3"/>
  <c r="G219" i="3"/>
  <c r="F219" i="3"/>
  <c r="E219" i="3"/>
  <c r="D219" i="3"/>
  <c r="C219" i="3"/>
  <c r="K219" i="3" s="1"/>
  <c r="B219" i="3"/>
  <c r="A219" i="3"/>
  <c r="J218" i="3"/>
  <c r="I218" i="3"/>
  <c r="H218" i="3"/>
  <c r="G218" i="3"/>
  <c r="F218" i="3"/>
  <c r="E218" i="3"/>
  <c r="D218" i="3"/>
  <c r="C218" i="3"/>
  <c r="K218" i="3" s="1"/>
  <c r="B218" i="3"/>
  <c r="A218" i="3"/>
  <c r="J217" i="3"/>
  <c r="I217" i="3"/>
  <c r="H217" i="3"/>
  <c r="G217" i="3"/>
  <c r="F217" i="3"/>
  <c r="E217" i="3"/>
  <c r="D217" i="3"/>
  <c r="C217" i="3"/>
  <c r="K217" i="3" s="1"/>
  <c r="B217" i="3"/>
  <c r="A217" i="3"/>
  <c r="J216" i="3"/>
  <c r="I216" i="3"/>
  <c r="H216" i="3"/>
  <c r="G216" i="3"/>
  <c r="F216" i="3"/>
  <c r="E216" i="3"/>
  <c r="D216" i="3"/>
  <c r="C216" i="3"/>
  <c r="K216" i="3" s="1"/>
  <c r="B216" i="3"/>
  <c r="A216" i="3"/>
  <c r="J215" i="3"/>
  <c r="I215" i="3"/>
  <c r="H215" i="3"/>
  <c r="G215" i="3"/>
  <c r="F215" i="3"/>
  <c r="E215" i="3"/>
  <c r="D215" i="3"/>
  <c r="C215" i="3"/>
  <c r="K215" i="3" s="1"/>
  <c r="B215" i="3"/>
  <c r="A215" i="3"/>
  <c r="J214" i="3"/>
  <c r="I214" i="3"/>
  <c r="H214" i="3"/>
  <c r="G214" i="3"/>
  <c r="F214" i="3"/>
  <c r="E214" i="3"/>
  <c r="D214" i="3"/>
  <c r="C214" i="3"/>
  <c r="K214" i="3" s="1"/>
  <c r="B214" i="3"/>
  <c r="A214" i="3"/>
  <c r="J213" i="3"/>
  <c r="I213" i="3"/>
  <c r="H213" i="3"/>
  <c r="G213" i="3"/>
  <c r="F213" i="3"/>
  <c r="E213" i="3"/>
  <c r="D213" i="3"/>
  <c r="C213" i="3"/>
  <c r="K213" i="3" s="1"/>
  <c r="B213" i="3"/>
  <c r="A213" i="3"/>
  <c r="J212" i="3"/>
  <c r="I212" i="3"/>
  <c r="H212" i="3"/>
  <c r="G212" i="3"/>
  <c r="F212" i="3"/>
  <c r="E212" i="3"/>
  <c r="D212" i="3"/>
  <c r="C212" i="3"/>
  <c r="K212" i="3" s="1"/>
  <c r="B212" i="3"/>
  <c r="A212" i="3"/>
  <c r="J211" i="3"/>
  <c r="I211" i="3"/>
  <c r="H211" i="3"/>
  <c r="G211" i="3"/>
  <c r="F211" i="3"/>
  <c r="E211" i="3"/>
  <c r="D211" i="3"/>
  <c r="C211" i="3"/>
  <c r="K211" i="3" s="1"/>
  <c r="B211" i="3"/>
  <c r="A211" i="3"/>
  <c r="J210" i="3"/>
  <c r="I210" i="3"/>
  <c r="H210" i="3"/>
  <c r="G210" i="3"/>
  <c r="F210" i="3"/>
  <c r="E210" i="3"/>
  <c r="D210" i="3"/>
  <c r="C210" i="3"/>
  <c r="K210" i="3" s="1"/>
  <c r="B210" i="3"/>
  <c r="A210" i="3"/>
  <c r="J209" i="3"/>
  <c r="I209" i="3"/>
  <c r="H209" i="3"/>
  <c r="G209" i="3"/>
  <c r="F209" i="3"/>
  <c r="E209" i="3"/>
  <c r="D209" i="3"/>
  <c r="C209" i="3"/>
  <c r="K209" i="3" s="1"/>
  <c r="B209" i="3"/>
  <c r="A209" i="3"/>
  <c r="J208" i="3"/>
  <c r="I208" i="3"/>
  <c r="H208" i="3"/>
  <c r="G208" i="3"/>
  <c r="F208" i="3"/>
  <c r="E208" i="3"/>
  <c r="D208" i="3"/>
  <c r="C208" i="3"/>
  <c r="K208" i="3" s="1"/>
  <c r="B208" i="3"/>
  <c r="A208" i="3"/>
  <c r="J207" i="3"/>
  <c r="I207" i="3"/>
  <c r="H207" i="3"/>
  <c r="G207" i="3"/>
  <c r="F207" i="3"/>
  <c r="E207" i="3"/>
  <c r="D207" i="3"/>
  <c r="C207" i="3"/>
  <c r="K207" i="3" s="1"/>
  <c r="B207" i="3"/>
  <c r="A207" i="3"/>
  <c r="J206" i="3"/>
  <c r="I206" i="3"/>
  <c r="H206" i="3"/>
  <c r="G206" i="3"/>
  <c r="F206" i="3"/>
  <c r="E206" i="3"/>
  <c r="D206" i="3"/>
  <c r="C206" i="3"/>
  <c r="K206" i="3" s="1"/>
  <c r="B206" i="3"/>
  <c r="A206" i="3"/>
  <c r="J205" i="3"/>
  <c r="I205" i="3"/>
  <c r="H205" i="3"/>
  <c r="G205" i="3"/>
  <c r="F205" i="3"/>
  <c r="E205" i="3"/>
  <c r="D205" i="3"/>
  <c r="C205" i="3"/>
  <c r="K205" i="3" s="1"/>
  <c r="B205" i="3"/>
  <c r="A205" i="3"/>
  <c r="J204" i="3"/>
  <c r="I204" i="3"/>
  <c r="H204" i="3"/>
  <c r="G204" i="3"/>
  <c r="F204" i="3"/>
  <c r="E204" i="3"/>
  <c r="D204" i="3"/>
  <c r="C204" i="3"/>
  <c r="K204" i="3" s="1"/>
  <c r="B204" i="3"/>
  <c r="A204" i="3"/>
  <c r="J203" i="3"/>
  <c r="I203" i="3"/>
  <c r="H203" i="3"/>
  <c r="G203" i="3"/>
  <c r="F203" i="3"/>
  <c r="E203" i="3"/>
  <c r="D203" i="3"/>
  <c r="C203" i="3"/>
  <c r="K203" i="3" s="1"/>
  <c r="B203" i="3"/>
  <c r="A203" i="3"/>
  <c r="J202" i="3"/>
  <c r="I202" i="3"/>
  <c r="H202" i="3"/>
  <c r="G202" i="3"/>
  <c r="F202" i="3"/>
  <c r="E202" i="3"/>
  <c r="D202" i="3"/>
  <c r="C202" i="3"/>
  <c r="K202" i="3" s="1"/>
  <c r="B202" i="3"/>
  <c r="A202" i="3"/>
  <c r="J201" i="3"/>
  <c r="I201" i="3"/>
  <c r="H201" i="3"/>
  <c r="G201" i="3"/>
  <c r="F201" i="3"/>
  <c r="E201" i="3"/>
  <c r="D201" i="3"/>
  <c r="C201" i="3"/>
  <c r="K201" i="3" s="1"/>
  <c r="B201" i="3"/>
  <c r="A201" i="3"/>
  <c r="J200" i="3"/>
  <c r="I200" i="3"/>
  <c r="H200" i="3"/>
  <c r="G200" i="3"/>
  <c r="F200" i="3"/>
  <c r="E200" i="3"/>
  <c r="D200" i="3"/>
  <c r="C200" i="3"/>
  <c r="K200" i="3" s="1"/>
  <c r="B200" i="3"/>
  <c r="A200" i="3"/>
  <c r="J199" i="3"/>
  <c r="I199" i="3"/>
  <c r="H199" i="3"/>
  <c r="G199" i="3"/>
  <c r="F199" i="3"/>
  <c r="E199" i="3"/>
  <c r="D199" i="3"/>
  <c r="C199" i="3"/>
  <c r="K199" i="3" s="1"/>
  <c r="B199" i="3"/>
  <c r="A199" i="3"/>
  <c r="J198" i="3"/>
  <c r="I198" i="3"/>
  <c r="H198" i="3"/>
  <c r="G198" i="3"/>
  <c r="F198" i="3"/>
  <c r="E198" i="3"/>
  <c r="D198" i="3"/>
  <c r="C198" i="3"/>
  <c r="K198" i="3" s="1"/>
  <c r="B198" i="3"/>
  <c r="A198" i="3"/>
  <c r="J197" i="3"/>
  <c r="I197" i="3"/>
  <c r="H197" i="3"/>
  <c r="G197" i="3"/>
  <c r="F197" i="3"/>
  <c r="E197" i="3"/>
  <c r="D197" i="3"/>
  <c r="C197" i="3"/>
  <c r="K197" i="3" s="1"/>
  <c r="B197" i="3"/>
  <c r="A197" i="3"/>
  <c r="J196" i="3"/>
  <c r="I196" i="3"/>
  <c r="H196" i="3"/>
  <c r="G196" i="3"/>
  <c r="F196" i="3"/>
  <c r="E196" i="3"/>
  <c r="D196" i="3"/>
  <c r="C196" i="3"/>
  <c r="K196" i="3" s="1"/>
  <c r="B196" i="3"/>
  <c r="A196" i="3"/>
  <c r="J195" i="3"/>
  <c r="I195" i="3"/>
  <c r="H195" i="3"/>
  <c r="G195" i="3"/>
  <c r="F195" i="3"/>
  <c r="E195" i="3"/>
  <c r="D195" i="3"/>
  <c r="C195" i="3"/>
  <c r="K195" i="3" s="1"/>
  <c r="B195" i="3"/>
  <c r="A195" i="3"/>
  <c r="J194" i="3"/>
  <c r="I194" i="3"/>
  <c r="H194" i="3"/>
  <c r="G194" i="3"/>
  <c r="F194" i="3"/>
  <c r="E194" i="3"/>
  <c r="D194" i="3"/>
  <c r="C194" i="3"/>
  <c r="K194" i="3" s="1"/>
  <c r="B194" i="3"/>
  <c r="A194" i="3"/>
  <c r="J193" i="3"/>
  <c r="I193" i="3"/>
  <c r="H193" i="3"/>
  <c r="G193" i="3"/>
  <c r="F193" i="3"/>
  <c r="E193" i="3"/>
  <c r="D193" i="3"/>
  <c r="C193" i="3"/>
  <c r="K193" i="3" s="1"/>
  <c r="B193" i="3"/>
  <c r="A193" i="3"/>
  <c r="J192" i="3"/>
  <c r="I192" i="3"/>
  <c r="H192" i="3"/>
  <c r="G192" i="3"/>
  <c r="F192" i="3"/>
  <c r="E192" i="3"/>
  <c r="D192" i="3"/>
  <c r="C192" i="3"/>
  <c r="K192" i="3" s="1"/>
  <c r="B192" i="3"/>
  <c r="A192" i="3"/>
  <c r="J191" i="3"/>
  <c r="I191" i="3"/>
  <c r="H191" i="3"/>
  <c r="G191" i="3"/>
  <c r="F191" i="3"/>
  <c r="E191" i="3"/>
  <c r="D191" i="3"/>
  <c r="C191" i="3"/>
  <c r="K191" i="3" s="1"/>
  <c r="B191" i="3"/>
  <c r="A191" i="3"/>
  <c r="J190" i="3"/>
  <c r="I190" i="3"/>
  <c r="H190" i="3"/>
  <c r="G190" i="3"/>
  <c r="F190" i="3"/>
  <c r="E190" i="3"/>
  <c r="D190" i="3"/>
  <c r="C190" i="3"/>
  <c r="K190" i="3" s="1"/>
  <c r="B190" i="3"/>
  <c r="A190" i="3"/>
  <c r="J189" i="3"/>
  <c r="I189" i="3"/>
  <c r="H189" i="3"/>
  <c r="G189" i="3"/>
  <c r="F189" i="3"/>
  <c r="E189" i="3"/>
  <c r="D189" i="3"/>
  <c r="C189" i="3"/>
  <c r="K189" i="3" s="1"/>
  <c r="B189" i="3"/>
  <c r="A189" i="3"/>
  <c r="J188" i="3"/>
  <c r="I188" i="3"/>
  <c r="H188" i="3"/>
  <c r="G188" i="3"/>
  <c r="F188" i="3"/>
  <c r="E188" i="3"/>
  <c r="D188" i="3"/>
  <c r="C188" i="3"/>
  <c r="K188" i="3" s="1"/>
  <c r="B188" i="3"/>
  <c r="A188" i="3"/>
  <c r="J187" i="3"/>
  <c r="I187" i="3"/>
  <c r="H187" i="3"/>
  <c r="G187" i="3"/>
  <c r="F187" i="3"/>
  <c r="E187" i="3"/>
  <c r="D187" i="3"/>
  <c r="C187" i="3"/>
  <c r="K187" i="3" s="1"/>
  <c r="B187" i="3"/>
  <c r="A187" i="3"/>
  <c r="J186" i="3"/>
  <c r="I186" i="3"/>
  <c r="H186" i="3"/>
  <c r="G186" i="3"/>
  <c r="F186" i="3"/>
  <c r="E186" i="3"/>
  <c r="D186" i="3"/>
  <c r="C186" i="3"/>
  <c r="K186" i="3" s="1"/>
  <c r="B186" i="3"/>
  <c r="A186" i="3"/>
  <c r="J185" i="3"/>
  <c r="I185" i="3"/>
  <c r="H185" i="3"/>
  <c r="G185" i="3"/>
  <c r="F185" i="3"/>
  <c r="E185" i="3"/>
  <c r="D185" i="3"/>
  <c r="C185" i="3"/>
  <c r="K185" i="3" s="1"/>
  <c r="B185" i="3"/>
  <c r="A185" i="3"/>
  <c r="J184" i="3"/>
  <c r="I184" i="3"/>
  <c r="H184" i="3"/>
  <c r="K184" i="3" s="1"/>
  <c r="G184" i="3"/>
  <c r="F184" i="3"/>
  <c r="E184" i="3"/>
  <c r="D184" i="3"/>
  <c r="C184" i="3"/>
  <c r="B184" i="3"/>
  <c r="A184" i="3"/>
  <c r="J183" i="3"/>
  <c r="I183" i="3"/>
  <c r="H183" i="3"/>
  <c r="G183" i="3"/>
  <c r="F183" i="3"/>
  <c r="E183" i="3"/>
  <c r="D183" i="3"/>
  <c r="C183" i="3"/>
  <c r="K183" i="3" s="1"/>
  <c r="B183" i="3"/>
  <c r="A183" i="3"/>
  <c r="J182" i="3"/>
  <c r="I182" i="3"/>
  <c r="H182" i="3"/>
  <c r="G182" i="3"/>
  <c r="F182" i="3"/>
  <c r="E182" i="3"/>
  <c r="D182" i="3"/>
  <c r="C182" i="3"/>
  <c r="K182" i="3" s="1"/>
  <c r="B182" i="3"/>
  <c r="A182" i="3"/>
  <c r="J181" i="3"/>
  <c r="I181" i="3"/>
  <c r="H181" i="3"/>
  <c r="G181" i="3"/>
  <c r="F181" i="3"/>
  <c r="E181" i="3"/>
  <c r="D181" i="3"/>
  <c r="C181" i="3"/>
  <c r="K181" i="3" s="1"/>
  <c r="B181" i="3"/>
  <c r="A181" i="3"/>
  <c r="J180" i="3"/>
  <c r="I180" i="3"/>
  <c r="H180" i="3"/>
  <c r="G180" i="3"/>
  <c r="F180" i="3"/>
  <c r="E180" i="3"/>
  <c r="D180" i="3"/>
  <c r="C180" i="3"/>
  <c r="K180" i="3" s="1"/>
  <c r="B180" i="3"/>
  <c r="A180" i="3"/>
  <c r="J179" i="3"/>
  <c r="I179" i="3"/>
  <c r="H179" i="3"/>
  <c r="G179" i="3"/>
  <c r="F179" i="3"/>
  <c r="E179" i="3"/>
  <c r="D179" i="3"/>
  <c r="C179" i="3"/>
  <c r="K179" i="3" s="1"/>
  <c r="B179" i="3"/>
  <c r="A179" i="3"/>
  <c r="J178" i="3"/>
  <c r="I178" i="3"/>
  <c r="H178" i="3"/>
  <c r="G178" i="3"/>
  <c r="F178" i="3"/>
  <c r="E178" i="3"/>
  <c r="D178" i="3"/>
  <c r="C178" i="3"/>
  <c r="K178" i="3" s="1"/>
  <c r="B178" i="3"/>
  <c r="A178" i="3"/>
  <c r="J177" i="3"/>
  <c r="I177" i="3"/>
  <c r="H177" i="3"/>
  <c r="G177" i="3"/>
  <c r="F177" i="3"/>
  <c r="E177" i="3"/>
  <c r="D177" i="3"/>
  <c r="C177" i="3"/>
  <c r="K177" i="3" s="1"/>
  <c r="B177" i="3"/>
  <c r="A177" i="3"/>
  <c r="J176" i="3"/>
  <c r="I176" i="3"/>
  <c r="H176" i="3"/>
  <c r="G176" i="3"/>
  <c r="F176" i="3"/>
  <c r="E176" i="3"/>
  <c r="D176" i="3"/>
  <c r="C176" i="3"/>
  <c r="K176" i="3" s="1"/>
  <c r="B176" i="3"/>
  <c r="A176" i="3"/>
  <c r="J175" i="3"/>
  <c r="I175" i="3"/>
  <c r="H175" i="3"/>
  <c r="G175" i="3"/>
  <c r="F175" i="3"/>
  <c r="E175" i="3"/>
  <c r="D175" i="3"/>
  <c r="C175" i="3"/>
  <c r="K175" i="3" s="1"/>
  <c r="B175" i="3"/>
  <c r="A175" i="3"/>
  <c r="J174" i="3"/>
  <c r="I174" i="3"/>
  <c r="H174" i="3"/>
  <c r="G174" i="3"/>
  <c r="F174" i="3"/>
  <c r="E174" i="3"/>
  <c r="D174" i="3"/>
  <c r="C174" i="3"/>
  <c r="K174" i="3" s="1"/>
  <c r="B174" i="3"/>
  <c r="A174" i="3"/>
  <c r="J173" i="3"/>
  <c r="I173" i="3"/>
  <c r="H173" i="3"/>
  <c r="G173" i="3"/>
  <c r="F173" i="3"/>
  <c r="E173" i="3"/>
  <c r="D173" i="3"/>
  <c r="C173" i="3"/>
  <c r="K173" i="3" s="1"/>
  <c r="B173" i="3"/>
  <c r="A173" i="3"/>
  <c r="J172" i="3"/>
  <c r="I172" i="3"/>
  <c r="H172" i="3"/>
  <c r="G172" i="3"/>
  <c r="F172" i="3"/>
  <c r="E172" i="3"/>
  <c r="D172" i="3"/>
  <c r="C172" i="3"/>
  <c r="K172" i="3" s="1"/>
  <c r="B172" i="3"/>
  <c r="A172" i="3"/>
  <c r="J171" i="3"/>
  <c r="I171" i="3"/>
  <c r="H171" i="3"/>
  <c r="G171" i="3"/>
  <c r="F171" i="3"/>
  <c r="E171" i="3"/>
  <c r="D171" i="3"/>
  <c r="C171" i="3"/>
  <c r="K171" i="3" s="1"/>
  <c r="B171" i="3"/>
  <c r="A171" i="3"/>
  <c r="J170" i="3"/>
  <c r="I170" i="3"/>
  <c r="H170" i="3"/>
  <c r="G170" i="3"/>
  <c r="F170" i="3"/>
  <c r="E170" i="3"/>
  <c r="D170" i="3"/>
  <c r="C170" i="3"/>
  <c r="K170" i="3" s="1"/>
  <c r="B170" i="3"/>
  <c r="A170" i="3"/>
  <c r="J169" i="3"/>
  <c r="I169" i="3"/>
  <c r="H169" i="3"/>
  <c r="G169" i="3"/>
  <c r="F169" i="3"/>
  <c r="E169" i="3"/>
  <c r="D169" i="3"/>
  <c r="C169" i="3"/>
  <c r="K169" i="3" s="1"/>
  <c r="B169" i="3"/>
  <c r="A169" i="3"/>
  <c r="J168" i="3"/>
  <c r="I168" i="3"/>
  <c r="H168" i="3"/>
  <c r="G168" i="3"/>
  <c r="F168" i="3"/>
  <c r="E168" i="3"/>
  <c r="D168" i="3"/>
  <c r="C168" i="3"/>
  <c r="K168" i="3" s="1"/>
  <c r="B168" i="3"/>
  <c r="A168" i="3"/>
  <c r="J167" i="3"/>
  <c r="I167" i="3"/>
  <c r="H167" i="3"/>
  <c r="G167" i="3"/>
  <c r="F167" i="3"/>
  <c r="E167" i="3"/>
  <c r="D167" i="3"/>
  <c r="C167" i="3"/>
  <c r="K167" i="3" s="1"/>
  <c r="B167" i="3"/>
  <c r="A167" i="3"/>
  <c r="J166" i="3"/>
  <c r="I166" i="3"/>
  <c r="H166" i="3"/>
  <c r="G166" i="3"/>
  <c r="F166" i="3"/>
  <c r="E166" i="3"/>
  <c r="D166" i="3"/>
  <c r="C166" i="3"/>
  <c r="K166" i="3" s="1"/>
  <c r="B166" i="3"/>
  <c r="A166" i="3"/>
  <c r="J165" i="3"/>
  <c r="I165" i="3"/>
  <c r="H165" i="3"/>
  <c r="G165" i="3"/>
  <c r="F165" i="3"/>
  <c r="E165" i="3"/>
  <c r="D165" i="3"/>
  <c r="C165" i="3"/>
  <c r="K165" i="3" s="1"/>
  <c r="B165" i="3"/>
  <c r="A165" i="3"/>
  <c r="J164" i="3"/>
  <c r="I164" i="3"/>
  <c r="H164" i="3"/>
  <c r="G164" i="3"/>
  <c r="F164" i="3"/>
  <c r="E164" i="3"/>
  <c r="D164" i="3"/>
  <c r="C164" i="3"/>
  <c r="K164" i="3" s="1"/>
  <c r="B164" i="3"/>
  <c r="A164" i="3"/>
  <c r="J163" i="3"/>
  <c r="I163" i="3"/>
  <c r="H163" i="3"/>
  <c r="G163" i="3"/>
  <c r="F163" i="3"/>
  <c r="E163" i="3"/>
  <c r="D163" i="3"/>
  <c r="C163" i="3"/>
  <c r="K163" i="3" s="1"/>
  <c r="B163" i="3"/>
  <c r="A163" i="3"/>
  <c r="J162" i="3"/>
  <c r="I162" i="3"/>
  <c r="H162" i="3"/>
  <c r="G162" i="3"/>
  <c r="F162" i="3"/>
  <c r="E162" i="3"/>
  <c r="D162" i="3"/>
  <c r="C162" i="3"/>
  <c r="K162" i="3" s="1"/>
  <c r="B162" i="3"/>
  <c r="A162" i="3"/>
  <c r="J161" i="3"/>
  <c r="I161" i="3"/>
  <c r="H161" i="3"/>
  <c r="G161" i="3"/>
  <c r="F161" i="3"/>
  <c r="E161" i="3"/>
  <c r="D161" i="3"/>
  <c r="C161" i="3"/>
  <c r="K161" i="3" s="1"/>
  <c r="B161" i="3"/>
  <c r="A161" i="3"/>
  <c r="J160" i="3"/>
  <c r="I160" i="3"/>
  <c r="H160" i="3"/>
  <c r="G160" i="3"/>
  <c r="F160" i="3"/>
  <c r="E160" i="3"/>
  <c r="D160" i="3"/>
  <c r="C160" i="3"/>
  <c r="K160" i="3" s="1"/>
  <c r="B160" i="3"/>
  <c r="A160" i="3"/>
  <c r="J159" i="3"/>
  <c r="I159" i="3"/>
  <c r="H159" i="3"/>
  <c r="G159" i="3"/>
  <c r="F159" i="3"/>
  <c r="E159" i="3"/>
  <c r="D159" i="3"/>
  <c r="C159" i="3"/>
  <c r="K159" i="3" s="1"/>
  <c r="B159" i="3"/>
  <c r="A159" i="3"/>
  <c r="J158" i="3"/>
  <c r="I158" i="3"/>
  <c r="H158" i="3"/>
  <c r="G158" i="3"/>
  <c r="F158" i="3"/>
  <c r="E158" i="3"/>
  <c r="D158" i="3"/>
  <c r="C158" i="3"/>
  <c r="K158" i="3" s="1"/>
  <c r="B158" i="3"/>
  <c r="A158" i="3"/>
  <c r="J157" i="3"/>
  <c r="I157" i="3"/>
  <c r="H157" i="3"/>
  <c r="G157" i="3"/>
  <c r="F157" i="3"/>
  <c r="E157" i="3"/>
  <c r="D157" i="3"/>
  <c r="C157" i="3"/>
  <c r="K157" i="3" s="1"/>
  <c r="B157" i="3"/>
  <c r="A157" i="3"/>
  <c r="J156" i="3"/>
  <c r="I156" i="3"/>
  <c r="H156" i="3"/>
  <c r="G156" i="3"/>
  <c r="F156" i="3"/>
  <c r="E156" i="3"/>
  <c r="D156" i="3"/>
  <c r="C156" i="3"/>
  <c r="K156" i="3" s="1"/>
  <c r="B156" i="3"/>
  <c r="A156" i="3"/>
  <c r="J155" i="3"/>
  <c r="I155" i="3"/>
  <c r="H155" i="3"/>
  <c r="G155" i="3"/>
  <c r="F155" i="3"/>
  <c r="E155" i="3"/>
  <c r="D155" i="3"/>
  <c r="C155" i="3"/>
  <c r="K155" i="3" s="1"/>
  <c r="B155" i="3"/>
  <c r="A155" i="3"/>
  <c r="J154" i="3"/>
  <c r="I154" i="3"/>
  <c r="H154" i="3"/>
  <c r="G154" i="3"/>
  <c r="F154" i="3"/>
  <c r="E154" i="3"/>
  <c r="D154" i="3"/>
  <c r="C154" i="3"/>
  <c r="K154" i="3" s="1"/>
  <c r="B154" i="3"/>
  <c r="A154" i="3"/>
  <c r="J153" i="3"/>
  <c r="I153" i="3"/>
  <c r="H153" i="3"/>
  <c r="G153" i="3"/>
  <c r="F153" i="3"/>
  <c r="E153" i="3"/>
  <c r="D153" i="3"/>
  <c r="C153" i="3"/>
  <c r="K153" i="3" s="1"/>
  <c r="B153" i="3"/>
  <c r="A153" i="3"/>
  <c r="J152" i="3"/>
  <c r="I152" i="3"/>
  <c r="H152" i="3"/>
  <c r="G152" i="3"/>
  <c r="F152" i="3"/>
  <c r="E152" i="3"/>
  <c r="D152" i="3"/>
  <c r="C152" i="3"/>
  <c r="K152" i="3" s="1"/>
  <c r="B152" i="3"/>
  <c r="A152" i="3"/>
  <c r="J151" i="3"/>
  <c r="I151" i="3"/>
  <c r="H151" i="3"/>
  <c r="G151" i="3"/>
  <c r="F151" i="3"/>
  <c r="E151" i="3"/>
  <c r="D151" i="3"/>
  <c r="C151" i="3"/>
  <c r="K151" i="3" s="1"/>
  <c r="B151" i="3"/>
  <c r="A151" i="3"/>
  <c r="J150" i="3"/>
  <c r="I150" i="3"/>
  <c r="H150" i="3"/>
  <c r="G150" i="3"/>
  <c r="F150" i="3"/>
  <c r="E150" i="3"/>
  <c r="D150" i="3"/>
  <c r="C150" i="3"/>
  <c r="K150" i="3" s="1"/>
  <c r="B150" i="3"/>
  <c r="A150" i="3"/>
  <c r="J149" i="3"/>
  <c r="I149" i="3"/>
  <c r="H149" i="3"/>
  <c r="G149" i="3"/>
  <c r="F149" i="3"/>
  <c r="E149" i="3"/>
  <c r="D149" i="3"/>
  <c r="C149" i="3"/>
  <c r="K149" i="3" s="1"/>
  <c r="B149" i="3"/>
  <c r="A149" i="3"/>
  <c r="J148" i="3"/>
  <c r="I148" i="3"/>
  <c r="H148" i="3"/>
  <c r="G148" i="3"/>
  <c r="F148" i="3"/>
  <c r="E148" i="3"/>
  <c r="D148" i="3"/>
  <c r="C148" i="3"/>
  <c r="K148" i="3" s="1"/>
  <c r="B148" i="3"/>
  <c r="A148" i="3"/>
  <c r="J147" i="3"/>
  <c r="I147" i="3"/>
  <c r="H147" i="3"/>
  <c r="G147" i="3"/>
  <c r="F147" i="3"/>
  <c r="E147" i="3"/>
  <c r="D147" i="3"/>
  <c r="C147" i="3"/>
  <c r="K147" i="3" s="1"/>
  <c r="B147" i="3"/>
  <c r="A147" i="3"/>
  <c r="J146" i="3"/>
  <c r="I146" i="3"/>
  <c r="H146" i="3"/>
  <c r="G146" i="3"/>
  <c r="F146" i="3"/>
  <c r="E146" i="3"/>
  <c r="D146" i="3"/>
  <c r="C146" i="3"/>
  <c r="K146" i="3" s="1"/>
  <c r="B146" i="3"/>
  <c r="A146" i="3"/>
  <c r="J145" i="3"/>
  <c r="I145" i="3"/>
  <c r="H145" i="3"/>
  <c r="G145" i="3"/>
  <c r="F145" i="3"/>
  <c r="E145" i="3"/>
  <c r="D145" i="3"/>
  <c r="C145" i="3"/>
  <c r="K145" i="3" s="1"/>
  <c r="B145" i="3"/>
  <c r="A145" i="3"/>
  <c r="J144" i="3"/>
  <c r="I144" i="3"/>
  <c r="H144" i="3"/>
  <c r="G144" i="3"/>
  <c r="F144" i="3"/>
  <c r="E144" i="3"/>
  <c r="D144" i="3"/>
  <c r="C144" i="3"/>
  <c r="K144" i="3" s="1"/>
  <c r="B144" i="3"/>
  <c r="A144" i="3"/>
  <c r="J143" i="3"/>
  <c r="I143" i="3"/>
  <c r="H143" i="3"/>
  <c r="G143" i="3"/>
  <c r="F143" i="3"/>
  <c r="E143" i="3"/>
  <c r="D143" i="3"/>
  <c r="C143" i="3"/>
  <c r="K143" i="3" s="1"/>
  <c r="B143" i="3"/>
  <c r="A143" i="3"/>
  <c r="J142" i="3"/>
  <c r="I142" i="3"/>
  <c r="H142" i="3"/>
  <c r="G142" i="3"/>
  <c r="F142" i="3"/>
  <c r="E142" i="3"/>
  <c r="D142" i="3"/>
  <c r="C142" i="3"/>
  <c r="K142" i="3" s="1"/>
  <c r="B142" i="3"/>
  <c r="A142" i="3"/>
  <c r="J141" i="3"/>
  <c r="I141" i="3"/>
  <c r="H141" i="3"/>
  <c r="G141" i="3"/>
  <c r="F141" i="3"/>
  <c r="E141" i="3"/>
  <c r="D141" i="3"/>
  <c r="C141" i="3"/>
  <c r="K141" i="3" s="1"/>
  <c r="B141" i="3"/>
  <c r="A141" i="3"/>
  <c r="J140" i="3"/>
  <c r="I140" i="3"/>
  <c r="H140" i="3"/>
  <c r="G140" i="3"/>
  <c r="F140" i="3"/>
  <c r="E140" i="3"/>
  <c r="D140" i="3"/>
  <c r="C140" i="3"/>
  <c r="K140" i="3" s="1"/>
  <c r="B140" i="3"/>
  <c r="A140" i="3"/>
  <c r="J139" i="3"/>
  <c r="I139" i="3"/>
  <c r="H139" i="3"/>
  <c r="G139" i="3"/>
  <c r="F139" i="3"/>
  <c r="E139" i="3"/>
  <c r="D139" i="3"/>
  <c r="C139" i="3"/>
  <c r="K139" i="3" s="1"/>
  <c r="B139" i="3"/>
  <c r="A139" i="3"/>
  <c r="J138" i="3"/>
  <c r="I138" i="3"/>
  <c r="H138" i="3"/>
  <c r="G138" i="3"/>
  <c r="F138" i="3"/>
  <c r="E138" i="3"/>
  <c r="D138" i="3"/>
  <c r="C138" i="3"/>
  <c r="K138" i="3" s="1"/>
  <c r="B138" i="3"/>
  <c r="A138" i="3"/>
  <c r="J137" i="3"/>
  <c r="I137" i="3"/>
  <c r="H137" i="3"/>
  <c r="G137" i="3"/>
  <c r="F137" i="3"/>
  <c r="E137" i="3"/>
  <c r="D137" i="3"/>
  <c r="C137" i="3"/>
  <c r="K137" i="3" s="1"/>
  <c r="B137" i="3"/>
  <c r="A137" i="3"/>
  <c r="J136" i="3"/>
  <c r="I136" i="3"/>
  <c r="H136" i="3"/>
  <c r="G136" i="3"/>
  <c r="F136" i="3"/>
  <c r="E136" i="3"/>
  <c r="D136" i="3"/>
  <c r="C136" i="3"/>
  <c r="K136" i="3" s="1"/>
  <c r="B136" i="3"/>
  <c r="A136" i="3"/>
  <c r="J135" i="3"/>
  <c r="I135" i="3"/>
  <c r="H135" i="3"/>
  <c r="G135" i="3"/>
  <c r="F135" i="3"/>
  <c r="E135" i="3"/>
  <c r="D135" i="3"/>
  <c r="C135" i="3"/>
  <c r="K135" i="3" s="1"/>
  <c r="B135" i="3"/>
  <c r="A135" i="3"/>
  <c r="J134" i="3"/>
  <c r="I134" i="3"/>
  <c r="H134" i="3"/>
  <c r="G134" i="3"/>
  <c r="F134" i="3"/>
  <c r="E134" i="3"/>
  <c r="D134" i="3"/>
  <c r="C134" i="3"/>
  <c r="K134" i="3" s="1"/>
  <c r="B134" i="3"/>
  <c r="A134" i="3"/>
  <c r="J133" i="3"/>
  <c r="I133" i="3"/>
  <c r="H133" i="3"/>
  <c r="G133" i="3"/>
  <c r="F133" i="3"/>
  <c r="E133" i="3"/>
  <c r="D133" i="3"/>
  <c r="C133" i="3"/>
  <c r="K133" i="3" s="1"/>
  <c r="B133" i="3"/>
  <c r="A133" i="3"/>
  <c r="J132" i="3"/>
  <c r="I132" i="3"/>
  <c r="H132" i="3"/>
  <c r="G132" i="3"/>
  <c r="F132" i="3"/>
  <c r="E132" i="3"/>
  <c r="D132" i="3"/>
  <c r="C132" i="3"/>
  <c r="K132" i="3" s="1"/>
  <c r="B132" i="3"/>
  <c r="A132" i="3"/>
  <c r="J131" i="3"/>
  <c r="I131" i="3"/>
  <c r="H131" i="3"/>
  <c r="G131" i="3"/>
  <c r="F131" i="3"/>
  <c r="E131" i="3"/>
  <c r="D131" i="3"/>
  <c r="C131" i="3"/>
  <c r="K131" i="3" s="1"/>
  <c r="B131" i="3"/>
  <c r="A131" i="3"/>
  <c r="J130" i="3"/>
  <c r="I130" i="3"/>
  <c r="H130" i="3"/>
  <c r="G130" i="3"/>
  <c r="F130" i="3"/>
  <c r="E130" i="3"/>
  <c r="D130" i="3"/>
  <c r="C130" i="3"/>
  <c r="K130" i="3" s="1"/>
  <c r="B130" i="3"/>
  <c r="A130" i="3"/>
  <c r="J129" i="3"/>
  <c r="I129" i="3"/>
  <c r="H129" i="3"/>
  <c r="G129" i="3"/>
  <c r="F129" i="3"/>
  <c r="E129" i="3"/>
  <c r="D129" i="3"/>
  <c r="C129" i="3"/>
  <c r="K129" i="3" s="1"/>
  <c r="B129" i="3"/>
  <c r="A129" i="3"/>
  <c r="J128" i="3"/>
  <c r="I128" i="3"/>
  <c r="H128" i="3"/>
  <c r="G128" i="3"/>
  <c r="F128" i="3"/>
  <c r="E128" i="3"/>
  <c r="D128" i="3"/>
  <c r="C128" i="3"/>
  <c r="K128" i="3" s="1"/>
  <c r="B128" i="3"/>
  <c r="A128" i="3"/>
  <c r="J127" i="3"/>
  <c r="I127" i="3"/>
  <c r="H127" i="3"/>
  <c r="G127" i="3"/>
  <c r="F127" i="3"/>
  <c r="E127" i="3"/>
  <c r="D127" i="3"/>
  <c r="C127" i="3"/>
  <c r="K127" i="3" s="1"/>
  <c r="B127" i="3"/>
  <c r="A127" i="3"/>
  <c r="J126" i="3"/>
  <c r="I126" i="3"/>
  <c r="H126" i="3"/>
  <c r="G126" i="3"/>
  <c r="F126" i="3"/>
  <c r="E126" i="3"/>
  <c r="D126" i="3"/>
  <c r="C126" i="3"/>
  <c r="K126" i="3" s="1"/>
  <c r="B126" i="3"/>
  <c r="A126" i="3"/>
  <c r="J125" i="3"/>
  <c r="I125" i="3"/>
  <c r="H125" i="3"/>
  <c r="G125" i="3"/>
  <c r="F125" i="3"/>
  <c r="E125" i="3"/>
  <c r="D125" i="3"/>
  <c r="C125" i="3"/>
  <c r="K125" i="3" s="1"/>
  <c r="B125" i="3"/>
  <c r="A125" i="3"/>
  <c r="J124" i="3"/>
  <c r="I124" i="3"/>
  <c r="H124" i="3"/>
  <c r="G124" i="3"/>
  <c r="F124" i="3"/>
  <c r="E124" i="3"/>
  <c r="D124" i="3"/>
  <c r="C124" i="3"/>
  <c r="K124" i="3" s="1"/>
  <c r="B124" i="3"/>
  <c r="A124" i="3"/>
  <c r="J123" i="3"/>
  <c r="I123" i="3"/>
  <c r="H123" i="3"/>
  <c r="G123" i="3"/>
  <c r="F123" i="3"/>
  <c r="E123" i="3"/>
  <c r="D123" i="3"/>
  <c r="C123" i="3"/>
  <c r="K123" i="3" s="1"/>
  <c r="B123" i="3"/>
  <c r="A123" i="3"/>
  <c r="J122" i="3"/>
  <c r="I122" i="3"/>
  <c r="H122" i="3"/>
  <c r="G122" i="3"/>
  <c r="F122" i="3"/>
  <c r="E122" i="3"/>
  <c r="D122" i="3"/>
  <c r="C122" i="3"/>
  <c r="K122" i="3" s="1"/>
  <c r="B122" i="3"/>
  <c r="A122" i="3"/>
  <c r="J121" i="3"/>
  <c r="I121" i="3"/>
  <c r="H121" i="3"/>
  <c r="G121" i="3"/>
  <c r="F121" i="3"/>
  <c r="E121" i="3"/>
  <c r="D121" i="3"/>
  <c r="C121" i="3"/>
  <c r="K121" i="3" s="1"/>
  <c r="B121" i="3"/>
  <c r="A121" i="3"/>
  <c r="J120" i="3"/>
  <c r="I120" i="3"/>
  <c r="H120" i="3"/>
  <c r="G120" i="3"/>
  <c r="F120" i="3"/>
  <c r="E120" i="3"/>
  <c r="D120" i="3"/>
  <c r="C120" i="3"/>
  <c r="K120" i="3" s="1"/>
  <c r="B120" i="3"/>
  <c r="A120" i="3"/>
  <c r="J119" i="3"/>
  <c r="I119" i="3"/>
  <c r="H119" i="3"/>
  <c r="G119" i="3"/>
  <c r="F119" i="3"/>
  <c r="E119" i="3"/>
  <c r="D119" i="3"/>
  <c r="C119" i="3"/>
  <c r="K119" i="3" s="1"/>
  <c r="B119" i="3"/>
  <c r="A119" i="3"/>
  <c r="J118" i="3"/>
  <c r="I118" i="3"/>
  <c r="H118" i="3"/>
  <c r="G118" i="3"/>
  <c r="F118" i="3"/>
  <c r="E118" i="3"/>
  <c r="D118" i="3"/>
  <c r="C118" i="3"/>
  <c r="K118" i="3" s="1"/>
  <c r="B118" i="3"/>
  <c r="A118" i="3"/>
  <c r="J117" i="3"/>
  <c r="I117" i="3"/>
  <c r="H117" i="3"/>
  <c r="G117" i="3"/>
  <c r="F117" i="3"/>
  <c r="E117" i="3"/>
  <c r="D117" i="3"/>
  <c r="C117" i="3"/>
  <c r="K117" i="3" s="1"/>
  <c r="B117" i="3"/>
  <c r="A117" i="3"/>
  <c r="J116" i="3"/>
  <c r="I116" i="3"/>
  <c r="H116" i="3"/>
  <c r="K116" i="3" s="1"/>
  <c r="G116" i="3"/>
  <c r="F116" i="3"/>
  <c r="E116" i="3"/>
  <c r="D116" i="3"/>
  <c r="C116" i="3"/>
  <c r="B116" i="3"/>
  <c r="A116" i="3"/>
  <c r="J115" i="3"/>
  <c r="I115" i="3"/>
  <c r="H115" i="3"/>
  <c r="G115" i="3"/>
  <c r="F115" i="3"/>
  <c r="E115" i="3"/>
  <c r="D115" i="3"/>
  <c r="C115" i="3"/>
  <c r="K115" i="3" s="1"/>
  <c r="B115" i="3"/>
  <c r="A115" i="3"/>
  <c r="J114" i="3"/>
  <c r="I114" i="3"/>
  <c r="H114" i="3"/>
  <c r="G114" i="3"/>
  <c r="F114" i="3"/>
  <c r="E114" i="3"/>
  <c r="D114" i="3"/>
  <c r="C114" i="3"/>
  <c r="K114" i="3" s="1"/>
  <c r="B114" i="3"/>
  <c r="A114" i="3"/>
  <c r="J113" i="3"/>
  <c r="I113" i="3"/>
  <c r="H113" i="3"/>
  <c r="G113" i="3"/>
  <c r="F113" i="3"/>
  <c r="E113" i="3"/>
  <c r="D113" i="3"/>
  <c r="C113" i="3"/>
  <c r="K113" i="3" s="1"/>
  <c r="B113" i="3"/>
  <c r="A113" i="3"/>
  <c r="J112" i="3"/>
  <c r="I112" i="3"/>
  <c r="H112" i="3"/>
  <c r="G112" i="3"/>
  <c r="F112" i="3"/>
  <c r="E112" i="3"/>
  <c r="D112" i="3"/>
  <c r="C112" i="3"/>
  <c r="K112" i="3" s="1"/>
  <c r="B112" i="3"/>
  <c r="A112" i="3"/>
  <c r="J111" i="3"/>
  <c r="I111" i="3"/>
  <c r="H111" i="3"/>
  <c r="G111" i="3"/>
  <c r="F111" i="3"/>
  <c r="E111" i="3"/>
  <c r="D111" i="3"/>
  <c r="C111" i="3"/>
  <c r="K111" i="3" s="1"/>
  <c r="B111" i="3"/>
  <c r="A111" i="3"/>
  <c r="J110" i="3"/>
  <c r="I110" i="3"/>
  <c r="H110" i="3"/>
  <c r="G110" i="3"/>
  <c r="F110" i="3"/>
  <c r="E110" i="3"/>
  <c r="D110" i="3"/>
  <c r="C110" i="3"/>
  <c r="K110" i="3" s="1"/>
  <c r="B110" i="3"/>
  <c r="A110" i="3"/>
  <c r="J109" i="3"/>
  <c r="I109" i="3"/>
  <c r="H109" i="3"/>
  <c r="G109" i="3"/>
  <c r="F109" i="3"/>
  <c r="E109" i="3"/>
  <c r="D109" i="3"/>
  <c r="C109" i="3"/>
  <c r="K109" i="3" s="1"/>
  <c r="B109" i="3"/>
  <c r="A109" i="3"/>
  <c r="J108" i="3"/>
  <c r="I108" i="3"/>
  <c r="H108" i="3"/>
  <c r="G108" i="3"/>
  <c r="F108" i="3"/>
  <c r="E108" i="3"/>
  <c r="D108" i="3"/>
  <c r="C108" i="3"/>
  <c r="K108" i="3" s="1"/>
  <c r="B108" i="3"/>
  <c r="A108" i="3"/>
  <c r="J107" i="3"/>
  <c r="I107" i="3"/>
  <c r="H107" i="3"/>
  <c r="G107" i="3"/>
  <c r="F107" i="3"/>
  <c r="E107" i="3"/>
  <c r="D107" i="3"/>
  <c r="C107" i="3"/>
  <c r="K107" i="3" s="1"/>
  <c r="B107" i="3"/>
  <c r="A107" i="3"/>
  <c r="J106" i="3"/>
  <c r="I106" i="3"/>
  <c r="H106" i="3"/>
  <c r="G106" i="3"/>
  <c r="F106" i="3"/>
  <c r="E106" i="3"/>
  <c r="D106" i="3"/>
  <c r="C106" i="3"/>
  <c r="K106" i="3" s="1"/>
  <c r="B106" i="3"/>
  <c r="A106" i="3"/>
  <c r="J105" i="3"/>
  <c r="I105" i="3"/>
  <c r="H105" i="3"/>
  <c r="G105" i="3"/>
  <c r="F105" i="3"/>
  <c r="E105" i="3"/>
  <c r="D105" i="3"/>
  <c r="C105" i="3"/>
  <c r="K105" i="3" s="1"/>
  <c r="B105" i="3"/>
  <c r="A105" i="3"/>
  <c r="J104" i="3"/>
  <c r="I104" i="3"/>
  <c r="H104" i="3"/>
  <c r="G104" i="3"/>
  <c r="F104" i="3"/>
  <c r="E104" i="3"/>
  <c r="D104" i="3"/>
  <c r="C104" i="3"/>
  <c r="K104" i="3" s="1"/>
  <c r="B104" i="3"/>
  <c r="A104" i="3"/>
  <c r="J103" i="3"/>
  <c r="I103" i="3"/>
  <c r="H103" i="3"/>
  <c r="G103" i="3"/>
  <c r="F103" i="3"/>
  <c r="E103" i="3"/>
  <c r="D103" i="3"/>
  <c r="C103" i="3"/>
  <c r="K103" i="3" s="1"/>
  <c r="B103" i="3"/>
  <c r="A103" i="3"/>
  <c r="J102" i="3"/>
  <c r="I102" i="3"/>
  <c r="H102" i="3"/>
  <c r="G102" i="3"/>
  <c r="F102" i="3"/>
  <c r="E102" i="3"/>
  <c r="D102" i="3"/>
  <c r="C102" i="3"/>
  <c r="K102" i="3" s="1"/>
  <c r="B102" i="3"/>
  <c r="A102" i="3"/>
  <c r="J101" i="3"/>
  <c r="I101" i="3"/>
  <c r="H101" i="3"/>
  <c r="G101" i="3"/>
  <c r="F101" i="3"/>
  <c r="E101" i="3"/>
  <c r="D101" i="3"/>
  <c r="C101" i="3"/>
  <c r="K101" i="3" s="1"/>
  <c r="B101" i="3"/>
  <c r="A101" i="3"/>
  <c r="J100" i="3"/>
  <c r="I100" i="3"/>
  <c r="H100" i="3"/>
  <c r="G100" i="3"/>
  <c r="F100" i="3"/>
  <c r="E100" i="3"/>
  <c r="D100" i="3"/>
  <c r="C100" i="3"/>
  <c r="K100" i="3" s="1"/>
  <c r="B100" i="3"/>
  <c r="A100" i="3"/>
  <c r="J99" i="3"/>
  <c r="I99" i="3"/>
  <c r="H99" i="3"/>
  <c r="G99" i="3"/>
  <c r="F99" i="3"/>
  <c r="E99" i="3"/>
  <c r="D99" i="3"/>
  <c r="C99" i="3"/>
  <c r="K99" i="3" s="1"/>
  <c r="B99" i="3"/>
  <c r="A99" i="3"/>
  <c r="J98" i="3"/>
  <c r="I98" i="3"/>
  <c r="H98" i="3"/>
  <c r="G98" i="3"/>
  <c r="F98" i="3"/>
  <c r="E98" i="3"/>
  <c r="D98" i="3"/>
  <c r="C98" i="3"/>
  <c r="K98" i="3" s="1"/>
  <c r="B98" i="3"/>
  <c r="A98" i="3"/>
  <c r="J97" i="3"/>
  <c r="I97" i="3"/>
  <c r="H97" i="3"/>
  <c r="G97" i="3"/>
  <c r="F97" i="3"/>
  <c r="E97" i="3"/>
  <c r="D97" i="3"/>
  <c r="C97" i="3"/>
  <c r="K97" i="3" s="1"/>
  <c r="B97" i="3"/>
  <c r="A97" i="3"/>
  <c r="J96" i="3"/>
  <c r="I96" i="3"/>
  <c r="H96" i="3"/>
  <c r="G96" i="3"/>
  <c r="F96" i="3"/>
  <c r="E96" i="3"/>
  <c r="D96" i="3"/>
  <c r="C96" i="3"/>
  <c r="K96" i="3" s="1"/>
  <c r="B96" i="3"/>
  <c r="A96" i="3"/>
  <c r="J95" i="3"/>
  <c r="I95" i="3"/>
  <c r="H95" i="3"/>
  <c r="G95" i="3"/>
  <c r="F95" i="3"/>
  <c r="E95" i="3"/>
  <c r="D95" i="3"/>
  <c r="C95" i="3"/>
  <c r="K95" i="3" s="1"/>
  <c r="B95" i="3"/>
  <c r="A95" i="3"/>
  <c r="J94" i="3"/>
  <c r="I94" i="3"/>
  <c r="H94" i="3"/>
  <c r="G94" i="3"/>
  <c r="F94" i="3"/>
  <c r="E94" i="3"/>
  <c r="D94" i="3"/>
  <c r="C94" i="3"/>
  <c r="K94" i="3" s="1"/>
  <c r="B94" i="3"/>
  <c r="A94" i="3"/>
  <c r="J93" i="3"/>
  <c r="I93" i="3"/>
  <c r="H93" i="3"/>
  <c r="G93" i="3"/>
  <c r="F93" i="3"/>
  <c r="E93" i="3"/>
  <c r="D93" i="3"/>
  <c r="C93" i="3"/>
  <c r="K93" i="3" s="1"/>
  <c r="B93" i="3"/>
  <c r="A93" i="3"/>
  <c r="J92" i="3"/>
  <c r="I92" i="3"/>
  <c r="H92" i="3"/>
  <c r="G92" i="3"/>
  <c r="F92" i="3"/>
  <c r="E92" i="3"/>
  <c r="D92" i="3"/>
  <c r="C92" i="3"/>
  <c r="K92" i="3" s="1"/>
  <c r="B92" i="3"/>
  <c r="A92" i="3"/>
  <c r="J91" i="3"/>
  <c r="I91" i="3"/>
  <c r="H91" i="3"/>
  <c r="G91" i="3"/>
  <c r="F91" i="3"/>
  <c r="E91" i="3"/>
  <c r="D91" i="3"/>
  <c r="C91" i="3"/>
  <c r="K91" i="3" s="1"/>
  <c r="B91" i="3"/>
  <c r="A91" i="3"/>
  <c r="J90" i="3"/>
  <c r="I90" i="3"/>
  <c r="H90" i="3"/>
  <c r="G90" i="3"/>
  <c r="F90" i="3"/>
  <c r="E90" i="3"/>
  <c r="D90" i="3"/>
  <c r="C90" i="3"/>
  <c r="K90" i="3" s="1"/>
  <c r="B90" i="3"/>
  <c r="A90" i="3"/>
  <c r="J89" i="3"/>
  <c r="I89" i="3"/>
  <c r="H89" i="3"/>
  <c r="G89" i="3"/>
  <c r="F89" i="3"/>
  <c r="E89" i="3"/>
  <c r="D89" i="3"/>
  <c r="C89" i="3"/>
  <c r="K89" i="3" s="1"/>
  <c r="B89" i="3"/>
  <c r="A89" i="3"/>
  <c r="J88" i="3"/>
  <c r="I88" i="3"/>
  <c r="H88" i="3"/>
  <c r="G88" i="3"/>
  <c r="F88" i="3"/>
  <c r="E88" i="3"/>
  <c r="D88" i="3"/>
  <c r="C88" i="3"/>
  <c r="K88" i="3" s="1"/>
  <c r="B88" i="3"/>
  <c r="A88" i="3"/>
  <c r="J87" i="3"/>
  <c r="I87" i="3"/>
  <c r="H87" i="3"/>
  <c r="G87" i="3"/>
  <c r="F87" i="3"/>
  <c r="E87" i="3"/>
  <c r="D87" i="3"/>
  <c r="C87" i="3"/>
  <c r="K87" i="3" s="1"/>
  <c r="B87" i="3"/>
  <c r="A87" i="3"/>
  <c r="J86" i="3"/>
  <c r="I86" i="3"/>
  <c r="H86" i="3"/>
  <c r="G86" i="3"/>
  <c r="F86" i="3"/>
  <c r="E86" i="3"/>
  <c r="D86" i="3"/>
  <c r="C86" i="3"/>
  <c r="K86" i="3" s="1"/>
  <c r="B86" i="3"/>
  <c r="A86" i="3"/>
  <c r="J85" i="3"/>
  <c r="I85" i="3"/>
  <c r="H85" i="3"/>
  <c r="G85" i="3"/>
  <c r="F85" i="3"/>
  <c r="E85" i="3"/>
  <c r="D85" i="3"/>
  <c r="C85" i="3"/>
  <c r="K85" i="3" s="1"/>
  <c r="B85" i="3"/>
  <c r="A85" i="3"/>
  <c r="J84" i="3"/>
  <c r="I84" i="3"/>
  <c r="H84" i="3"/>
  <c r="G84" i="3"/>
  <c r="F84" i="3"/>
  <c r="E84" i="3"/>
  <c r="D84" i="3"/>
  <c r="C84" i="3"/>
  <c r="K84" i="3" s="1"/>
  <c r="B84" i="3"/>
  <c r="A84" i="3"/>
  <c r="J83" i="3"/>
  <c r="I83" i="3"/>
  <c r="H83" i="3"/>
  <c r="G83" i="3"/>
  <c r="F83" i="3"/>
  <c r="E83" i="3"/>
  <c r="D83" i="3"/>
  <c r="C83" i="3"/>
  <c r="K83" i="3" s="1"/>
  <c r="B83" i="3"/>
  <c r="A83" i="3"/>
  <c r="J82" i="3"/>
  <c r="I82" i="3"/>
  <c r="H82" i="3"/>
  <c r="G82" i="3"/>
  <c r="F82" i="3"/>
  <c r="E82" i="3"/>
  <c r="D82" i="3"/>
  <c r="C82" i="3"/>
  <c r="K82" i="3" s="1"/>
  <c r="B82" i="3"/>
  <c r="A82" i="3"/>
  <c r="J81" i="3"/>
  <c r="I81" i="3"/>
  <c r="H81" i="3"/>
  <c r="G81" i="3"/>
  <c r="F81" i="3"/>
  <c r="E81" i="3"/>
  <c r="D81" i="3"/>
  <c r="C81" i="3"/>
  <c r="K81" i="3" s="1"/>
  <c r="B81" i="3"/>
  <c r="A81" i="3"/>
  <c r="J80" i="3"/>
  <c r="I80" i="3"/>
  <c r="H80" i="3"/>
  <c r="G80" i="3"/>
  <c r="F80" i="3"/>
  <c r="E80" i="3"/>
  <c r="D80" i="3"/>
  <c r="C80" i="3"/>
  <c r="K80" i="3" s="1"/>
  <c r="B80" i="3"/>
  <c r="A80" i="3"/>
  <c r="J79" i="3"/>
  <c r="I79" i="3"/>
  <c r="H79" i="3"/>
  <c r="G79" i="3"/>
  <c r="F79" i="3"/>
  <c r="E79" i="3"/>
  <c r="D79" i="3"/>
  <c r="C79" i="3"/>
  <c r="K79" i="3" s="1"/>
  <c r="B79" i="3"/>
  <c r="A79" i="3"/>
  <c r="J78" i="3"/>
  <c r="I78" i="3"/>
  <c r="H78" i="3"/>
  <c r="G78" i="3"/>
  <c r="F78" i="3"/>
  <c r="E78" i="3"/>
  <c r="D78" i="3"/>
  <c r="C78" i="3"/>
  <c r="K78" i="3" s="1"/>
  <c r="B78" i="3"/>
  <c r="A78" i="3"/>
  <c r="J77" i="3"/>
  <c r="I77" i="3"/>
  <c r="H77" i="3"/>
  <c r="G77" i="3"/>
  <c r="F77" i="3"/>
  <c r="E77" i="3"/>
  <c r="D77" i="3"/>
  <c r="C77" i="3"/>
  <c r="K77" i="3" s="1"/>
  <c r="B77" i="3"/>
  <c r="A77" i="3"/>
  <c r="J76" i="3"/>
  <c r="I76" i="3"/>
  <c r="H76" i="3"/>
  <c r="G76" i="3"/>
  <c r="F76" i="3"/>
  <c r="E76" i="3"/>
  <c r="D76" i="3"/>
  <c r="C76" i="3"/>
  <c r="K76" i="3" s="1"/>
  <c r="B76" i="3"/>
  <c r="A76" i="3"/>
  <c r="J75" i="3"/>
  <c r="I75" i="3"/>
  <c r="H75" i="3"/>
  <c r="G75" i="3"/>
  <c r="F75" i="3"/>
  <c r="E75" i="3"/>
  <c r="D75" i="3"/>
  <c r="C75" i="3"/>
  <c r="K75" i="3" s="1"/>
  <c r="B75" i="3"/>
  <c r="A75" i="3"/>
  <c r="J74" i="3"/>
  <c r="I74" i="3"/>
  <c r="H74" i="3"/>
  <c r="G74" i="3"/>
  <c r="F74" i="3"/>
  <c r="E74" i="3"/>
  <c r="D74" i="3"/>
  <c r="C74" i="3"/>
  <c r="K74" i="3" s="1"/>
  <c r="B74" i="3"/>
  <c r="A74" i="3"/>
  <c r="J73" i="3"/>
  <c r="I73" i="3"/>
  <c r="H73" i="3"/>
  <c r="G73" i="3"/>
  <c r="F73" i="3"/>
  <c r="E73" i="3"/>
  <c r="D73" i="3"/>
  <c r="C73" i="3"/>
  <c r="K73" i="3" s="1"/>
  <c r="B73" i="3"/>
  <c r="A73" i="3"/>
  <c r="J72" i="3"/>
  <c r="I72" i="3"/>
  <c r="H72" i="3"/>
  <c r="G72" i="3"/>
  <c r="F72" i="3"/>
  <c r="E72" i="3"/>
  <c r="D72" i="3"/>
  <c r="C72" i="3"/>
  <c r="K72" i="3" s="1"/>
  <c r="B72" i="3"/>
  <c r="A72" i="3"/>
  <c r="J71" i="3"/>
  <c r="I71" i="3"/>
  <c r="H71" i="3"/>
  <c r="G71" i="3"/>
  <c r="F71" i="3"/>
  <c r="E71" i="3"/>
  <c r="D71" i="3"/>
  <c r="C71" i="3"/>
  <c r="K71" i="3" s="1"/>
  <c r="B71" i="3"/>
  <c r="A71" i="3"/>
  <c r="J70" i="3"/>
  <c r="I70" i="3"/>
  <c r="H70" i="3"/>
  <c r="G70" i="3"/>
  <c r="F70" i="3"/>
  <c r="E70" i="3"/>
  <c r="D70" i="3"/>
  <c r="C70" i="3"/>
  <c r="K70" i="3" s="1"/>
  <c r="B70" i="3"/>
  <c r="A70" i="3"/>
  <c r="J69" i="3"/>
  <c r="I69" i="3"/>
  <c r="H69" i="3"/>
  <c r="G69" i="3"/>
  <c r="F69" i="3"/>
  <c r="E69" i="3"/>
  <c r="D69" i="3"/>
  <c r="C69" i="3"/>
  <c r="K69" i="3" s="1"/>
  <c r="B69" i="3"/>
  <c r="A69" i="3"/>
  <c r="J68" i="3"/>
  <c r="I68" i="3"/>
  <c r="H68" i="3"/>
  <c r="G68" i="3"/>
  <c r="F68" i="3"/>
  <c r="E68" i="3"/>
  <c r="D68" i="3"/>
  <c r="C68" i="3"/>
  <c r="K68" i="3" s="1"/>
  <c r="B68" i="3"/>
  <c r="A68" i="3"/>
  <c r="J67" i="3"/>
  <c r="I67" i="3"/>
  <c r="H67" i="3"/>
  <c r="G67" i="3"/>
  <c r="F67" i="3"/>
  <c r="E67" i="3"/>
  <c r="D67" i="3"/>
  <c r="C67" i="3"/>
  <c r="K67" i="3" s="1"/>
  <c r="B67" i="3"/>
  <c r="A67" i="3"/>
  <c r="J66" i="3"/>
  <c r="I66" i="3"/>
  <c r="H66" i="3"/>
  <c r="G66" i="3"/>
  <c r="F66" i="3"/>
  <c r="E66" i="3"/>
  <c r="D66" i="3"/>
  <c r="C66" i="3"/>
  <c r="K66" i="3" s="1"/>
  <c r="B66" i="3"/>
  <c r="A66" i="3"/>
  <c r="J65" i="3"/>
  <c r="I65" i="3"/>
  <c r="H65" i="3"/>
  <c r="G65" i="3"/>
  <c r="F65" i="3"/>
  <c r="E65" i="3"/>
  <c r="D65" i="3"/>
  <c r="C65" i="3"/>
  <c r="K65" i="3" s="1"/>
  <c r="B65" i="3"/>
  <c r="A65" i="3"/>
  <c r="J64" i="3"/>
  <c r="I64" i="3"/>
  <c r="H64" i="3"/>
  <c r="G64" i="3"/>
  <c r="F64" i="3"/>
  <c r="E64" i="3"/>
  <c r="D64" i="3"/>
  <c r="C64" i="3"/>
  <c r="K64" i="3" s="1"/>
  <c r="B64" i="3"/>
  <c r="A64" i="3"/>
  <c r="J63" i="3"/>
  <c r="I63" i="3"/>
  <c r="H63" i="3"/>
  <c r="G63" i="3"/>
  <c r="F63" i="3"/>
  <c r="E63" i="3"/>
  <c r="D63" i="3"/>
  <c r="C63" i="3"/>
  <c r="K63" i="3" s="1"/>
  <c r="B63" i="3"/>
  <c r="A63" i="3"/>
  <c r="J62" i="3"/>
  <c r="I62" i="3"/>
  <c r="H62" i="3"/>
  <c r="G62" i="3"/>
  <c r="F62" i="3"/>
  <c r="E62" i="3"/>
  <c r="D62" i="3"/>
  <c r="C62" i="3"/>
  <c r="K62" i="3" s="1"/>
  <c r="B62" i="3"/>
  <c r="A62" i="3"/>
  <c r="J61" i="3"/>
  <c r="I61" i="3"/>
  <c r="H61" i="3"/>
  <c r="G61" i="3"/>
  <c r="F61" i="3"/>
  <c r="E61" i="3"/>
  <c r="D61" i="3"/>
  <c r="C61" i="3"/>
  <c r="K61" i="3" s="1"/>
  <c r="B61" i="3"/>
  <c r="A61" i="3"/>
  <c r="J60" i="3"/>
  <c r="I60" i="3"/>
  <c r="H60" i="3"/>
  <c r="G60" i="3"/>
  <c r="F60" i="3"/>
  <c r="E60" i="3"/>
  <c r="D60" i="3"/>
  <c r="C60" i="3"/>
  <c r="K60" i="3" s="1"/>
  <c r="B60" i="3"/>
  <c r="A60" i="3"/>
  <c r="J59" i="3"/>
  <c r="I59" i="3"/>
  <c r="H59" i="3"/>
  <c r="G59" i="3"/>
  <c r="F59" i="3"/>
  <c r="E59" i="3"/>
  <c r="D59" i="3"/>
  <c r="C59" i="3"/>
  <c r="K59" i="3" s="1"/>
  <c r="B59" i="3"/>
  <c r="A59" i="3"/>
  <c r="J58" i="3"/>
  <c r="I58" i="3"/>
  <c r="H58" i="3"/>
  <c r="G58" i="3"/>
  <c r="F58" i="3"/>
  <c r="E58" i="3"/>
  <c r="D58" i="3"/>
  <c r="C58" i="3"/>
  <c r="K58" i="3" s="1"/>
  <c r="B58" i="3"/>
  <c r="A58" i="3"/>
  <c r="J57" i="3"/>
  <c r="I57" i="3"/>
  <c r="H57" i="3"/>
  <c r="G57" i="3"/>
  <c r="F57" i="3"/>
  <c r="E57" i="3"/>
  <c r="B6" i="1" s="1"/>
  <c r="D57" i="3"/>
  <c r="C57" i="3"/>
  <c r="K57" i="3" s="1"/>
  <c r="B57" i="3"/>
  <c r="A57" i="3"/>
  <c r="J56" i="3"/>
  <c r="I56" i="3"/>
  <c r="H56" i="3"/>
  <c r="G56" i="3"/>
  <c r="F56" i="3"/>
  <c r="E56" i="3"/>
  <c r="D56" i="3"/>
  <c r="C56" i="3"/>
  <c r="K56" i="3" s="1"/>
  <c r="B56" i="3"/>
  <c r="A56" i="3"/>
  <c r="J55" i="3"/>
  <c r="I55" i="3"/>
  <c r="H55" i="3"/>
  <c r="G55" i="3"/>
  <c r="F55" i="3"/>
  <c r="E55" i="3"/>
  <c r="D55" i="3"/>
  <c r="C55" i="3"/>
  <c r="K55" i="3" s="1"/>
  <c r="B55" i="3"/>
  <c r="A55" i="3"/>
  <c r="J54" i="3"/>
  <c r="I54" i="3"/>
  <c r="H54" i="3"/>
  <c r="G54" i="3"/>
  <c r="F54" i="3"/>
  <c r="E54" i="3"/>
  <c r="D54" i="3"/>
  <c r="C54" i="3"/>
  <c r="K54" i="3" s="1"/>
  <c r="B54" i="3"/>
  <c r="A54" i="3"/>
  <c r="J53" i="3"/>
  <c r="I53" i="3"/>
  <c r="H53" i="3"/>
  <c r="G53" i="3"/>
  <c r="F53" i="3"/>
  <c r="E53" i="3"/>
  <c r="D53" i="3"/>
  <c r="C53" i="3"/>
  <c r="K53" i="3" s="1"/>
  <c r="B53" i="3"/>
  <c r="A53" i="3"/>
  <c r="J52" i="3"/>
  <c r="I52" i="3"/>
  <c r="H52" i="3"/>
  <c r="G52" i="3"/>
  <c r="F52" i="3"/>
  <c r="E52" i="3"/>
  <c r="D52" i="3"/>
  <c r="C52" i="3"/>
  <c r="K52" i="3" s="1"/>
  <c r="B52" i="3"/>
  <c r="A52" i="3"/>
  <c r="J51" i="3"/>
  <c r="I51" i="3"/>
  <c r="H51" i="3"/>
  <c r="G51" i="3"/>
  <c r="F51" i="3"/>
  <c r="E51" i="3"/>
  <c r="D51" i="3"/>
  <c r="C51" i="3"/>
  <c r="K51" i="3" s="1"/>
  <c r="B51" i="3"/>
  <c r="A51" i="3"/>
  <c r="J50" i="3"/>
  <c r="I50" i="3"/>
  <c r="H50" i="3"/>
  <c r="G50" i="3"/>
  <c r="F50" i="3"/>
  <c r="E50" i="3"/>
  <c r="D50" i="3"/>
  <c r="C50" i="3"/>
  <c r="K50" i="3" s="1"/>
  <c r="B50" i="3"/>
  <c r="A50" i="3"/>
  <c r="J49" i="3"/>
  <c r="I49" i="3"/>
  <c r="H49" i="3"/>
  <c r="G49" i="3"/>
  <c r="F49" i="3"/>
  <c r="E49" i="3"/>
  <c r="D49" i="3"/>
  <c r="C49" i="3"/>
  <c r="K49" i="3" s="1"/>
  <c r="B49" i="3"/>
  <c r="A49" i="3"/>
  <c r="J48" i="3"/>
  <c r="I48" i="3"/>
  <c r="H48" i="3"/>
  <c r="G48" i="3"/>
  <c r="K48" i="3" s="1"/>
  <c r="F48" i="3"/>
  <c r="E48" i="3"/>
  <c r="D48" i="3"/>
  <c r="C48" i="3"/>
  <c r="B48" i="3"/>
  <c r="A48" i="3"/>
  <c r="J47" i="3"/>
  <c r="I47" i="3"/>
  <c r="H47" i="3"/>
  <c r="G47" i="3"/>
  <c r="F47" i="3"/>
  <c r="E47" i="3"/>
  <c r="D47" i="3"/>
  <c r="C47" i="3"/>
  <c r="K47" i="3" s="1"/>
  <c r="B47" i="3"/>
  <c r="A47" i="3"/>
  <c r="J46" i="3"/>
  <c r="I46" i="3"/>
  <c r="H46" i="3"/>
  <c r="G46" i="3"/>
  <c r="F46" i="3"/>
  <c r="E46" i="3"/>
  <c r="D46" i="3"/>
  <c r="C46" i="3"/>
  <c r="K46" i="3" s="1"/>
  <c r="B46" i="3"/>
  <c r="A46" i="3"/>
  <c r="J45" i="3"/>
  <c r="I45" i="3"/>
  <c r="H45" i="3"/>
  <c r="G45" i="3"/>
  <c r="F45" i="3"/>
  <c r="E45" i="3"/>
  <c r="D45" i="3"/>
  <c r="C45" i="3"/>
  <c r="K45" i="3" s="1"/>
  <c r="B45" i="3"/>
  <c r="A45" i="3"/>
  <c r="J44" i="3"/>
  <c r="I44" i="3"/>
  <c r="H44" i="3"/>
  <c r="G44" i="3"/>
  <c r="F44" i="3"/>
  <c r="E44" i="3"/>
  <c r="D44" i="3"/>
  <c r="C44" i="3"/>
  <c r="K44" i="3" s="1"/>
  <c r="B44" i="3"/>
  <c r="A44" i="3"/>
  <c r="J43" i="3"/>
  <c r="I43" i="3"/>
  <c r="H43" i="3"/>
  <c r="G43" i="3"/>
  <c r="F43" i="3"/>
  <c r="E43" i="3"/>
  <c r="D43" i="3"/>
  <c r="C43" i="3"/>
  <c r="K43" i="3" s="1"/>
  <c r="B43" i="3"/>
  <c r="A43" i="3"/>
  <c r="J42" i="3"/>
  <c r="I42" i="3"/>
  <c r="H42" i="3"/>
  <c r="G42" i="3"/>
  <c r="F42" i="3"/>
  <c r="E42" i="3"/>
  <c r="D42" i="3"/>
  <c r="C42" i="3"/>
  <c r="K42" i="3" s="1"/>
  <c r="B42" i="3"/>
  <c r="A42" i="3"/>
  <c r="J41" i="3"/>
  <c r="I41" i="3"/>
  <c r="H41" i="3"/>
  <c r="G41" i="3"/>
  <c r="F41" i="3"/>
  <c r="E41" i="3"/>
  <c r="D41" i="3"/>
  <c r="C41" i="3"/>
  <c r="K41" i="3" s="1"/>
  <c r="B41" i="3"/>
  <c r="A41" i="3"/>
  <c r="J40" i="3"/>
  <c r="I40" i="3"/>
  <c r="H40" i="3"/>
  <c r="G40" i="3"/>
  <c r="F40" i="3"/>
  <c r="E40" i="3"/>
  <c r="D40" i="3"/>
  <c r="C40" i="3"/>
  <c r="K40" i="3" s="1"/>
  <c r="B40" i="3"/>
  <c r="A40" i="3"/>
  <c r="J39" i="3"/>
  <c r="I39" i="3"/>
  <c r="H39" i="3"/>
  <c r="G39" i="3"/>
  <c r="F39" i="3"/>
  <c r="E39" i="3"/>
  <c r="D39" i="3"/>
  <c r="C39" i="3"/>
  <c r="K39" i="3" s="1"/>
  <c r="B39" i="3"/>
  <c r="A39" i="3"/>
  <c r="J38" i="3"/>
  <c r="I38" i="3"/>
  <c r="H38" i="3"/>
  <c r="G38" i="3"/>
  <c r="F38" i="3"/>
  <c r="E38" i="3"/>
  <c r="D38" i="3"/>
  <c r="C38" i="3"/>
  <c r="K38" i="3" s="1"/>
  <c r="B38" i="3"/>
  <c r="A38" i="3"/>
  <c r="J37" i="3"/>
  <c r="I37" i="3"/>
  <c r="H37" i="3"/>
  <c r="G37" i="3"/>
  <c r="F37" i="3"/>
  <c r="E37" i="3"/>
  <c r="D37" i="3"/>
  <c r="C37" i="3"/>
  <c r="K37" i="3" s="1"/>
  <c r="B37" i="3"/>
  <c r="A37" i="3"/>
  <c r="J36" i="3"/>
  <c r="I36" i="3"/>
  <c r="H36" i="3"/>
  <c r="G36" i="3"/>
  <c r="F36" i="3"/>
  <c r="E36" i="3"/>
  <c r="D36" i="3"/>
  <c r="C36" i="3"/>
  <c r="K36" i="3" s="1"/>
  <c r="B36" i="3"/>
  <c r="A36" i="3"/>
  <c r="J35" i="3"/>
  <c r="I35" i="3"/>
  <c r="H35" i="3"/>
  <c r="G35" i="3"/>
  <c r="F35" i="3"/>
  <c r="E35" i="3"/>
  <c r="D35" i="3"/>
  <c r="C35" i="3"/>
  <c r="K35" i="3" s="1"/>
  <c r="B35" i="3"/>
  <c r="A35" i="3"/>
  <c r="J34" i="3"/>
  <c r="I34" i="3"/>
  <c r="H34" i="3"/>
  <c r="G34" i="3"/>
  <c r="F34" i="3"/>
  <c r="E34" i="3"/>
  <c r="D34" i="3"/>
  <c r="C34" i="3"/>
  <c r="K34" i="3" s="1"/>
  <c r="B34" i="3"/>
  <c r="A34" i="3"/>
  <c r="J33" i="3"/>
  <c r="I33" i="3"/>
  <c r="H33" i="3"/>
  <c r="G33" i="3"/>
  <c r="F33" i="3"/>
  <c r="E33" i="3"/>
  <c r="D33" i="3"/>
  <c r="C33" i="3"/>
  <c r="K33" i="3" s="1"/>
  <c r="B33" i="3"/>
  <c r="A33" i="3"/>
  <c r="J32" i="3"/>
  <c r="I32" i="3"/>
  <c r="H32" i="3"/>
  <c r="G32" i="3"/>
  <c r="F32" i="3"/>
  <c r="E32" i="3"/>
  <c r="D32" i="3"/>
  <c r="C32" i="3"/>
  <c r="K32" i="3" s="1"/>
  <c r="B32" i="3"/>
  <c r="A32" i="3"/>
  <c r="J31" i="3"/>
  <c r="I31" i="3"/>
  <c r="H31" i="3"/>
  <c r="G31" i="3"/>
  <c r="F31" i="3"/>
  <c r="E31" i="3"/>
  <c r="D31" i="3"/>
  <c r="C31" i="3"/>
  <c r="K31" i="3" s="1"/>
  <c r="B31" i="3"/>
  <c r="A31" i="3"/>
  <c r="J30" i="3"/>
  <c r="I30" i="3"/>
  <c r="H30" i="3"/>
  <c r="G30" i="3"/>
  <c r="F30" i="3"/>
  <c r="E30" i="3"/>
  <c r="D30" i="3"/>
  <c r="C30" i="3"/>
  <c r="K30" i="3" s="1"/>
  <c r="B30" i="3"/>
  <c r="A30" i="3"/>
  <c r="J29" i="3"/>
  <c r="I29" i="3"/>
  <c r="H29" i="3"/>
  <c r="G29" i="3"/>
  <c r="F29" i="3"/>
  <c r="E29" i="3"/>
  <c r="D29" i="3"/>
  <c r="C29" i="3"/>
  <c r="K29" i="3" s="1"/>
  <c r="B29" i="3"/>
  <c r="A29" i="3"/>
  <c r="J28" i="3"/>
  <c r="I28" i="3"/>
  <c r="H28" i="3"/>
  <c r="G28" i="3"/>
  <c r="F28" i="3"/>
  <c r="E28" i="3"/>
  <c r="D28" i="3"/>
  <c r="C28" i="3"/>
  <c r="K28" i="3" s="1"/>
  <c r="B28" i="3"/>
  <c r="A28" i="3"/>
  <c r="J27" i="3"/>
  <c r="I27" i="3"/>
  <c r="H27" i="3"/>
  <c r="G27" i="3"/>
  <c r="F27" i="3"/>
  <c r="E27" i="3"/>
  <c r="D27" i="3"/>
  <c r="C27" i="3"/>
  <c r="K27" i="3" s="1"/>
  <c r="B27" i="3"/>
  <c r="A27" i="3"/>
  <c r="J26" i="3"/>
  <c r="I26" i="3"/>
  <c r="H26" i="3"/>
  <c r="G26" i="3"/>
  <c r="F26" i="3"/>
  <c r="E26" i="3"/>
  <c r="D26" i="3"/>
  <c r="C26" i="3"/>
  <c r="K26" i="3" s="1"/>
  <c r="B26" i="3"/>
  <c r="A26" i="3"/>
  <c r="J25" i="3"/>
  <c r="I25" i="3"/>
  <c r="H25" i="3"/>
  <c r="G25" i="3"/>
  <c r="F25" i="3"/>
  <c r="E25" i="3"/>
  <c r="D25" i="3"/>
  <c r="C25" i="3"/>
  <c r="K25" i="3" s="1"/>
  <c r="B25" i="3"/>
  <c r="A25" i="3"/>
  <c r="J24" i="3"/>
  <c r="I24" i="3"/>
  <c r="H24" i="3"/>
  <c r="G24" i="3"/>
  <c r="F24" i="3"/>
  <c r="E24" i="3"/>
  <c r="D24" i="3"/>
  <c r="C24" i="3"/>
  <c r="K24" i="3" s="1"/>
  <c r="B24" i="3"/>
  <c r="A24" i="3"/>
  <c r="J23" i="3"/>
  <c r="I23" i="3"/>
  <c r="H23" i="3"/>
  <c r="G23" i="3"/>
  <c r="F23" i="3"/>
  <c r="E23" i="3"/>
  <c r="D23" i="3"/>
  <c r="C23" i="3"/>
  <c r="K23" i="3" s="1"/>
  <c r="B23" i="3"/>
  <c r="A23" i="3"/>
  <c r="J22" i="3"/>
  <c r="I22" i="3"/>
  <c r="H22" i="3"/>
  <c r="G22" i="3"/>
  <c r="F22" i="3"/>
  <c r="E22" i="3"/>
  <c r="D22" i="3"/>
  <c r="C22" i="3"/>
  <c r="K22" i="3" s="1"/>
  <c r="B22" i="3"/>
  <c r="A22" i="3"/>
  <c r="J21" i="3"/>
  <c r="I21" i="3"/>
  <c r="H21" i="3"/>
  <c r="G21" i="3"/>
  <c r="F21" i="3"/>
  <c r="E21" i="3"/>
  <c r="D21" i="3"/>
  <c r="C21" i="3"/>
  <c r="K21" i="3" s="1"/>
  <c r="B21" i="3"/>
  <c r="A21" i="3"/>
  <c r="J20" i="3"/>
  <c r="I20" i="3"/>
  <c r="H20" i="3"/>
  <c r="G20" i="3"/>
  <c r="F20" i="3"/>
  <c r="E20" i="3"/>
  <c r="D20" i="3"/>
  <c r="C20" i="3"/>
  <c r="K20" i="3" s="1"/>
  <c r="B20" i="3"/>
  <c r="A20" i="3"/>
  <c r="J19" i="3"/>
  <c r="I19" i="3"/>
  <c r="H19" i="3"/>
  <c r="G19" i="3"/>
  <c r="F19" i="3"/>
  <c r="E19" i="3"/>
  <c r="D19" i="3"/>
  <c r="C19" i="3"/>
  <c r="K19" i="3" s="1"/>
  <c r="B19" i="3"/>
  <c r="A19" i="3"/>
  <c r="J18" i="3"/>
  <c r="I18" i="3"/>
  <c r="H18" i="3"/>
  <c r="G18" i="3"/>
  <c r="F18" i="3"/>
  <c r="E18" i="3"/>
  <c r="D18" i="3"/>
  <c r="C18" i="3"/>
  <c r="K18" i="3" s="1"/>
  <c r="B18" i="3"/>
  <c r="A18" i="3"/>
  <c r="J17" i="3"/>
  <c r="I17" i="3"/>
  <c r="H17" i="3"/>
  <c r="G17" i="3"/>
  <c r="F17" i="3"/>
  <c r="E17" i="3"/>
  <c r="D17" i="3"/>
  <c r="C17" i="3"/>
  <c r="K17" i="3" s="1"/>
  <c r="B17" i="3"/>
  <c r="A17" i="3"/>
  <c r="J16" i="3"/>
  <c r="I16" i="3"/>
  <c r="H16" i="3"/>
  <c r="G16" i="3"/>
  <c r="F16" i="3"/>
  <c r="E16" i="3"/>
  <c r="D16" i="3"/>
  <c r="C16" i="3"/>
  <c r="K16" i="3" s="1"/>
  <c r="B16" i="3"/>
  <c r="A16" i="3"/>
  <c r="J15" i="3"/>
  <c r="I15" i="3"/>
  <c r="H15" i="3"/>
  <c r="G15" i="3"/>
  <c r="F15" i="3"/>
  <c r="E15" i="3"/>
  <c r="D15" i="3"/>
  <c r="C15" i="3"/>
  <c r="K15" i="3" s="1"/>
  <c r="B15" i="3"/>
  <c r="A15" i="3"/>
  <c r="J14" i="3"/>
  <c r="I14" i="3"/>
  <c r="H14" i="3"/>
  <c r="G14" i="3"/>
  <c r="F14" i="3"/>
  <c r="E14" i="3"/>
  <c r="D14" i="3"/>
  <c r="C14" i="3"/>
  <c r="K14" i="3" s="1"/>
  <c r="B14" i="3"/>
  <c r="A14" i="3"/>
  <c r="J13" i="3"/>
  <c r="I13" i="3"/>
  <c r="H13" i="3"/>
  <c r="G13" i="3"/>
  <c r="F13" i="3"/>
  <c r="E13" i="3"/>
  <c r="D13" i="3"/>
  <c r="C13" i="3"/>
  <c r="K13" i="3" s="1"/>
  <c r="B13" i="3"/>
  <c r="A13" i="3"/>
  <c r="J12" i="3"/>
  <c r="I12" i="3"/>
  <c r="H12" i="3"/>
  <c r="G12" i="3"/>
  <c r="F12" i="3"/>
  <c r="E12" i="3"/>
  <c r="D12" i="3"/>
  <c r="C12" i="3"/>
  <c r="K12" i="3" s="1"/>
  <c r="B12" i="3"/>
  <c r="A12" i="3"/>
  <c r="J11" i="3"/>
  <c r="I11" i="3"/>
  <c r="H11" i="3"/>
  <c r="G11" i="3"/>
  <c r="F11" i="3"/>
  <c r="E11" i="3"/>
  <c r="D11" i="3"/>
  <c r="C11" i="3"/>
  <c r="K11" i="3" s="1"/>
  <c r="B11" i="3"/>
  <c r="A11" i="3"/>
  <c r="J10" i="3"/>
  <c r="I10" i="3"/>
  <c r="H10" i="3"/>
  <c r="G10" i="3"/>
  <c r="F10" i="3"/>
  <c r="E10" i="3"/>
  <c r="D10" i="3"/>
  <c r="C10" i="3"/>
  <c r="K10" i="3" s="1"/>
  <c r="B10" i="3"/>
  <c r="A10" i="3"/>
  <c r="J9" i="3"/>
  <c r="I9" i="3"/>
  <c r="H9" i="3"/>
  <c r="G9" i="3"/>
  <c r="F9" i="3"/>
  <c r="E9" i="3"/>
  <c r="D9" i="3"/>
  <c r="C9" i="3"/>
  <c r="K9" i="3" s="1"/>
  <c r="B9" i="3"/>
  <c r="A9" i="3"/>
  <c r="J8" i="3"/>
  <c r="I8" i="3"/>
  <c r="H8" i="3"/>
  <c r="G8" i="3"/>
  <c r="F8" i="3"/>
  <c r="E8" i="3"/>
  <c r="D8" i="3"/>
  <c r="C8" i="3"/>
  <c r="K8" i="3" s="1"/>
  <c r="B8" i="3"/>
  <c r="A8" i="3"/>
  <c r="J7" i="3"/>
  <c r="I7" i="3"/>
  <c r="H7" i="3"/>
  <c r="G7" i="3"/>
  <c r="F7" i="3"/>
  <c r="E7" i="3"/>
  <c r="D7" i="3"/>
  <c r="C7" i="3"/>
  <c r="K7" i="3" s="1"/>
  <c r="B7" i="3"/>
  <c r="A7" i="3"/>
  <c r="J6" i="3"/>
  <c r="I6" i="3"/>
  <c r="H6" i="3"/>
  <c r="G6" i="3"/>
  <c r="F6" i="3"/>
  <c r="E6" i="3"/>
  <c r="D6" i="3"/>
  <c r="C6" i="3"/>
  <c r="K6" i="3" s="1"/>
  <c r="B6" i="3"/>
  <c r="A6" i="3"/>
  <c r="J5" i="3"/>
  <c r="I5" i="3"/>
  <c r="H5" i="3"/>
  <c r="G5" i="3"/>
  <c r="F5" i="3"/>
  <c r="E5" i="3"/>
  <c r="D5" i="3"/>
  <c r="C5" i="3"/>
  <c r="K5" i="3" s="1"/>
  <c r="B5" i="3"/>
  <c r="A5" i="3"/>
  <c r="J4" i="3"/>
  <c r="I4" i="3"/>
  <c r="H4" i="3"/>
  <c r="G4" i="3"/>
  <c r="F4" i="3"/>
  <c r="E4" i="3"/>
  <c r="D4" i="3"/>
  <c r="C4" i="3"/>
  <c r="K4" i="3" s="1"/>
  <c r="B4" i="3"/>
  <c r="A4" i="3"/>
  <c r="J3" i="3"/>
  <c r="I3" i="3"/>
  <c r="H3" i="3"/>
  <c r="G3" i="3"/>
  <c r="F3" i="3"/>
  <c r="E3" i="3"/>
  <c r="D3" i="3"/>
  <c r="C3" i="3"/>
  <c r="K3" i="3" s="1"/>
  <c r="B3" i="3"/>
  <c r="A3" i="3"/>
  <c r="J2" i="3"/>
  <c r="I2" i="3"/>
  <c r="H2" i="3"/>
  <c r="G2" i="3"/>
  <c r="F2" i="3"/>
  <c r="E2" i="3"/>
  <c r="D2" i="3"/>
  <c r="C2" i="3"/>
  <c r="K2" i="3" s="1"/>
  <c r="B2" i="3"/>
  <c r="A2" i="3"/>
  <c r="B3" i="1"/>
  <c r="B4" i="1" l="1"/>
  <c r="K457" i="3"/>
  <c r="K456" i="3"/>
  <c r="B10" i="1"/>
  <c r="B12" i="1"/>
</calcChain>
</file>

<file path=xl/sharedStrings.xml><?xml version="1.0" encoding="utf-8"?>
<sst xmlns="http://schemas.openxmlformats.org/spreadsheetml/2006/main" count="7024" uniqueCount="5695">
  <si>
    <t>Resumen de calidad de datos — Lista de clientes</t>
  </si>
  <si>
    <t>Total de registros</t>
  </si>
  <si>
    <t>Filas completamente vacías</t>
  </si>
  <si>
    <t>Filas con algún campo vacío (nulo)</t>
  </si>
  <si>
    <t>IDs duplicados</t>
  </si>
  <si>
    <t>Correos duplicados</t>
  </si>
  <si>
    <t>Correos con formato inválido</t>
  </si>
  <si>
    <t>Teléfonos con formato inválido</t>
  </si>
  <si>
    <t>Fecha de nacimiento posterior a la de alta</t>
  </si>
  <si>
    <t>Direcciones sin número (posible error)</t>
  </si>
  <si>
    <t>TOTAL de registros a revisar</t>
  </si>
  <si>
    <t>ID</t>
  </si>
  <si>
    <t>Nombre completo</t>
  </si>
  <si>
    <t>Fecha de nacimiento</t>
  </si>
  <si>
    <t>Dirección</t>
  </si>
  <si>
    <t>Localidad y Código postal</t>
  </si>
  <si>
    <t>Teléfono</t>
  </si>
  <si>
    <t>Correo electrónico</t>
  </si>
  <si>
    <t>Fecha de alta</t>
  </si>
  <si>
    <t>Grupo de clientes</t>
  </si>
  <si>
    <t>C0001</t>
  </si>
  <si>
    <t>Leandra Anna Malo Alba</t>
  </si>
  <si>
    <t>7943 S. Fifth Street</t>
  </si>
  <si>
    <t>Bergenfield, NJ 07621</t>
  </si>
  <si>
    <t>(598) 451-5865</t>
  </si>
  <si>
    <t>uraeus@mac.com</t>
  </si>
  <si>
    <t>A</t>
  </si>
  <si>
    <t>C0002</t>
  </si>
  <si>
    <t>Severo Granados Iglesia</t>
  </si>
  <si>
    <t>77 Lyme Street</t>
  </si>
  <si>
    <t>Hermitage, TN 37076</t>
  </si>
  <si>
    <t>(869) 771-1487</t>
  </si>
  <si>
    <t>bhima@me.com</t>
  </si>
  <si>
    <t>E</t>
  </si>
  <si>
    <t>C0003</t>
  </si>
  <si>
    <t>Lucho Andreu Amat</t>
  </si>
  <si>
    <t>9448 Fairfield St.</t>
  </si>
  <si>
    <t>Aberdeen, SD 57401</t>
  </si>
  <si>
    <t>(246) 245-7306</t>
  </si>
  <si>
    <t>psichel@sbcglobal.net</t>
  </si>
  <si>
    <t>C0004</t>
  </si>
  <si>
    <t>Matías Mauricio Castillo Barrera</t>
  </si>
  <si>
    <t>8143 College St.</t>
  </si>
  <si>
    <t>Trussville, AL 35173</t>
  </si>
  <si>
    <t>(707) 933-2513</t>
  </si>
  <si>
    <t>tbeck@optonline.net</t>
  </si>
  <si>
    <t>C0005</t>
  </si>
  <si>
    <t>Mauricio Guijarro Castelló</t>
  </si>
  <si>
    <t>9893 W. Vale Ave.</t>
  </si>
  <si>
    <t>Billings, MT 59101</t>
  </si>
  <si>
    <t>(612) 325-0216</t>
  </si>
  <si>
    <t>eegsa@yahoo.ca</t>
  </si>
  <si>
    <t>D</t>
  </si>
  <si>
    <t>C0006</t>
  </si>
  <si>
    <t>Isaura Leyre Avilés Pelayo</t>
  </si>
  <si>
    <t>8094 Albany Drive</t>
  </si>
  <si>
    <t>Poughkeepsie, NY 12601</t>
  </si>
  <si>
    <t>(992) 564-5230</t>
  </si>
  <si>
    <t>barlow@verizon.net</t>
  </si>
  <si>
    <t>C0007</t>
  </si>
  <si>
    <t>Soraya Morera-Lago</t>
  </si>
  <si>
    <t>9001 Creek Street</t>
  </si>
  <si>
    <t>Lawrence, MA 01841</t>
  </si>
  <si>
    <t>(651) 544-1246</t>
  </si>
  <si>
    <t>wkrebs@me.com</t>
  </si>
  <si>
    <t>C0008</t>
  </si>
  <si>
    <t>Victoriano Tapia-Cabanillas</t>
  </si>
  <si>
    <t>57 Green Drive</t>
  </si>
  <si>
    <t>Fair Lawn, NJ 07410</t>
  </si>
  <si>
    <t>(851) 782-6044</t>
  </si>
  <si>
    <t>dleconte@outlook.com</t>
  </si>
  <si>
    <t>C</t>
  </si>
  <si>
    <t>C0009</t>
  </si>
  <si>
    <t>Nidia Saez Campoy</t>
  </si>
  <si>
    <t>86 Surrey St.</t>
  </si>
  <si>
    <t>Kennewick, WA 99337</t>
  </si>
  <si>
    <t>(265) 609-6654</t>
  </si>
  <si>
    <t>flakeg@verizon.net</t>
  </si>
  <si>
    <t>B</t>
  </si>
  <si>
    <t>C0010</t>
  </si>
  <si>
    <t>Teófila Villanueva Molina</t>
  </si>
  <si>
    <t>8728 Boston Street</t>
  </si>
  <si>
    <t>Rego Park, NY 11374</t>
  </si>
  <si>
    <t>(305) 491-4988</t>
  </si>
  <si>
    <t>slaff@icloud.com</t>
  </si>
  <si>
    <t>C0011</t>
  </si>
  <si>
    <t>Trini de Alberdi</t>
  </si>
  <si>
    <t>45 Heritage Ave.</t>
  </si>
  <si>
    <t>Fall River, MA 02720</t>
  </si>
  <si>
    <t>(561) 649-7485</t>
  </si>
  <si>
    <t>uncle@hotmail.com</t>
  </si>
  <si>
    <t>C0012</t>
  </si>
  <si>
    <t>Dani Baena</t>
  </si>
  <si>
    <t>9334 Hillside Street</t>
  </si>
  <si>
    <t>Grand Blanc, MI 48439</t>
  </si>
  <si>
    <t>(966) 735-9451</t>
  </si>
  <si>
    <t>vsprintf@hotmail.com</t>
  </si>
  <si>
    <t>C0013</t>
  </si>
  <si>
    <t>Angelina de Arregui</t>
  </si>
  <si>
    <t>611 Academy Street</t>
  </si>
  <si>
    <t>Dalton, GA 30721</t>
  </si>
  <si>
    <t>(711) 282-2848</t>
  </si>
  <si>
    <t>chinthaka@yahoo.ca</t>
  </si>
  <si>
    <t>C0014</t>
  </si>
  <si>
    <t>Samuel de Carranza</t>
  </si>
  <si>
    <t>7201 Mill Street</t>
  </si>
  <si>
    <t>Marcus Hook, PA 19061</t>
  </si>
  <si>
    <t>(337) 397-0627</t>
  </si>
  <si>
    <t>ntegrity@optonline.net</t>
  </si>
  <si>
    <t>C0015</t>
  </si>
  <si>
    <t>Jacinta Montenegro Garcés</t>
  </si>
  <si>
    <t>59 Ridgewood Ave.</t>
  </si>
  <si>
    <t>Reynoldsburg, OH 43068</t>
  </si>
  <si>
    <t>(969) 383-4277</t>
  </si>
  <si>
    <t>yangyan@yahoo.ca</t>
  </si>
  <si>
    <t>C0016</t>
  </si>
  <si>
    <t>Lisandro Delgado Nadal</t>
  </si>
  <si>
    <t>270 West Green Lake St.</t>
  </si>
  <si>
    <t>Louisville, KY 40207</t>
  </si>
  <si>
    <t>(748) 495-1748</t>
  </si>
  <si>
    <t>ilyaz@me.com</t>
  </si>
  <si>
    <t>C0017</t>
  </si>
  <si>
    <t>Samanta Manjón Godoy</t>
  </si>
  <si>
    <t>9481 S. Chestnut St.</t>
  </si>
  <si>
    <t>Morristown, NJ 07960</t>
  </si>
  <si>
    <t>(494) 813-5651</t>
  </si>
  <si>
    <t>njpayne@hotmail.com</t>
  </si>
  <si>
    <t>C0018</t>
  </si>
  <si>
    <t>Albano Teodosio Cañete Rosa</t>
  </si>
  <si>
    <t>7 N. Annadale Street</t>
  </si>
  <si>
    <t>Eugene, OR 97402</t>
  </si>
  <si>
    <t>(779) 217-3175</t>
  </si>
  <si>
    <t>ralamosm@gmail.com</t>
  </si>
  <si>
    <t>C0019</t>
  </si>
  <si>
    <t>Abel Villanueva</t>
  </si>
  <si>
    <t>88 Pheasant Rd.</t>
  </si>
  <si>
    <t>Bridgeton, NJ 08302</t>
  </si>
  <si>
    <t>(904) 204-2255</t>
  </si>
  <si>
    <t>bartak@sbcglobal.net</t>
  </si>
  <si>
    <t>C0020</t>
  </si>
  <si>
    <t>Bienvenida Pulido Cózar</t>
  </si>
  <si>
    <t>8 Galvin Street</t>
  </si>
  <si>
    <t>Seymour, IN 47274</t>
  </si>
  <si>
    <t>(932) 307-3409</t>
  </si>
  <si>
    <t>improv@me.com</t>
  </si>
  <si>
    <t>C0021</t>
  </si>
  <si>
    <t>Patricio Manzano Pomares</t>
  </si>
  <si>
    <t>9 Marconi Road</t>
  </si>
  <si>
    <t>Eastpointe, MI 48021</t>
  </si>
  <si>
    <t>(993) 960-7653</t>
  </si>
  <si>
    <t>arnold@live.com</t>
  </si>
  <si>
    <t>C0022</t>
  </si>
  <si>
    <t>Modesto de Casares</t>
  </si>
  <si>
    <t>8842 Old Van Dyke Ave.</t>
  </si>
  <si>
    <t>Nanuet, NY 10954</t>
  </si>
  <si>
    <t>(611) 927-0572</t>
  </si>
  <si>
    <t>ismail@comcast.net</t>
  </si>
  <si>
    <t>C0023</t>
  </si>
  <si>
    <t>Berto del Morales</t>
  </si>
  <si>
    <t>471 S. Cambridge Drive</t>
  </si>
  <si>
    <t>Fairborn, OH 45324</t>
  </si>
  <si>
    <t>(283) 384-7846</t>
  </si>
  <si>
    <t>wilsonpm@aol.com</t>
  </si>
  <si>
    <t>C0024</t>
  </si>
  <si>
    <t>Nuria Daniela Jáuregui Tejero</t>
  </si>
  <si>
    <t>9 Military Dr.</t>
  </si>
  <si>
    <t>Yuba City, CA 95993</t>
  </si>
  <si>
    <t>(677) 875-1069</t>
  </si>
  <si>
    <t>barjam@icloud.com</t>
  </si>
  <si>
    <t>C0025</t>
  </si>
  <si>
    <t>Anastasia Pedrero Solera</t>
  </si>
  <si>
    <t>8388 Pheasant Street</t>
  </si>
  <si>
    <t>Powder Springs, GA 30127</t>
  </si>
  <si>
    <t>(886) 929-9282</t>
  </si>
  <si>
    <t>michiel@msn.com</t>
  </si>
  <si>
    <t>C0026</t>
  </si>
  <si>
    <t>Purificación Salomé Ferrán Valero</t>
  </si>
  <si>
    <t>221 Dogwood Dr.</t>
  </si>
  <si>
    <t>El Paso, TX 79930</t>
  </si>
  <si>
    <t>(596) 660-5408</t>
  </si>
  <si>
    <t>gamma@hotmail.com</t>
  </si>
  <si>
    <t>C0027</t>
  </si>
  <si>
    <t>Melania Cobos Lozano</t>
  </si>
  <si>
    <t>911 Charles St.</t>
  </si>
  <si>
    <t>East Lansing, MI 48823</t>
  </si>
  <si>
    <t>(768) 242-5793</t>
  </si>
  <si>
    <t>dhrakar@live.com</t>
  </si>
  <si>
    <t>C0028</t>
  </si>
  <si>
    <t>Evangelina Font Lago</t>
  </si>
  <si>
    <t>176 Henry Smith Ave.</t>
  </si>
  <si>
    <t>Westland, MI 48185</t>
  </si>
  <si>
    <t>(483) 388-3044</t>
  </si>
  <si>
    <t>themer@icloud.com</t>
  </si>
  <si>
    <t>C0029</t>
  </si>
  <si>
    <t>Otilia Mercader Jimenez</t>
  </si>
  <si>
    <t>323 1st St.</t>
  </si>
  <si>
    <t>Salt Lake City, UT 84119</t>
  </si>
  <si>
    <t>(525) 814-4351</t>
  </si>
  <si>
    <t>leocharre@me.com</t>
  </si>
  <si>
    <t>C0030</t>
  </si>
  <si>
    <t>Nadia Reyes-Bosch</t>
  </si>
  <si>
    <t>8127 Pawnee Lane</t>
  </si>
  <si>
    <t>Pikesville, MD 21208</t>
  </si>
  <si>
    <t>(872) 458-4785</t>
  </si>
  <si>
    <t>kewley@icloud.com</t>
  </si>
  <si>
    <t>C0031</t>
  </si>
  <si>
    <t>Mireia Córdoba Pi</t>
  </si>
  <si>
    <t>7813 Helen Ave.</t>
  </si>
  <si>
    <t>West Springfield, MA 01089</t>
  </si>
  <si>
    <t>(600) 318-8808</t>
  </si>
  <si>
    <t>murdocj@mac.com</t>
  </si>
  <si>
    <t>C0032</t>
  </si>
  <si>
    <t>Melisa Rueda Rosado</t>
  </si>
  <si>
    <t>353 Canterbury Dr.</t>
  </si>
  <si>
    <t>Mahwah, NJ 07430</t>
  </si>
  <si>
    <t>(437) 406-2974</t>
  </si>
  <si>
    <t>webinc@msn.com</t>
  </si>
  <si>
    <t>C0033</t>
  </si>
  <si>
    <t>Trini Sanabria-Frías</t>
  </si>
  <si>
    <t>61 Addison Dr.</t>
  </si>
  <si>
    <t>Park Forest, IL 60466</t>
  </si>
  <si>
    <t>(615) 712-3381</t>
  </si>
  <si>
    <t>mrsam@yahoo.ca</t>
  </si>
  <si>
    <t>C0034</t>
  </si>
  <si>
    <t>Lucía Manola Briones Jove</t>
  </si>
  <si>
    <t>810 West Mill St.</t>
  </si>
  <si>
    <t>Westfield, MA 01085</t>
  </si>
  <si>
    <t>(651) 742-1141</t>
  </si>
  <si>
    <t>sassen@aol.com</t>
  </si>
  <si>
    <t>C0035</t>
  </si>
  <si>
    <t>Natalio Pereira Barrio</t>
  </si>
  <si>
    <t>51 Mayfair Court</t>
  </si>
  <si>
    <t>Dothan, AL 36301</t>
  </si>
  <si>
    <t>(517) 690-8580</t>
  </si>
  <si>
    <t>emmanuel@att.net</t>
  </si>
  <si>
    <t>C0036</t>
  </si>
  <si>
    <t>Nerea Alcalde Solé</t>
  </si>
  <si>
    <t>840 Oak Meadow Ave.</t>
  </si>
  <si>
    <t>Klamath Falls, OR 97603</t>
  </si>
  <si>
    <t>(616) 766-2111</t>
  </si>
  <si>
    <t>naoya@mac.com</t>
  </si>
  <si>
    <t>C0037</t>
  </si>
  <si>
    <t>Gracia Goicoechea Alba</t>
  </si>
  <si>
    <t>257 Pheasant Drive</t>
  </si>
  <si>
    <t>Hialeah, FL 33010</t>
  </si>
  <si>
    <t>(685) 726-6159</t>
  </si>
  <si>
    <t>slanglois@hotmail.com</t>
  </si>
  <si>
    <t>C0038</t>
  </si>
  <si>
    <t>Toño Hidalgo Blázquez</t>
  </si>
  <si>
    <t>30 N. Park Avenue</t>
  </si>
  <si>
    <t>Howard Beach, NY 11414</t>
  </si>
  <si>
    <t>(737) 772-3449</t>
  </si>
  <si>
    <t>improv@comcast.net</t>
  </si>
  <si>
    <t>C0039</t>
  </si>
  <si>
    <t>Cándida Sedano Jiménez</t>
  </si>
  <si>
    <t>850 School St.</t>
  </si>
  <si>
    <t>Wheaton, IL 60187</t>
  </si>
  <si>
    <t>(876) 612-6879</t>
  </si>
  <si>
    <t>noneme@me.com</t>
  </si>
  <si>
    <t>C0040</t>
  </si>
  <si>
    <t>Eutimio Barreda Cobos</t>
  </si>
  <si>
    <t>59 Atlantic Ave.</t>
  </si>
  <si>
    <t>Gallatin, TN 37066</t>
  </si>
  <si>
    <t>(669) 791-3350</t>
  </si>
  <si>
    <t>majordick@yahoo.com</t>
  </si>
  <si>
    <t>C0041</t>
  </si>
  <si>
    <t>Rosario Yuste Falcón</t>
  </si>
  <si>
    <t>74 Broadway</t>
  </si>
  <si>
    <t>MILTON KEYNES</t>
  </si>
  <si>
    <t>(642) 368-4225</t>
  </si>
  <si>
    <t>rgiersig@verizon.net</t>
  </si>
  <si>
    <t>C0042</t>
  </si>
  <si>
    <t>Encarnacion Español Ocaña</t>
  </si>
  <si>
    <t>MK9 3EN</t>
  </si>
  <si>
    <t>21 Mill Road</t>
  </si>
  <si>
    <t>(953) 901-9132</t>
  </si>
  <si>
    <t>smartfart@aol.com</t>
  </si>
  <si>
    <t>C0043</t>
  </si>
  <si>
    <t>Magdalena Vilaplana Esteve</t>
  </si>
  <si>
    <t>CREWE</t>
  </si>
  <si>
    <t>CW90 4ZA</t>
  </si>
  <si>
    <t>(869) 720-8135</t>
  </si>
  <si>
    <t>jmgomez@verizon.net</t>
  </si>
  <si>
    <t>C0044</t>
  </si>
  <si>
    <t>Adelardo Novoa</t>
  </si>
  <si>
    <t>674 High Street</t>
  </si>
  <si>
    <t>CANTERBURY</t>
  </si>
  <si>
    <t>(319) 633-9396</t>
  </si>
  <si>
    <t>msherr@yahoo.com</t>
  </si>
  <si>
    <t>C0045</t>
  </si>
  <si>
    <t>Adoración Rovira Zabala</t>
  </si>
  <si>
    <t>CT76 6OB</t>
  </si>
  <si>
    <t>10 Richmond Road</t>
  </si>
  <si>
    <t>(731) 945-6687</t>
  </si>
  <si>
    <t>keutzer@sbcglobal.net</t>
  </si>
  <si>
    <t>C0046</t>
  </si>
  <si>
    <t>Ovidio Lamas</t>
  </si>
  <si>
    <t>DUNDEE</t>
  </si>
  <si>
    <t>DD84 2WJ</t>
  </si>
  <si>
    <t>(435) 742-6743</t>
  </si>
  <si>
    <t>policies@sbcglobal.net</t>
  </si>
  <si>
    <t>C0047</t>
  </si>
  <si>
    <t>Reyes Julián Nogués</t>
  </si>
  <si>
    <t>35 The Crescent</t>
  </si>
  <si>
    <t>SOUTH EAST LONDON</t>
  </si>
  <si>
    <t>(684) 330-1830</t>
  </si>
  <si>
    <t>hwestiii@verizon.net</t>
  </si>
  <si>
    <t>C0048</t>
  </si>
  <si>
    <t>Adoración Jurado Clemente</t>
  </si>
  <si>
    <t>SE42 3UM</t>
  </si>
  <si>
    <t>44 School Lane</t>
  </si>
  <si>
    <t>(843) 248-6284</t>
  </si>
  <si>
    <t>hstiles@mac.com</t>
  </si>
  <si>
    <t>C0049</t>
  </si>
  <si>
    <t>Plácido Zabala Feijoo</t>
  </si>
  <si>
    <t>DONCASTER</t>
  </si>
  <si>
    <t>DN36 9AT</t>
  </si>
  <si>
    <t>(390) 565-9213</t>
  </si>
  <si>
    <t>xnormal@gmail.com</t>
  </si>
  <si>
    <t>C0050</t>
  </si>
  <si>
    <t>Abel Alex Cueto López</t>
  </si>
  <si>
    <t>94 The Avenue</t>
  </si>
  <si>
    <t>BRIGHTON</t>
  </si>
  <si>
    <t>(951) 953-8812</t>
  </si>
  <si>
    <t>jgmyers@icloud.com</t>
  </si>
  <si>
    <t>C0051</t>
  </si>
  <si>
    <t>Miguela Sanmiguel Paz</t>
  </si>
  <si>
    <t>BN0 6LJ</t>
  </si>
  <si>
    <t>290 Albert Road</t>
  </si>
  <si>
    <t>(516) 909-2316</t>
  </si>
  <si>
    <t>oechslin@aol.com</t>
  </si>
  <si>
    <t>C0052</t>
  </si>
  <si>
    <t>Narcisa Villaverde Montes</t>
  </si>
  <si>
    <t>STOCKPORT</t>
  </si>
  <si>
    <t>SK35 8CV</t>
  </si>
  <si>
    <t>(833) 629-5357</t>
  </si>
  <si>
    <t>juerd@outlook.com</t>
  </si>
  <si>
    <t>C0053</t>
  </si>
  <si>
    <t>Leonardo Aller Bermúdez</t>
  </si>
  <si>
    <t>96 The Green</t>
  </si>
  <si>
    <t>WATFORD</t>
  </si>
  <si>
    <t>(260) 680-9015</t>
  </si>
  <si>
    <t>skippy@icloud.com</t>
  </si>
  <si>
    <t>C0054</t>
  </si>
  <si>
    <t>Javiera Bartolomé Torrens</t>
  </si>
  <si>
    <t>WD65 4RB</t>
  </si>
  <si>
    <t>9950 Queen Street</t>
  </si>
  <si>
    <t>(724) 882-6713</t>
  </si>
  <si>
    <t>meinkej@hotmail.com</t>
  </si>
  <si>
    <t>C0055</t>
  </si>
  <si>
    <t>María Carmen de Fuster</t>
  </si>
  <si>
    <t>WAKEFIELD</t>
  </si>
  <si>
    <t>WF81 5TB</t>
  </si>
  <si>
    <t>(663) 750-6940</t>
  </si>
  <si>
    <t>staffelb@aol.com</t>
  </si>
  <si>
    <t>C0056</t>
  </si>
  <si>
    <t>Adán Fonseca Marin</t>
  </si>
  <si>
    <t>30 Main Road</t>
  </si>
  <si>
    <t>NORTH WEST LONDON</t>
  </si>
  <si>
    <t>(325) 631-2099</t>
  </si>
  <si>
    <t>heckerman@optonline.net</t>
  </si>
  <si>
    <t>C0057</t>
  </si>
  <si>
    <t>Adalberto de Fabra</t>
  </si>
  <si>
    <t>NW96 2RV</t>
  </si>
  <si>
    <t>9896 New Road</t>
  </si>
  <si>
    <t>(594) 787-2465</t>
  </si>
  <si>
    <t>rjones@verizon.net</t>
  </si>
  <si>
    <t>C0058</t>
  </si>
  <si>
    <t>Rosalinda Jaume Romero</t>
  </si>
  <si>
    <t>SHREWSBURY</t>
  </si>
  <si>
    <t>SY49 2YJ</t>
  </si>
  <si>
    <t>(720) 491-3517</t>
  </si>
  <si>
    <t>parrt@verizon.net</t>
  </si>
  <si>
    <t>C0059</t>
  </si>
  <si>
    <t>Abigaíl Enríquez Carreras</t>
  </si>
  <si>
    <t>26 North Road</t>
  </si>
  <si>
    <t>EAST CENTRAL LONDON</t>
  </si>
  <si>
    <t>(735) 587-8913</t>
  </si>
  <si>
    <t>hampton@icloud.com</t>
  </si>
  <si>
    <t>C0060</t>
  </si>
  <si>
    <t>África Morcillo</t>
  </si>
  <si>
    <t>EC18 9MF</t>
  </si>
  <si>
    <t>146 Church Lane</t>
  </si>
  <si>
    <t>(295) 530-5752</t>
  </si>
  <si>
    <t>claypool@comcast.net</t>
  </si>
  <si>
    <t>C0061</t>
  </si>
  <si>
    <t>Gilberto Cárdenas-Esparza</t>
  </si>
  <si>
    <t>LLANDRINDOD WELLS</t>
  </si>
  <si>
    <t>LD87 1KV</t>
  </si>
  <si>
    <t>(306) 906-7975</t>
  </si>
  <si>
    <t>wsnyder@live.com</t>
  </si>
  <si>
    <t>C0062</t>
  </si>
  <si>
    <t>Marisela Posada Jover</t>
  </si>
  <si>
    <t>70 Green Lane</t>
  </si>
  <si>
    <t>KILMARNOCK</t>
  </si>
  <si>
    <t>(452) 597-0784</t>
  </si>
  <si>
    <t>magusnet@aol.com</t>
  </si>
  <si>
    <t>C0063</t>
  </si>
  <si>
    <t>Begoña Claudia Coello Zabaleta</t>
  </si>
  <si>
    <t>KA97 3AD</t>
  </si>
  <si>
    <t>9645 Queensway</t>
  </si>
  <si>
    <t>(363) 441-6561</t>
  </si>
  <si>
    <t>danneng@optonline.net</t>
  </si>
  <si>
    <t>C0064</t>
  </si>
  <si>
    <t>Marcos Arregui Sainz</t>
  </si>
  <si>
    <t>ROCHESTER</t>
  </si>
  <si>
    <t>ME97 9GF</t>
  </si>
  <si>
    <t>(550) 890-6346</t>
  </si>
  <si>
    <t>smallpaul@aol.com</t>
  </si>
  <si>
    <t>C0065</t>
  </si>
  <si>
    <t>Venceslás Sastre Peñalver</t>
  </si>
  <si>
    <t>5 Kingsway</t>
  </si>
  <si>
    <t>WARRINGTON</t>
  </si>
  <si>
    <t>(906) 421-7305</t>
  </si>
  <si>
    <t>staikos@optonline.net</t>
  </si>
  <si>
    <t>C0066</t>
  </si>
  <si>
    <t>Febe Amaya</t>
  </si>
  <si>
    <t>WA48 9PQ</t>
  </si>
  <si>
    <t>512 Stanley Road</t>
  </si>
  <si>
    <t>(977) 707-4772</t>
  </si>
  <si>
    <t>bryam@outlook.com</t>
  </si>
  <si>
    <t>C0067</t>
  </si>
  <si>
    <t>Quirino Granados Verdugo</t>
  </si>
  <si>
    <t>BIRMINGHAM</t>
  </si>
  <si>
    <t>B2 0LA</t>
  </si>
  <si>
    <t>(871) 218-8630</t>
  </si>
  <si>
    <t>ccohen@optonline.net</t>
  </si>
  <si>
    <t>C0068</t>
  </si>
  <si>
    <t>Imelda de Perea</t>
  </si>
  <si>
    <t>3 Church Street</t>
  </si>
  <si>
    <t>CARLISLE</t>
  </si>
  <si>
    <t>(522) 326-9656</t>
  </si>
  <si>
    <t>geoffr@aol.com</t>
  </si>
  <si>
    <t>C0069</t>
  </si>
  <si>
    <t>Isidora de Crespi</t>
  </si>
  <si>
    <t>CA46 0YA</t>
  </si>
  <si>
    <t>12 George Street</t>
  </si>
  <si>
    <t>(924) 599-2856</t>
  </si>
  <si>
    <t>kludge@comcast.net</t>
  </si>
  <si>
    <t>C0070</t>
  </si>
  <si>
    <t>Balduino Martin Águila</t>
  </si>
  <si>
    <t>REDHILL</t>
  </si>
  <si>
    <t>RH45 1LV</t>
  </si>
  <si>
    <t>(998) 710-2563</t>
  </si>
  <si>
    <t>frikazoyd@att.net</t>
  </si>
  <si>
    <t>C0071</t>
  </si>
  <si>
    <t>Casandra Ramírez Canet</t>
  </si>
  <si>
    <t>2 Manchester Road</t>
  </si>
  <si>
    <t>SWANSEA</t>
  </si>
  <si>
    <t>(319) 810-1693</t>
  </si>
  <si>
    <t>singer@comcast.net</t>
  </si>
  <si>
    <t>C0072</t>
  </si>
  <si>
    <t>Eustaquio Vigil Gil</t>
  </si>
  <si>
    <t>SA65 3HD</t>
  </si>
  <si>
    <t>84 North Street</t>
  </si>
  <si>
    <t>(794) 504-1808</t>
  </si>
  <si>
    <t>rogerspl@aol.com</t>
  </si>
  <si>
    <t>C0073</t>
  </si>
  <si>
    <t>Elvira del Espinosa</t>
  </si>
  <si>
    <t>DUDLEY</t>
  </si>
  <si>
    <t>DY65 3GJ</t>
  </si>
  <si>
    <t>(493) 999-4390</t>
  </si>
  <si>
    <t>danzigism@yahoo.ca</t>
  </si>
  <si>
    <t>C0074</t>
  </si>
  <si>
    <t>Pía Huertas Manzanares</t>
  </si>
  <si>
    <t>9112 St. John’s Road</t>
  </si>
  <si>
    <t>WALSALL</t>
  </si>
  <si>
    <t>(804) 655-0207</t>
  </si>
  <si>
    <t>empathy@att.net</t>
  </si>
  <si>
    <t>C0075</t>
  </si>
  <si>
    <t>Alberto Salas Báez</t>
  </si>
  <si>
    <t>WS53 7IY</t>
  </si>
  <si>
    <t>19 Church Road</t>
  </si>
  <si>
    <t>(554) 800-9842</t>
  </si>
  <si>
    <t>jrifkin@mac.com</t>
  </si>
  <si>
    <t>C0076</t>
  </si>
  <si>
    <t>Sol Rosales Calvo</t>
  </si>
  <si>
    <t>SOUTH WEST LONDON</t>
  </si>
  <si>
    <t>SW65 0GH</t>
  </si>
  <si>
    <t>(548) 446-1387</t>
  </si>
  <si>
    <t>sagal@icloud.com</t>
  </si>
  <si>
    <t>C0077</t>
  </si>
  <si>
    <t>Guiomar Folch Sanjuan</t>
  </si>
  <si>
    <t>76 South Street</t>
  </si>
  <si>
    <t>NORWICH</t>
  </si>
  <si>
    <t>(517) 369-6486</t>
  </si>
  <si>
    <t>durist@sbcglobal.net</t>
  </si>
  <si>
    <t>C0078</t>
  </si>
  <si>
    <t>Nidia Pardo-Nuñez</t>
  </si>
  <si>
    <t>NR38 3VK</t>
  </si>
  <si>
    <t>73 Grove Road</t>
  </si>
  <si>
    <t>(893) 798-8990</t>
  </si>
  <si>
    <t>msloan@msn.com</t>
  </si>
  <si>
    <t>C0079</t>
  </si>
  <si>
    <t>Emperatriz Sabina Pastor Pedrero</t>
  </si>
  <si>
    <t>SHEFFIELD</t>
  </si>
  <si>
    <t>S39 0KU</t>
  </si>
  <si>
    <t>(504) 719-6268</t>
  </si>
  <si>
    <t>ilikered@mac.com</t>
  </si>
  <si>
    <t>C0080</t>
  </si>
  <si>
    <t>Ximena Jurado-Mata</t>
  </si>
  <si>
    <t>92 Park Avenue</t>
  </si>
  <si>
    <t>WOLVERHAMPTON</t>
  </si>
  <si>
    <t>(295) 508-7243</t>
  </si>
  <si>
    <t>tlinden@live.com</t>
  </si>
  <si>
    <t>C0081</t>
  </si>
  <si>
    <t>Eugenio Aranda Falcón</t>
  </si>
  <si>
    <t>WV82 8AJ</t>
  </si>
  <si>
    <t>53 King Street</t>
  </si>
  <si>
    <t>(940) 762-9096</t>
  </si>
  <si>
    <t>citizenl@yahoo.ca</t>
  </si>
  <si>
    <t>C0082</t>
  </si>
  <si>
    <t>Felicia del Palomo</t>
  </si>
  <si>
    <t>COVENTRY</t>
  </si>
  <si>
    <t>CV96 4TX</t>
  </si>
  <si>
    <t>(370) 597-5412</t>
  </si>
  <si>
    <t>pajas@yahoo.com</t>
  </si>
  <si>
    <t>C0083</t>
  </si>
  <si>
    <t>Abel Uribe Cerro</t>
  </si>
  <si>
    <t>58 Highfield Road</t>
  </si>
  <si>
    <t>BLACKBURN</t>
  </si>
  <si>
    <t>(996) 458-0103</t>
  </si>
  <si>
    <t>british@me.com</t>
  </si>
  <si>
    <t>C0084</t>
  </si>
  <si>
    <t>Andrés Felipe Prado-Infante</t>
  </si>
  <si>
    <t>BB91 5XM</t>
  </si>
  <si>
    <t>20 West Street</t>
  </si>
  <si>
    <t>(223) 934-8344</t>
  </si>
  <si>
    <t>chaffar@aol.com</t>
  </si>
  <si>
    <t>C0085</t>
  </si>
  <si>
    <t>Jordi de Perea</t>
  </si>
  <si>
    <t>OUTER HEBRIDES</t>
  </si>
  <si>
    <t>HS33 0PY</t>
  </si>
  <si>
    <t>(611) 728-9360</t>
  </si>
  <si>
    <t>parkes@hotmail.com</t>
  </si>
  <si>
    <t>C0086</t>
  </si>
  <si>
    <t>Ricarda Escrivá Cervera</t>
  </si>
  <si>
    <t>82 Windsor Road</t>
  </si>
  <si>
    <t>PERTH</t>
  </si>
  <si>
    <t>(446) 436-2416</t>
  </si>
  <si>
    <t>sjava@yahoo.ca</t>
  </si>
  <si>
    <t>C0087</t>
  </si>
  <si>
    <t>Socorro Morales Guerrero</t>
  </si>
  <si>
    <t>PH82 4OY</t>
  </si>
  <si>
    <t>75 Grange Road</t>
  </si>
  <si>
    <t>(205) 877-2303</t>
  </si>
  <si>
    <t>jipsen@outlook.com</t>
  </si>
  <si>
    <t>C0088</t>
  </si>
  <si>
    <t>Asunción Ágata Gutierrez Morera</t>
  </si>
  <si>
    <t>WESTERN CENTRAL LONDON</t>
  </si>
  <si>
    <t>WC52 6DL</t>
  </si>
  <si>
    <t>(442) 997-2681</t>
  </si>
  <si>
    <t>lahvak@optonline.net</t>
  </si>
  <si>
    <t>C0089</t>
  </si>
  <si>
    <t>Jesús Frías Ibáñez</t>
  </si>
  <si>
    <t>10 Kings Road</t>
  </si>
  <si>
    <t>WORCESTER</t>
  </si>
  <si>
    <t>(200) 695-5178</t>
  </si>
  <si>
    <t>mlewan@yahoo.com</t>
  </si>
  <si>
    <t>C0090</t>
  </si>
  <si>
    <t>Teodosio Niño</t>
  </si>
  <si>
    <t>WR45 4AU</t>
  </si>
  <si>
    <t>80 The Grove</t>
  </si>
  <si>
    <t>(892) 339-6497</t>
  </si>
  <si>
    <t>zwood@verizon.net</t>
  </si>
  <si>
    <t>C0091</t>
  </si>
  <si>
    <t>Susana Vizcaíno Nuñez</t>
  </si>
  <si>
    <t>MANCHESTER</t>
  </si>
  <si>
    <t>M78 7CQ</t>
  </si>
  <si>
    <t>(719) 593-5606</t>
  </si>
  <si>
    <t>kassiesa@hotmail.com</t>
  </si>
  <si>
    <t>C0092</t>
  </si>
  <si>
    <t>Abilio Cuéllar Rovira</t>
  </si>
  <si>
    <t>472 Mill Lane</t>
  </si>
  <si>
    <t>READING</t>
  </si>
  <si>
    <t>(719) 881-4363</t>
  </si>
  <si>
    <t>rnewman@hotmail.com</t>
  </si>
  <si>
    <t>C0093</t>
  </si>
  <si>
    <t>Adora Alberto Rebollo</t>
  </si>
  <si>
    <t>RG6 1SR</t>
  </si>
  <si>
    <t>55 Queens Road</t>
  </si>
  <si>
    <t>(346) 442-6581</t>
  </si>
  <si>
    <t>jaxweb@gmail.com</t>
  </si>
  <si>
    <t>C0094</t>
  </si>
  <si>
    <t>Primitivo Jaén Garcés</t>
  </si>
  <si>
    <t>TORQUAY</t>
  </si>
  <si>
    <t>TQ16 9DL</t>
  </si>
  <si>
    <t>(690) 340-6090</t>
  </si>
  <si>
    <t>eidac@aol.com</t>
  </si>
  <si>
    <t>C0095</t>
  </si>
  <si>
    <t>Delfina Donoso</t>
  </si>
  <si>
    <t>80 Chester Road</t>
  </si>
  <si>
    <t>HARROW</t>
  </si>
  <si>
    <t>(722) 742-7576</t>
  </si>
  <si>
    <t>lishoy@gmail.com</t>
  </si>
  <si>
    <t>C0096</t>
  </si>
  <si>
    <t>Julio Fuster Vigil</t>
  </si>
  <si>
    <t>HA62 8DU</t>
  </si>
  <si>
    <t>320 Victoria Road</t>
  </si>
  <si>
    <t>(449) 524-6231</t>
  </si>
  <si>
    <t>delpino@aol.com</t>
  </si>
  <si>
    <t>C0097</t>
  </si>
  <si>
    <t>Cintia Carballo-Bayona</t>
  </si>
  <si>
    <t>PAISLEY</t>
  </si>
  <si>
    <t>PA13 7KA</t>
  </si>
  <si>
    <t>(703) 723-3874</t>
  </si>
  <si>
    <t>catalog@att.net</t>
  </si>
  <si>
    <t>C0098</t>
  </si>
  <si>
    <t>Fortunata Pascual Ribas</t>
  </si>
  <si>
    <t>304 Springfield Road</t>
  </si>
  <si>
    <t>BRADFORD</t>
  </si>
  <si>
    <t>(435) 239-5138</t>
  </si>
  <si>
    <t>hoyer@hotmail.com</t>
  </si>
  <si>
    <t>C0099</t>
  </si>
  <si>
    <t>Lilia Figuerola Bauzà</t>
  </si>
  <si>
    <t>BD84 2HP</t>
  </si>
  <si>
    <t>51 Main Street</t>
  </si>
  <si>
    <t>(580) 240-1515</t>
  </si>
  <si>
    <t>esokullu@live.com</t>
  </si>
  <si>
    <t>C0100</t>
  </si>
  <si>
    <t>Pili Morell-Oliver</t>
  </si>
  <si>
    <t>CHESTER</t>
  </si>
  <si>
    <t>CH66 8CW</t>
  </si>
  <si>
    <t>(650) 385-0635</t>
  </si>
  <si>
    <t>heidrich@hotmail.com</t>
  </si>
  <si>
    <t>C0101</t>
  </si>
  <si>
    <t>Estrella Peñas Benito</t>
  </si>
  <si>
    <t>28 London Road</t>
  </si>
  <si>
    <t>HULL</t>
  </si>
  <si>
    <t>(243) 906-5992</t>
  </si>
  <si>
    <t>kohlis@live.com</t>
  </si>
  <si>
    <t>C0102</t>
  </si>
  <si>
    <t>María Ángeles Roura Carnero</t>
  </si>
  <si>
    <t>HU74 4ER</t>
  </si>
  <si>
    <t>44 Park Road</t>
  </si>
  <si>
    <t>(209) 297-3958</t>
  </si>
  <si>
    <t>corrada@att.net</t>
  </si>
  <si>
    <t>C0103</t>
  </si>
  <si>
    <t>Violeta Violeta Lamas Sarabia</t>
  </si>
  <si>
    <t>GUILDFORD</t>
  </si>
  <si>
    <t>GU45 5EZ</t>
  </si>
  <si>
    <t>(966) 338-9815</t>
  </si>
  <si>
    <t>chaffar@sbcglobal.net</t>
  </si>
  <si>
    <t>C0104</t>
  </si>
  <si>
    <t>Ruben Marquez Belda</t>
  </si>
  <si>
    <t>597 New Street</t>
  </si>
  <si>
    <t>DURHAM</t>
  </si>
  <si>
    <t>(638) 925-5729</t>
  </si>
  <si>
    <t>josem@hotmail.com</t>
  </si>
  <si>
    <t>C0105</t>
  </si>
  <si>
    <t>Manola Criado</t>
  </si>
  <si>
    <t>DH29 2KQ</t>
  </si>
  <si>
    <t>69 The Drive</t>
  </si>
  <si>
    <t>(681) 914-0083</t>
  </si>
  <si>
    <t>jsmith@mac.com</t>
  </si>
  <si>
    <t>C0106</t>
  </si>
  <si>
    <t>Rita Asensio Salgado</t>
  </si>
  <si>
    <t>DUMFRIES</t>
  </si>
  <si>
    <t>DG73 0TH</t>
  </si>
  <si>
    <t>(354) 628-2294</t>
  </si>
  <si>
    <t>hmbrand@hotmail.com</t>
  </si>
  <si>
    <t>C0107</t>
  </si>
  <si>
    <t>Daniela Cabello Vallés</t>
  </si>
  <si>
    <t>41 Victoria Street</t>
  </si>
  <si>
    <t>LEICESTER</t>
  </si>
  <si>
    <t>(888) 289-8104</t>
  </si>
  <si>
    <t>corrada@gmail.com</t>
  </si>
  <si>
    <t>C0108</t>
  </si>
  <si>
    <t>Nicolasa Aurelia Lasa Puig</t>
  </si>
  <si>
    <t>LE96 5AZ</t>
  </si>
  <si>
    <t>45 Station Road</t>
  </si>
  <si>
    <t>(393) 626-4948</t>
  </si>
  <si>
    <t>bryam@icloud.com</t>
  </si>
  <si>
    <t>C0109</t>
  </si>
  <si>
    <t>Jonatan Trillo Larrañaga</t>
  </si>
  <si>
    <t>CHELMSFORD</t>
  </si>
  <si>
    <t>CM60 7BF</t>
  </si>
  <si>
    <t>(887) 262-0302</t>
  </si>
  <si>
    <t>gmcgath@hotmail.com</t>
  </si>
  <si>
    <t>C0110</t>
  </si>
  <si>
    <t>Jose Francisco Alvarado Pombo</t>
  </si>
  <si>
    <t>48 Manor Road</t>
  </si>
  <si>
    <t>LIVERPOOL</t>
  </si>
  <si>
    <t>(462) 566-8729</t>
  </si>
  <si>
    <t>fukuchi@yahoo.com</t>
  </si>
  <si>
    <t>C0111</t>
  </si>
  <si>
    <t>Samanta Casandra Borrell Maestre</t>
  </si>
  <si>
    <t>L52 8LM</t>
  </si>
  <si>
    <t>217 Park Lane</t>
  </si>
  <si>
    <t>(661) 929-3370</t>
  </si>
  <si>
    <t>jshearer@mac.com</t>
  </si>
  <si>
    <t>C0112</t>
  </si>
  <si>
    <t>Emilia María Luisa Lluch Vives</t>
  </si>
  <si>
    <t>SUNDERLAND</t>
  </si>
  <si>
    <t>SR69 9RW</t>
  </si>
  <si>
    <t>(859) 862-4703</t>
  </si>
  <si>
    <t>phish@live.com</t>
  </si>
  <si>
    <t>C0113</t>
  </si>
  <si>
    <t>Esteban Guillén Mena</t>
  </si>
  <si>
    <t>33 York Road</t>
  </si>
  <si>
    <t>HUDDERSFIELD</t>
  </si>
  <si>
    <t>(415) 981-0636</t>
  </si>
  <si>
    <t>manuals@aol.com</t>
  </si>
  <si>
    <t>C0114</t>
  </si>
  <si>
    <t>Josué Rocha Juan</t>
  </si>
  <si>
    <t>HD3 3KR</t>
  </si>
  <si>
    <t>44 Alexander Road</t>
  </si>
  <si>
    <t>(563) 420-8118</t>
  </si>
  <si>
    <t>meder@outlook.com</t>
  </si>
  <si>
    <t>C0115</t>
  </si>
  <si>
    <t>Encarnación Alemán-Prats</t>
  </si>
  <si>
    <t>YORK</t>
  </si>
  <si>
    <t>YO59 8CP</t>
  </si>
  <si>
    <t>(462) 763-2017</t>
  </si>
  <si>
    <t>gomor@icloud.com</t>
  </si>
  <si>
    <t>C0116</t>
  </si>
  <si>
    <t>Celia Verdú</t>
  </si>
  <si>
    <t>24 Rock Maple Lane</t>
  </si>
  <si>
    <t>Santa Ana, CA 92707</t>
  </si>
  <si>
    <t>(701) 212-8508</t>
  </si>
  <si>
    <t>hauma@gmail.com</t>
  </si>
  <si>
    <t>C0117</t>
  </si>
  <si>
    <t>Espiridión del Viñas</t>
  </si>
  <si>
    <t>376 South Griffin Street</t>
  </si>
  <si>
    <t>Lancaster, CA 93535</t>
  </si>
  <si>
    <t>(714) 278-0966</t>
  </si>
  <si>
    <t>godeke@yahoo.ca</t>
  </si>
  <si>
    <t>C0118</t>
  </si>
  <si>
    <t>Melania Lobato-Mena</t>
  </si>
  <si>
    <t>7172 Halifax St.</t>
  </si>
  <si>
    <t>Huntington Beach, CA 92647</t>
  </si>
  <si>
    <t>(523) 677-7026</t>
  </si>
  <si>
    <t>jdhedden@mac.com</t>
  </si>
  <si>
    <t>C0119</t>
  </si>
  <si>
    <t>Sosimo Roig Bayo</t>
  </si>
  <si>
    <t>9530 Homewood St.</t>
  </si>
  <si>
    <t>Palmdale, CA 93550</t>
  </si>
  <si>
    <t>(615) 522-3616</t>
  </si>
  <si>
    <t>tbeck@gmail.com</t>
  </si>
  <si>
    <t>C0120</t>
  </si>
  <si>
    <t>Abel Carrasco-Belda</t>
  </si>
  <si>
    <t>3 Sunset Street</t>
  </si>
  <si>
    <t>Watsonville, CA 95076</t>
  </si>
  <si>
    <t>(497) 402-3196</t>
  </si>
  <si>
    <t>bryanw@outlook.com</t>
  </si>
  <si>
    <t>C0121</t>
  </si>
  <si>
    <t>Alicia Celestina Ibáñez Santana</t>
  </si>
  <si>
    <t>611 Linda Rd.</t>
  </si>
  <si>
    <t>El Cajon, CA 92021</t>
  </si>
  <si>
    <t>(624) 360-5381</t>
  </si>
  <si>
    <t>draper@me.com</t>
  </si>
  <si>
    <t>C0122</t>
  </si>
  <si>
    <t>Conrado Torre</t>
  </si>
  <si>
    <t>7088 South Woodland St.</t>
  </si>
  <si>
    <t>South San Francisco, CA 94080</t>
  </si>
  <si>
    <t>(417) 559-0451</t>
  </si>
  <si>
    <t>anicolao@optonline.net</t>
  </si>
  <si>
    <t>C0123</t>
  </si>
  <si>
    <t>Leoncio Pombo Nadal</t>
  </si>
  <si>
    <t>78 Hamilton St.</t>
  </si>
  <si>
    <t>Los Angeles, CA 90022</t>
  </si>
  <si>
    <t>(650) 230-0049</t>
  </si>
  <si>
    <t>mxiao@comcast.net</t>
  </si>
  <si>
    <t>C0124</t>
  </si>
  <si>
    <t>Marcia Tomas</t>
  </si>
  <si>
    <t>7576 S. Prince Ave.</t>
  </si>
  <si>
    <t>Compton, CA 90221</t>
  </si>
  <si>
    <t>(863) 238-8964</t>
  </si>
  <si>
    <t>mleary@yahoo.ca</t>
  </si>
  <si>
    <t>C0125</t>
  </si>
  <si>
    <t>Aurelia del Ocaña</t>
  </si>
  <si>
    <t>8678 Glen Eagles Rd.</t>
  </si>
  <si>
    <t>Los Angeles, CA 90042</t>
  </si>
  <si>
    <t>(340) 944-7011</t>
  </si>
  <si>
    <t>louise@comcast.net</t>
  </si>
  <si>
    <t>C0126</t>
  </si>
  <si>
    <t>Porfirio Cases Fabregat</t>
  </si>
  <si>
    <t>7487 College Rd.</t>
  </si>
  <si>
    <t>Carmichael, CA 95608</t>
  </si>
  <si>
    <t>(388) 447-0349</t>
  </si>
  <si>
    <t>solomon@gmail.com</t>
  </si>
  <si>
    <t>C0127</t>
  </si>
  <si>
    <t>Maristela Mármol</t>
  </si>
  <si>
    <t>8 Westminster Ave.</t>
  </si>
  <si>
    <t>Anaheim, CA 92805</t>
  </si>
  <si>
    <t>(562) 364-8454</t>
  </si>
  <si>
    <t>dgatwood@live.com</t>
  </si>
  <si>
    <t>C0128</t>
  </si>
  <si>
    <t>Leticia Azorin Cortina</t>
  </si>
  <si>
    <t>92 Brickell Drive</t>
  </si>
  <si>
    <t>Fountain Valley, CA 92708</t>
  </si>
  <si>
    <t>(332) 349-8146</t>
  </si>
  <si>
    <t>augusto@outlook.com</t>
  </si>
  <si>
    <t>C0129</t>
  </si>
  <si>
    <t>Régulo de Sacristán</t>
  </si>
  <si>
    <t>503 Delaware Street</t>
  </si>
  <si>
    <t>San Jose, CA 95123</t>
  </si>
  <si>
    <t>(286) 718-4373</t>
  </si>
  <si>
    <t>rafasgj@msn.com</t>
  </si>
  <si>
    <t>C0130</t>
  </si>
  <si>
    <t>Esteban del Múñiz</t>
  </si>
  <si>
    <t>34 Anderson Ave.</t>
  </si>
  <si>
    <t>Los Angeles, CA 90037</t>
  </si>
  <si>
    <t>(397) 693-0198</t>
  </si>
  <si>
    <t>solomon@yahoo.ca</t>
  </si>
  <si>
    <t>C0131</t>
  </si>
  <si>
    <t>Trinidad Exposito Abella</t>
  </si>
  <si>
    <t>8388 Water St.</t>
  </si>
  <si>
    <t>Bakersfield, CA 93309</t>
  </si>
  <si>
    <t>(874) 698-3563</t>
  </si>
  <si>
    <t>kildjean@aol.com</t>
  </si>
  <si>
    <t>C0132</t>
  </si>
  <si>
    <t>Pánfilo Ortiz Pardo</t>
  </si>
  <si>
    <t>373 Brickyard Avenue</t>
  </si>
  <si>
    <t>Tustin, CA 92780</t>
  </si>
  <si>
    <t>(633) 872-7554</t>
  </si>
  <si>
    <t>andersbr@att.net</t>
  </si>
  <si>
    <t>C0133</t>
  </si>
  <si>
    <t>Glauco Llorens Álvarez</t>
  </si>
  <si>
    <t>834 Yukon Lane</t>
  </si>
  <si>
    <t>Cupertino, CA 95014</t>
  </si>
  <si>
    <t>(799) 691-3758</t>
  </si>
  <si>
    <t>moonlapse@sbcglobal.net</t>
  </si>
  <si>
    <t>C0134</t>
  </si>
  <si>
    <t>Susanita Zaragoza Higueras</t>
  </si>
  <si>
    <t>8324 South St.</t>
  </si>
  <si>
    <t>Fremont, CA 94538</t>
  </si>
  <si>
    <t>(625) 240-8609</t>
  </si>
  <si>
    <t>schwaang@mac.com</t>
  </si>
  <si>
    <t>C0135</t>
  </si>
  <si>
    <t>Ileana Asunción Beltran Samper</t>
  </si>
  <si>
    <t>8 White Ave.</t>
  </si>
  <si>
    <t>Bakersfield, CA 93307</t>
  </si>
  <si>
    <t>(677) 815-4415</t>
  </si>
  <si>
    <t>geekoid@yahoo.ca</t>
  </si>
  <si>
    <t>C0136</t>
  </si>
  <si>
    <t>Chus Merino Casas</t>
  </si>
  <si>
    <t>907 Inverness Dr.</t>
  </si>
  <si>
    <t>North Hills, CA 91343</t>
  </si>
  <si>
    <t>(368) 227-4620</t>
  </si>
  <si>
    <t>plover@aol.com</t>
  </si>
  <si>
    <t>C0137</t>
  </si>
  <si>
    <t>Carmina Cervera</t>
  </si>
  <si>
    <t>12 Cypress Avenue</t>
  </si>
  <si>
    <t>San Pablo, CA 94806</t>
  </si>
  <si>
    <t>(930) 420-2085</t>
  </si>
  <si>
    <t>jhardin@hotmail.com</t>
  </si>
  <si>
    <t>C0138</t>
  </si>
  <si>
    <t>Curro Coello Izaguirre</t>
  </si>
  <si>
    <t>7313 Bohemia Street</t>
  </si>
  <si>
    <t>San Diego, CA 92117</t>
  </si>
  <si>
    <t>(883) 797-3367</t>
  </si>
  <si>
    <t>jdray@hotmail.com</t>
  </si>
  <si>
    <t>C0139</t>
  </si>
  <si>
    <t>Mario Roldán</t>
  </si>
  <si>
    <t>8518 Hilldale Lane</t>
  </si>
  <si>
    <t>Pomona, CA 91766</t>
  </si>
  <si>
    <t>(616) 916-4936</t>
  </si>
  <si>
    <t>euice@outlook.com</t>
  </si>
  <si>
    <t>C0140</t>
  </si>
  <si>
    <t>Jesusa Fuentes</t>
  </si>
  <si>
    <t>190 Sierra St.</t>
  </si>
  <si>
    <t>Paramount, CA 90723</t>
  </si>
  <si>
    <t>(406) 344-3322</t>
  </si>
  <si>
    <t>camenisch@yahoo.ca</t>
  </si>
  <si>
    <t>C0141</t>
  </si>
  <si>
    <t>Óscar Dominguez Mayol</t>
  </si>
  <si>
    <t>95 Studebaker Street</t>
  </si>
  <si>
    <t>Ontario, CA 91761</t>
  </si>
  <si>
    <t>(323) 771-5959</t>
  </si>
  <si>
    <t>lamky@hotmail.com</t>
  </si>
  <si>
    <t>C0142</t>
  </si>
  <si>
    <t>Angelino Contreras Pi</t>
  </si>
  <si>
    <t>1 Highland Ave.</t>
  </si>
  <si>
    <t>San Jose, CA 95122</t>
  </si>
  <si>
    <t>(898) 732-6602</t>
  </si>
  <si>
    <t>alastair@att.net</t>
  </si>
  <si>
    <t>C0143</t>
  </si>
  <si>
    <t>Rafa Camino Perelló</t>
  </si>
  <si>
    <t>5 West Henry Smith Street</t>
  </si>
  <si>
    <t>San Francisco, CA 94110</t>
  </si>
  <si>
    <t>(551) 404-1539</t>
  </si>
  <si>
    <t>british@comcast.net</t>
  </si>
  <si>
    <t>C0144</t>
  </si>
  <si>
    <t>Aura Vidal-Roma</t>
  </si>
  <si>
    <t>940 E. Primrose Ave.</t>
  </si>
  <si>
    <t>Laguna Niguel, CA 92677</t>
  </si>
  <si>
    <t>(488) 349-4237</t>
  </si>
  <si>
    <t>rddesign@icloud.com</t>
  </si>
  <si>
    <t>C0145</t>
  </si>
  <si>
    <t>Lara Jordana Ballester Lladó</t>
  </si>
  <si>
    <t>8304 Van Dyke Avenue</t>
  </si>
  <si>
    <t>Santa Ana, CA 92703</t>
  </si>
  <si>
    <t>(296) 444-2189</t>
  </si>
  <si>
    <t>heckerman@me.com</t>
  </si>
  <si>
    <t>C0146</t>
  </si>
  <si>
    <t>Aníbal Castelló Sarabia</t>
  </si>
  <si>
    <t>86 Bradford Rd.</t>
  </si>
  <si>
    <t>San Francisco, CA 94112</t>
  </si>
  <si>
    <t>(988) 961-4637</t>
  </si>
  <si>
    <t>rasca@verizon.net</t>
  </si>
  <si>
    <t>C0147</t>
  </si>
  <si>
    <t>Adriana Higueras Ribes</t>
  </si>
  <si>
    <t>3 Jefferson Dr.</t>
  </si>
  <si>
    <t>Van Nuys, CA 91406</t>
  </si>
  <si>
    <t>(486) 549-5020</t>
  </si>
  <si>
    <t>willg@sbcglobal.net</t>
  </si>
  <si>
    <t>C0148</t>
  </si>
  <si>
    <t>Ernesto Cuadrado Mesa</t>
  </si>
  <si>
    <t>79 Rocky River Ave.</t>
  </si>
  <si>
    <t>Reseda, CA 91335</t>
  </si>
  <si>
    <t>(868) 892-8961</t>
  </si>
  <si>
    <t>bryam@verizon.net</t>
  </si>
  <si>
    <t>C0149</t>
  </si>
  <si>
    <t>Estela Ponce-Losada</t>
  </si>
  <si>
    <t>38 Johnson St.</t>
  </si>
  <si>
    <t>Fremont, CA 94536</t>
  </si>
  <si>
    <t>(473) 875-0023</t>
  </si>
  <si>
    <t>padme@hotmail.com</t>
  </si>
  <si>
    <t>C0150</t>
  </si>
  <si>
    <t>Luis Miguel del Tapia</t>
  </si>
  <si>
    <t>7652 West Wakehurst Drive</t>
  </si>
  <si>
    <t>Garden Grove, CA 92840</t>
  </si>
  <si>
    <t>(700) 958-6128</t>
  </si>
  <si>
    <t>damian@hotmail.com</t>
  </si>
  <si>
    <t>C0151</t>
  </si>
  <si>
    <t>Elpidio Agullo Tejero</t>
  </si>
  <si>
    <t>7075 Lake Forest Rd.</t>
  </si>
  <si>
    <t>Bellflower, CA 90706</t>
  </si>
  <si>
    <t>(696) 679-7702</t>
  </si>
  <si>
    <t>tangsh@me.com</t>
  </si>
  <si>
    <t>C0152</t>
  </si>
  <si>
    <t>María Carmen Ródenas Acosta</t>
  </si>
  <si>
    <t>619 Pleasant St.</t>
  </si>
  <si>
    <t>Lynwood, CA 90262</t>
  </si>
  <si>
    <t>(250) 248-4300</t>
  </si>
  <si>
    <t>yamla@outlook.com</t>
  </si>
  <si>
    <t>C0153</t>
  </si>
  <si>
    <t>Lucas Vendrell Valverde</t>
  </si>
  <si>
    <t>8026 New Saddle St.</t>
  </si>
  <si>
    <t>San Diego, CA 92105</t>
  </si>
  <si>
    <t>(834) 508-9490</t>
  </si>
  <si>
    <t>rbarreira@optonline.net</t>
  </si>
  <si>
    <t>C0154</t>
  </si>
  <si>
    <t>Gerardo Tomé Real</t>
  </si>
  <si>
    <t>275 Rock Maple Avenue</t>
  </si>
  <si>
    <t>Huntington Beach, CA 92646</t>
  </si>
  <si>
    <t>(503) 283-5457</t>
  </si>
  <si>
    <t>jrifkin@verizon.net</t>
  </si>
  <si>
    <t>C0155</t>
  </si>
  <si>
    <t>Elías Sacristán Vázquez</t>
  </si>
  <si>
    <t>404 Railroad St.</t>
  </si>
  <si>
    <t>Oxnard, CA 93030</t>
  </si>
  <si>
    <t>(461) 976-3596</t>
  </si>
  <si>
    <t>dmouse@sbcglobal.net</t>
  </si>
  <si>
    <t>C0156</t>
  </si>
  <si>
    <t>Victoriano Valencia Coloma</t>
  </si>
  <si>
    <t>441 Court Dr.</t>
  </si>
  <si>
    <t>Sunnyvale, CA 94087</t>
  </si>
  <si>
    <t>(398) 272-4739</t>
  </si>
  <si>
    <t>tubajon@comcast.net</t>
  </si>
  <si>
    <t>C0157</t>
  </si>
  <si>
    <t>Vera Ribes-Cases</t>
  </si>
  <si>
    <t>9 South Theatre Ave.</t>
  </si>
  <si>
    <t>Sacramento, CA 95828</t>
  </si>
  <si>
    <t>(279) 586-2100</t>
  </si>
  <si>
    <t>tjensen@att.net</t>
  </si>
  <si>
    <t>C0158</t>
  </si>
  <si>
    <t>Ligia Moya Calleja</t>
  </si>
  <si>
    <t>674 Van Dyke Drive</t>
  </si>
  <si>
    <t>Pittsburg, CA 94565</t>
  </si>
  <si>
    <t>(988) 433-7129</t>
  </si>
  <si>
    <t>tristan@live.com</t>
  </si>
  <si>
    <t>C0159</t>
  </si>
  <si>
    <t>Evangelina Barragán Castell</t>
  </si>
  <si>
    <t>234 W. Riverside St.</t>
  </si>
  <si>
    <t>South Gate, CA 90280</t>
  </si>
  <si>
    <t>(357) 352-8928</t>
  </si>
  <si>
    <t>crandall@sbcglobal.net</t>
  </si>
  <si>
    <t>C0160</t>
  </si>
  <si>
    <t>Florencia Domitila Castell Mendizábal</t>
  </si>
  <si>
    <t>916 E. Cactus Ave.</t>
  </si>
  <si>
    <t>Indio, CA 92201</t>
  </si>
  <si>
    <t>(240) 852-8613</t>
  </si>
  <si>
    <t>bester@outlook.com</t>
  </si>
  <si>
    <t>C0161</t>
  </si>
  <si>
    <t>Javier Arellano-Murcia</t>
  </si>
  <si>
    <t>218 Lake St.</t>
  </si>
  <si>
    <t>Vallejo, CA 94591</t>
  </si>
  <si>
    <t>(403) 855-3645</t>
  </si>
  <si>
    <t>world@yahoo.ca</t>
  </si>
  <si>
    <t>C0162</t>
  </si>
  <si>
    <t>Aurelia Sans Oller</t>
  </si>
  <si>
    <t>861 Oakland St.</t>
  </si>
  <si>
    <t>Chula Vista, CA 91911</t>
  </si>
  <si>
    <t>(593) 356-1838</t>
  </si>
  <si>
    <t>staikos@sbcglobal.net</t>
  </si>
  <si>
    <t>C0163</t>
  </si>
  <si>
    <t>Teodora Jerez Tormo</t>
  </si>
  <si>
    <t>8356 Bank Ave.</t>
  </si>
  <si>
    <t>Chula Vista, CA 91910</t>
  </si>
  <si>
    <t>(433) 213-5953</t>
  </si>
  <si>
    <t>C0164</t>
  </si>
  <si>
    <t>Cornelio Noguera Lluch</t>
  </si>
  <si>
    <t>9754 Brookside Street</t>
  </si>
  <si>
    <t>Sacramento, CA 95823</t>
  </si>
  <si>
    <t>(669) 290-1610</t>
  </si>
  <si>
    <t>paulv@sbcglobal.net</t>
  </si>
  <si>
    <t>C0165</t>
  </si>
  <si>
    <t>Carla Serna Montalbán</t>
  </si>
  <si>
    <t>8718 Chapel Drive</t>
  </si>
  <si>
    <t>Rosemead, CA 91770</t>
  </si>
  <si>
    <t>(472) 605-7532</t>
  </si>
  <si>
    <t>jgmyers@sbcglobal.net</t>
  </si>
  <si>
    <t>C0166</t>
  </si>
  <si>
    <t>Macarena Valeria Feliu Mayol</t>
  </si>
  <si>
    <t>9029 Bellevue Drive</t>
  </si>
  <si>
    <t>San Bernardino, CA 92404</t>
  </si>
  <si>
    <t>(287) 839-5879</t>
  </si>
  <si>
    <t>josephw@hotmail.com</t>
  </si>
  <si>
    <t>C0167</t>
  </si>
  <si>
    <t>Jacinta Paz Domingo Rivas</t>
  </si>
  <si>
    <t>277 Halifax Dr.</t>
  </si>
  <si>
    <t>Colton, CA 92324</t>
  </si>
  <si>
    <t>(622) 903-6022</t>
  </si>
  <si>
    <t>sopwith@att.net</t>
  </si>
  <si>
    <t>C0168</t>
  </si>
  <si>
    <t>Victor Manuel Tejedor Nevado</t>
  </si>
  <si>
    <t>7889 Chapel Street</t>
  </si>
  <si>
    <t>Ontario, CA 91762</t>
  </si>
  <si>
    <t>(797) 421-8320</t>
  </si>
  <si>
    <t>sharon@att.net</t>
  </si>
  <si>
    <t>C0169</t>
  </si>
  <si>
    <t>Blanca Molina Francisco</t>
  </si>
  <si>
    <t>487 East 6th St.</t>
  </si>
  <si>
    <t>Canyon Country, CA 91351</t>
  </si>
  <si>
    <t>(478) 658-1534</t>
  </si>
  <si>
    <t>ntegrity@msn.com</t>
  </si>
  <si>
    <t>C0170</t>
  </si>
  <si>
    <t>Jonatan Fonseca Quevedo</t>
  </si>
  <si>
    <t>51 Coffee St.</t>
  </si>
  <si>
    <t>Oxnard, CA 93033</t>
  </si>
  <si>
    <t>(671) 615-3675</t>
  </si>
  <si>
    <t>dgriffith@aol.com</t>
  </si>
  <si>
    <t>C0171</t>
  </si>
  <si>
    <t>Humberto Vila</t>
  </si>
  <si>
    <t>9586 Sycamore Dr.</t>
  </si>
  <si>
    <t>Livermore, CA 94550</t>
  </si>
  <si>
    <t>(713) 795-1422</t>
  </si>
  <si>
    <t>qrczak@verizon.net</t>
  </si>
  <si>
    <t>C0172</t>
  </si>
  <si>
    <t>Isaura Fuentes Guardiola</t>
  </si>
  <si>
    <t>801 SW. Prairie St.</t>
  </si>
  <si>
    <t>Cerritos, CA 90703</t>
  </si>
  <si>
    <t>(201) 705-6808</t>
  </si>
  <si>
    <t>bruck@live.com</t>
  </si>
  <si>
    <t>C0173</t>
  </si>
  <si>
    <t>Rufina Vargas Andres</t>
  </si>
  <si>
    <t>830 High Point Court</t>
  </si>
  <si>
    <t>Hayward, CA 94544</t>
  </si>
  <si>
    <t>(322) 327-1204</t>
  </si>
  <si>
    <t>C0174</t>
  </si>
  <si>
    <t>Reinaldo Barral Lago</t>
  </si>
  <si>
    <t>791 Silver Spear Street</t>
  </si>
  <si>
    <t>National City, CA 91950</t>
  </si>
  <si>
    <t>(644) 469-5761</t>
  </si>
  <si>
    <t>mjewell@comcast.net</t>
  </si>
  <si>
    <t>C0175</t>
  </si>
  <si>
    <t>Jose Ignacio Vila-Rios</t>
  </si>
  <si>
    <t>8882 Old Smith Ave.</t>
  </si>
  <si>
    <t>Oceanside, CA 92056</t>
  </si>
  <si>
    <t>(674) 440-0703</t>
  </si>
  <si>
    <t>daveed@optonline.net</t>
  </si>
  <si>
    <t>C0176</t>
  </si>
  <si>
    <t>Roberto Cánovas Segura</t>
  </si>
  <si>
    <t>970 Myers Street</t>
  </si>
  <si>
    <t>Oceanside, CA 92054</t>
  </si>
  <si>
    <t>(640) 568-2625</t>
  </si>
  <si>
    <t>quantaman@hotmail.com</t>
  </si>
  <si>
    <t>C0177</t>
  </si>
  <si>
    <t>Rómulo Ortega-Giner</t>
  </si>
  <si>
    <t>948 Railroad Avenue</t>
  </si>
  <si>
    <t>Unit 2</t>
  </si>
  <si>
    <t>(409) 889-4836</t>
  </si>
  <si>
    <t>szymansk@gmail.com</t>
  </si>
  <si>
    <t>C0178</t>
  </si>
  <si>
    <t>Gastón Leon Solana</t>
  </si>
  <si>
    <t>San Diego, CA 92114</t>
  </si>
  <si>
    <t>7069 Andover St.</t>
  </si>
  <si>
    <t>(359) 210-8594</t>
  </si>
  <si>
    <t>jemarch@yahoo.ca</t>
  </si>
  <si>
    <t>C0179</t>
  </si>
  <si>
    <t>Emilia Jove-Ropero</t>
  </si>
  <si>
    <t>Pico Rivera, CA 90660</t>
  </si>
  <si>
    <t>81 Morris Drive</t>
  </si>
  <si>
    <t>(474) 494-9364</t>
  </si>
  <si>
    <t>rhialto@msn.com</t>
  </si>
  <si>
    <t>C0180</t>
  </si>
  <si>
    <t>Calixto Pinedo Torrijos</t>
  </si>
  <si>
    <t>Los Angeles, CA 90001</t>
  </si>
  <si>
    <t>8785 Marconi Road</t>
  </si>
  <si>
    <t>(681) 820-0747</t>
  </si>
  <si>
    <t>flakeg@comcast.net</t>
  </si>
  <si>
    <t>C0181</t>
  </si>
  <si>
    <t>Ciro Ledesma Bru</t>
  </si>
  <si>
    <t>Modesto, CA 95350</t>
  </si>
  <si>
    <t>632 Manor Ave.</t>
  </si>
  <si>
    <t>(921) 657-7404</t>
  </si>
  <si>
    <t>rnewman@optonline.net</t>
  </si>
  <si>
    <t>C0182</t>
  </si>
  <si>
    <t>Dora del Segarra</t>
  </si>
  <si>
    <t>Simi Valley, CA 93065</t>
  </si>
  <si>
    <t>51 College Street</t>
  </si>
  <si>
    <t>(451) 889-2527</t>
  </si>
  <si>
    <t>jshearer@yahoo.ca</t>
  </si>
  <si>
    <t>C0183</t>
  </si>
  <si>
    <t>Juan Bautista de Salazar</t>
  </si>
  <si>
    <t>Los Angeles, CA 90004</t>
  </si>
  <si>
    <t>198 Ramblewood Drive</t>
  </si>
  <si>
    <t>(487) 654-5535</t>
  </si>
  <si>
    <t>tubesteak@msn.com</t>
  </si>
  <si>
    <t>C0184</t>
  </si>
  <si>
    <t>Narciso del Anaya</t>
  </si>
  <si>
    <t>Folsom, CA 95630</t>
  </si>
  <si>
    <t>13 E. Walnut St.</t>
  </si>
  <si>
    <t>(243) 692-9341</t>
  </si>
  <si>
    <t>jsnover@gmail.com</t>
  </si>
  <si>
    <t>C0185</t>
  </si>
  <si>
    <t>Martirio Reina Malo Alonso</t>
  </si>
  <si>
    <t>Tulare, CA 93274</t>
  </si>
  <si>
    <t>7792 Anderson Lane</t>
  </si>
  <si>
    <t>(726) 607-0923</t>
  </si>
  <si>
    <t>chrwin@live.com</t>
  </si>
  <si>
    <t>C0186</t>
  </si>
  <si>
    <t>Maximiliano Maestre Mendizábal</t>
  </si>
  <si>
    <t>San Francisco, CA 94109</t>
  </si>
  <si>
    <t>7728 Mayfield Drive</t>
  </si>
  <si>
    <t>(861) 258-0892</t>
  </si>
  <si>
    <t>jadavis@msn.com</t>
  </si>
  <si>
    <t>C0187</t>
  </si>
  <si>
    <t>Noa Dominguez-Llorente</t>
  </si>
  <si>
    <t>Tracy, CA 95376</t>
  </si>
  <si>
    <t>8704 Thatcher St.</t>
  </si>
  <si>
    <t>(514) 904-4726</t>
  </si>
  <si>
    <t>stevelim@gmail.com</t>
  </si>
  <si>
    <t>C0188</t>
  </si>
  <si>
    <t>Miguel Mur Cruz</t>
  </si>
  <si>
    <t>Los Angeles, CA 90066</t>
  </si>
  <si>
    <t>9160 Mammoth Ave.</t>
  </si>
  <si>
    <t>(829) 721-4200</t>
  </si>
  <si>
    <t>zavadsky@verizon.net</t>
  </si>
  <si>
    <t>C0189</t>
  </si>
  <si>
    <t>Gala Gimenez-Lasa</t>
  </si>
  <si>
    <t>Riverside, CA 92509</t>
  </si>
  <si>
    <t>8652 Arlington Drive</t>
  </si>
  <si>
    <t>(983) 385-7043</t>
  </si>
  <si>
    <t>mobileip@comcast.net</t>
  </si>
  <si>
    <t>C0190</t>
  </si>
  <si>
    <t>Saturnino Palacios Lamas</t>
  </si>
  <si>
    <t>Los Angeles, CA 90026</t>
  </si>
  <si>
    <t>9048 Birchwood Avenue</t>
  </si>
  <si>
    <t>(223) 360-1632</t>
  </si>
  <si>
    <t>lauronen@icloud.com</t>
  </si>
  <si>
    <t>C0191</t>
  </si>
  <si>
    <t>Ariel Castellanos Bauzà</t>
  </si>
  <si>
    <t>Fairfield, CA 94533</t>
  </si>
  <si>
    <t>35 Charles St.</t>
  </si>
  <si>
    <t>(412) 836-0738</t>
  </si>
  <si>
    <t>matty@att.net</t>
  </si>
  <si>
    <t>C0192</t>
  </si>
  <si>
    <t>Trinidad Salas Gimenez</t>
  </si>
  <si>
    <t>Sylmar, CA 91342</t>
  </si>
  <si>
    <t>634 Theatre Street</t>
  </si>
  <si>
    <t>(238) 664-3657</t>
  </si>
  <si>
    <t>simone@mac.com</t>
  </si>
  <si>
    <t>C0193</t>
  </si>
  <si>
    <t>Adalberto del Seco</t>
  </si>
  <si>
    <t>Daly City, CA 94015</t>
  </si>
  <si>
    <t>436 Ketch Harbour Street</t>
  </si>
  <si>
    <t>(759) 680-2696</t>
  </si>
  <si>
    <t>claesjac@verizon.net</t>
  </si>
  <si>
    <t>C0194</t>
  </si>
  <si>
    <t>Eustaquio Palacios Francisco</t>
  </si>
  <si>
    <t>Van Nuys, CA 91405</t>
  </si>
  <si>
    <t>19 Strawberry Street</t>
  </si>
  <si>
    <t>(395) 780-5461</t>
  </si>
  <si>
    <t>goldberg@yahoo.com</t>
  </si>
  <si>
    <t>C0195</t>
  </si>
  <si>
    <t>Susana Castro Ruiz</t>
  </si>
  <si>
    <t>Victorville, CA 92392</t>
  </si>
  <si>
    <t>48 Fairfield Lane</t>
  </si>
  <si>
    <t>(372) 818-3567</t>
  </si>
  <si>
    <t>lahvak@aol.com</t>
  </si>
  <si>
    <t>C0196</t>
  </si>
  <si>
    <t>Emelina Melisa Palau Seco</t>
  </si>
  <si>
    <t>San Pedro, CA 90731</t>
  </si>
  <si>
    <t>9814 Primrose Street</t>
  </si>
  <si>
    <t>(935) 960-4873</t>
  </si>
  <si>
    <t>jipsen@sbcglobal.net</t>
  </si>
  <si>
    <t>C0197</t>
  </si>
  <si>
    <t>Sandalio Baeza Grande</t>
  </si>
  <si>
    <t>San Diego, CA 92115</t>
  </si>
  <si>
    <t>8053 Jennings St.</t>
  </si>
  <si>
    <t>(971) 288-1186</t>
  </si>
  <si>
    <t>elmer@mac.com</t>
  </si>
  <si>
    <t>C0198</t>
  </si>
  <si>
    <t>Gregorio Guerrero Palomino</t>
  </si>
  <si>
    <t>Rancho Cucamonga, CA 91730</t>
  </si>
  <si>
    <t>82 Bear Hill Ave.</t>
  </si>
  <si>
    <t>(994) 447-4889</t>
  </si>
  <si>
    <t>sisyphus@icloud.com</t>
  </si>
  <si>
    <t>C0199</t>
  </si>
  <si>
    <t>Socorro de Higueras</t>
  </si>
  <si>
    <t>Union City, CA 94587</t>
  </si>
  <si>
    <t>9428 3rd Ave.</t>
  </si>
  <si>
    <t>(232) 476-5035</t>
  </si>
  <si>
    <t>stefano@verizon.net</t>
  </si>
  <si>
    <t>C0200</t>
  </si>
  <si>
    <t>Otilia Viana Torres</t>
  </si>
  <si>
    <t>Montebello, CA 90640</t>
  </si>
  <si>
    <t>83 Front Ave.</t>
  </si>
  <si>
    <t>(288) 574-6749</t>
  </si>
  <si>
    <t>muzzy@aol.com</t>
  </si>
  <si>
    <t>C0201</t>
  </si>
  <si>
    <t>Luís Guzman Alsina</t>
  </si>
  <si>
    <t>San Francisco, CA 94122</t>
  </si>
  <si>
    <t>71 Wakehurst Drive</t>
  </si>
  <si>
    <t>(969) 763-9226</t>
  </si>
  <si>
    <t>bmidd@att.net</t>
  </si>
  <si>
    <t>C0202</t>
  </si>
  <si>
    <t>Julie Rosa Lumbreras</t>
  </si>
  <si>
    <t>Costa Mesa, CA 92627</t>
  </si>
  <si>
    <t>715 Redwood Dr.</t>
  </si>
  <si>
    <t>(732) 708-8561</t>
  </si>
  <si>
    <t>dhrakar@outlook.com</t>
  </si>
  <si>
    <t>C0203</t>
  </si>
  <si>
    <t>Samu Paulino Fabra Galvez</t>
  </si>
  <si>
    <t>Long Beach, CA 90813</t>
  </si>
  <si>
    <t>316 Ohio St.</t>
  </si>
  <si>
    <t>(314) 254-1244</t>
  </si>
  <si>
    <t>openldap@mac.com</t>
  </si>
  <si>
    <t>C0204</t>
  </si>
  <si>
    <t>Vicente Egea Sanchez</t>
  </si>
  <si>
    <t>Anaheim, CA 92801</t>
  </si>
  <si>
    <t>9185 Mechanic St.</t>
  </si>
  <si>
    <t>(460) 682-5923</t>
  </si>
  <si>
    <t>dmath@live.com</t>
  </si>
  <si>
    <t>C0205</t>
  </si>
  <si>
    <t>Juan Carlos del Cordero</t>
  </si>
  <si>
    <t>Alameda, CA 94501</t>
  </si>
  <si>
    <t>7371 Wrangler Street</t>
  </si>
  <si>
    <t>(200) 565-5639</t>
  </si>
  <si>
    <t>dobey@msn.com</t>
  </si>
  <si>
    <t>C0206</t>
  </si>
  <si>
    <t>Carla Blanes España</t>
  </si>
  <si>
    <t>Oakland, CA 94601</t>
  </si>
  <si>
    <t>72 St Paul Ave.</t>
  </si>
  <si>
    <t>(357) 769-3070</t>
  </si>
  <si>
    <t>rbarreira@icloud.com</t>
  </si>
  <si>
    <t>C0207</t>
  </si>
  <si>
    <t>Toribio Herranz Jurado</t>
  </si>
  <si>
    <t>Long Beach, CA 90805</t>
  </si>
  <si>
    <t>67 William Drive</t>
  </si>
  <si>
    <t>(587) 626-3175</t>
  </si>
  <si>
    <t>gilmoure@live.com</t>
  </si>
  <si>
    <t>C0208</t>
  </si>
  <si>
    <t>América Rosell Ferrándiz</t>
  </si>
  <si>
    <t>Merced, CA 95340</t>
  </si>
  <si>
    <t>7732 Cobblestone Lane</t>
  </si>
  <si>
    <t>(465) 293-1802</t>
  </si>
  <si>
    <t>grady@verizon.net</t>
  </si>
  <si>
    <t>C0209</t>
  </si>
  <si>
    <t>Inés Calderon Suarez</t>
  </si>
  <si>
    <t>Huntington Park, CA 90255</t>
  </si>
  <si>
    <t>78 Summer Street</t>
  </si>
  <si>
    <t>(709) 815-7677</t>
  </si>
  <si>
    <t>sekiya@gmail.com</t>
  </si>
  <si>
    <t>C0210</t>
  </si>
  <si>
    <t>Trinidad Leiva Ribera</t>
  </si>
  <si>
    <t>San Jose, CA 95111</t>
  </si>
  <si>
    <t>9268 NE. Lookout Drive</t>
  </si>
  <si>
    <t>(605) 810-1781</t>
  </si>
  <si>
    <t>dogdude@yahoo.com</t>
  </si>
  <si>
    <t>C0211</t>
  </si>
  <si>
    <t>Luisa Saldaña Piñeiro</t>
  </si>
  <si>
    <t>Santa Ana, CA 92704</t>
  </si>
  <si>
    <t>9551 Talbot Ave.</t>
  </si>
  <si>
    <t>(256) 681-2246</t>
  </si>
  <si>
    <t>sfoskett@att.net</t>
  </si>
  <si>
    <t>C0212</t>
  </si>
  <si>
    <t>Yago Diez Meléndez</t>
  </si>
  <si>
    <t>Spring Valley, CA 91977</t>
  </si>
  <si>
    <t>82 Edgewood Ave.</t>
  </si>
  <si>
    <t>(304) 471-5232</t>
  </si>
  <si>
    <t>C0213</t>
  </si>
  <si>
    <t>Alberto Rius Rius</t>
  </si>
  <si>
    <t>Salinas, CA 93905</t>
  </si>
  <si>
    <t>63 East Penn St.</t>
  </si>
  <si>
    <t>(411) 283-4519</t>
  </si>
  <si>
    <t>singer@mac.com</t>
  </si>
  <si>
    <t>C0214</t>
  </si>
  <si>
    <t>Beatriz Jimenez Antón</t>
  </si>
  <si>
    <t>La Habra, CA 90631</t>
  </si>
  <si>
    <t>1 Spruce Street</t>
  </si>
  <si>
    <t>(442) 496-8157</t>
  </si>
  <si>
    <t>pereinar@mac.com</t>
  </si>
  <si>
    <t>C0215</t>
  </si>
  <si>
    <t>Adolfo Gaya Canales</t>
  </si>
  <si>
    <t>Fontana, CA 92336</t>
  </si>
  <si>
    <t>78 Devon St.</t>
  </si>
  <si>
    <t>(205) 909-7964</t>
  </si>
  <si>
    <t>jfreedma@comcast.net</t>
  </si>
  <si>
    <t>C0216</t>
  </si>
  <si>
    <t>Teófilo de Nuñez</t>
  </si>
  <si>
    <t>Georgetown, ON L7G 9Y7</t>
  </si>
  <si>
    <t>425 Cherry Hill Court</t>
  </si>
  <si>
    <t>(730) 534-7609</t>
  </si>
  <si>
    <t>hampton@outlook.com</t>
  </si>
  <si>
    <t>C0217</t>
  </si>
  <si>
    <t>Bruno Cabezas Cordero</t>
  </si>
  <si>
    <t>Donnacona, QC G3M 1C3</t>
  </si>
  <si>
    <t>900 Charles Lane</t>
  </si>
  <si>
    <t>(770) 286-4391</t>
  </si>
  <si>
    <t>attwood@yahoo.com</t>
  </si>
  <si>
    <t>C0218</t>
  </si>
  <si>
    <t>Pepe Juanito Adán Anaya</t>
  </si>
  <si>
    <t>Manotick, ON K4M 6S8</t>
  </si>
  <si>
    <t>316 East Oak Meadow Court</t>
  </si>
  <si>
    <t>(732) 906-0070</t>
  </si>
  <si>
    <t>howler@mac.com</t>
  </si>
  <si>
    <t>C0219</t>
  </si>
  <si>
    <t>Isabela Solé Nuñez</t>
  </si>
  <si>
    <t>Essex, ON N0R 2G6</t>
  </si>
  <si>
    <t>407 Lafayette Court</t>
  </si>
  <si>
    <t>(943) 428-2313</t>
  </si>
  <si>
    <t>quantaman@icloud.com</t>
  </si>
  <si>
    <t>C0220</t>
  </si>
  <si>
    <t>Amaya Izquierdo Gonzalo</t>
  </si>
  <si>
    <t>Lockport, MB R1B 5H9</t>
  </si>
  <si>
    <t>17 Euclid Rd.</t>
  </si>
  <si>
    <t>(785) 951-2152</t>
  </si>
  <si>
    <t>tellis@gmail.com</t>
  </si>
  <si>
    <t>C0221</t>
  </si>
  <si>
    <t>Gervasio del Galán</t>
  </si>
  <si>
    <t>Bonnyville, AB T9N 2P9</t>
  </si>
  <si>
    <t>821 Surrey St.</t>
  </si>
  <si>
    <t>(406) 847-9870</t>
  </si>
  <si>
    <t>jguyer@verizon.net</t>
  </si>
  <si>
    <t>C0222</t>
  </si>
  <si>
    <t>Isaac Pujol-Yáñez</t>
  </si>
  <si>
    <t>Petit-Rocher, NB E8J 4K5</t>
  </si>
  <si>
    <t>714 Depot St.</t>
  </si>
  <si>
    <t>(965) 911-5076</t>
  </si>
  <si>
    <t>adhere@icloud.com</t>
  </si>
  <si>
    <t>C0223</t>
  </si>
  <si>
    <t>Valerio Valentín Céspedes</t>
  </si>
  <si>
    <t>Farnham, QC J2N 4J1</t>
  </si>
  <si>
    <t>82 Clark Ave.</t>
  </si>
  <si>
    <t>(599) 327-2008</t>
  </si>
  <si>
    <t>jaarnial@verizon.net</t>
  </si>
  <si>
    <t>C0224</t>
  </si>
  <si>
    <t>Cleto Benito Mendizábal</t>
  </si>
  <si>
    <t>Winnipeg, MB R2C 4A3</t>
  </si>
  <si>
    <t>9949 Dogwood Ave.</t>
  </si>
  <si>
    <t>(656) 470-6146</t>
  </si>
  <si>
    <t>plover@live.com</t>
  </si>
  <si>
    <t>C0225</t>
  </si>
  <si>
    <t>Erasmo Cabeza Martinez</t>
  </si>
  <si>
    <t>Saint-Raymond, QC G3L 7P7</t>
  </si>
  <si>
    <t>9 Kingston Lane</t>
  </si>
  <si>
    <t>(327) 329-5055</t>
  </si>
  <si>
    <t>wortmanj@verizon.net</t>
  </si>
  <si>
    <t>C0226</t>
  </si>
  <si>
    <t>Quirino Rosario Vázquez Carvajal</t>
  </si>
  <si>
    <t>St. George, NB E5C 6A9</t>
  </si>
  <si>
    <t>652 Old Tower Lane</t>
  </si>
  <si>
    <t>(208) 903-9126</t>
  </si>
  <si>
    <t>violinhi@aol.com</t>
  </si>
  <si>
    <t>C0227</t>
  </si>
  <si>
    <t>Marcos Alcántara Codina</t>
  </si>
  <si>
    <t>Port Moody, BC V3H 3N3</t>
  </si>
  <si>
    <t>1 Trusel Lane</t>
  </si>
  <si>
    <t>(440) 419-1193</t>
  </si>
  <si>
    <t>uncle@sbcglobal.net</t>
  </si>
  <si>
    <t>C0228</t>
  </si>
  <si>
    <t>Paloma Abascal Lledó</t>
  </si>
  <si>
    <t>Delhi, ON N4B 2V1</t>
  </si>
  <si>
    <t>81 Canterbury Street</t>
  </si>
  <si>
    <t>(357) 843-1297</t>
  </si>
  <si>
    <t>krueger@icloud.com</t>
  </si>
  <si>
    <t>C0229</t>
  </si>
  <si>
    <t>Ana Sofía Nadal-Campo</t>
  </si>
  <si>
    <t>Oromocto, NB E2V 6A5</t>
  </si>
  <si>
    <t>1 Westminster Street</t>
  </si>
  <si>
    <t>(726) 820-4884</t>
  </si>
  <si>
    <t>daveewart@optonline.net</t>
  </si>
  <si>
    <t>C0230</t>
  </si>
  <si>
    <t>Estela Cases Peral</t>
  </si>
  <si>
    <t>Belledune, NB E8G 4R8</t>
  </si>
  <si>
    <t>83 Beaver Ridge Ave.</t>
  </si>
  <si>
    <t>(741) 507-6188</t>
  </si>
  <si>
    <t>firstpr@aol.com</t>
  </si>
  <si>
    <t>C0231</t>
  </si>
  <si>
    <t>Borja Díez-Zorrilla</t>
  </si>
  <si>
    <t>Bouctouche, NB E4S 8M3</t>
  </si>
  <si>
    <t>170 Devonshire St.</t>
  </si>
  <si>
    <t>(847) 529-3256</t>
  </si>
  <si>
    <t>trieuvan@sbcglobal.net</t>
  </si>
  <si>
    <t>C0232</t>
  </si>
  <si>
    <t>Eva María de Bertrán</t>
  </si>
  <si>
    <t>Caledon, ON L7C 9T6</t>
  </si>
  <si>
    <t>7489 Central Drive</t>
  </si>
  <si>
    <t>(622) 751-8803</t>
  </si>
  <si>
    <t>tbusch@gmail.com</t>
  </si>
  <si>
    <t>C0233</t>
  </si>
  <si>
    <t>Elena del Tomé</t>
  </si>
  <si>
    <t>Buena Vista, SK S2V 1L1</t>
  </si>
  <si>
    <t>72 Wild Rose Circle</t>
  </si>
  <si>
    <t>(681) 720-0173</t>
  </si>
  <si>
    <t>yfreund@me.com</t>
  </si>
  <si>
    <t>C0234</t>
  </si>
  <si>
    <t>Iván de Manzanares</t>
  </si>
  <si>
    <t>Digby Neck, NS B0V 8H6</t>
  </si>
  <si>
    <t>9562 South Forest Drive</t>
  </si>
  <si>
    <t>(947) 794-9523</t>
  </si>
  <si>
    <t>jfmulder@mac.com</t>
  </si>
  <si>
    <t>C0235</t>
  </si>
  <si>
    <t>Adelina Roma Feijoo</t>
  </si>
  <si>
    <t>Outaouais-Sud, QC J0X 9K0</t>
  </si>
  <si>
    <t>94 Tallwood Avenue</t>
  </si>
  <si>
    <t>(697) 343-2772</t>
  </si>
  <si>
    <t>parrt@mac.com</t>
  </si>
  <si>
    <t>C0236</t>
  </si>
  <si>
    <t>Joel Estévez</t>
  </si>
  <si>
    <t>Wetaskiwin, AB T9A 7X8</t>
  </si>
  <si>
    <t>381 Clay Rd.</t>
  </si>
  <si>
    <t>(864) 686-9890</t>
  </si>
  <si>
    <t>wiseb@aol.com</t>
  </si>
  <si>
    <t>C0237</t>
  </si>
  <si>
    <t>Úrsula Anabel Expósito Vazquez</t>
  </si>
  <si>
    <t>Steinbach, MB R5G 1B0</t>
  </si>
  <si>
    <t>22 Fieldstone Dr.</t>
  </si>
  <si>
    <t>(259) 588-3616</t>
  </si>
  <si>
    <t>barnett@outlook.com</t>
  </si>
  <si>
    <t>C0238</t>
  </si>
  <si>
    <t>Manuelita Gilabert Manjón</t>
  </si>
  <si>
    <t>La Sarre, QC J9Z 2V9</t>
  </si>
  <si>
    <t>988 Bohemia Dr.</t>
  </si>
  <si>
    <t>(711) 535-5569</t>
  </si>
  <si>
    <t>barlow@yahoo.com</t>
  </si>
  <si>
    <t>C0239</t>
  </si>
  <si>
    <t>Amparo Galván Polo</t>
  </si>
  <si>
    <t>Apohaqui, NB E5P 9G5</t>
  </si>
  <si>
    <t>7582 Lyme Ave.</t>
  </si>
  <si>
    <t>(390) 414-6347</t>
  </si>
  <si>
    <t>telbij@hotmail.com</t>
  </si>
  <si>
    <t>C0240</t>
  </si>
  <si>
    <t>Amparo del Ayuso</t>
  </si>
  <si>
    <t>Lloydminster, SK S9V 5V1</t>
  </si>
  <si>
    <t>226 Taylor Rd.</t>
  </si>
  <si>
    <t>(622) 524-5931</t>
  </si>
  <si>
    <t>dalamb@msn.com</t>
  </si>
  <si>
    <t>C0241</t>
  </si>
  <si>
    <t>Angélica del Ortuño</t>
  </si>
  <si>
    <t>Highlands, BC V9B 9L3</t>
  </si>
  <si>
    <t>62 E. Foxrun Drive</t>
  </si>
  <si>
    <t>(832) 663-7857</t>
  </si>
  <si>
    <t>psichel@live.com</t>
  </si>
  <si>
    <t>C0242</t>
  </si>
  <si>
    <t>Amalia Itziar Sebastián Revilla</t>
  </si>
  <si>
    <t>Saint-Hippolyte, QC J8A 8X2</t>
  </si>
  <si>
    <t>18 Theatre Rd.</t>
  </si>
  <si>
    <t>(774) 962-9792</t>
  </si>
  <si>
    <t>cameron@mac.com</t>
  </si>
  <si>
    <t>C0243</t>
  </si>
  <si>
    <t>América Morán Peñalver</t>
  </si>
  <si>
    <t>Chestermere, AB T1X 8K6</t>
  </si>
  <si>
    <t>562 Hilldale Lane</t>
  </si>
  <si>
    <t>(456) 478-8124</t>
  </si>
  <si>
    <t>klaudon@icloud.com</t>
  </si>
  <si>
    <t>C0244</t>
  </si>
  <si>
    <t>Elisa de Chaparro</t>
  </si>
  <si>
    <t>Leduc, AB T9E 6E1</t>
  </si>
  <si>
    <t>235 Bowman Street</t>
  </si>
  <si>
    <t>(689) 369-1765</t>
  </si>
  <si>
    <t>gavinls@msn.com</t>
  </si>
  <si>
    <t>C0245</t>
  </si>
  <si>
    <t>Nieves Lladó</t>
  </si>
  <si>
    <t>Vancouver, BC V5K 7G2</t>
  </si>
  <si>
    <t>2 Beechwood Street</t>
  </si>
  <si>
    <t>(462) 469-0733</t>
  </si>
  <si>
    <t>arathi@comcast.net</t>
  </si>
  <si>
    <t>C0246</t>
  </si>
  <si>
    <t>Juan Antonio Benet</t>
  </si>
  <si>
    <t>Esquimalt, BC V9A 7T3</t>
  </si>
  <si>
    <t>877 Coffee Ave.</t>
  </si>
  <si>
    <t>(296) 380-9560</t>
  </si>
  <si>
    <t>parkes@icloud.com</t>
  </si>
  <si>
    <t>C0247</t>
  </si>
  <si>
    <t>Gustavo Barberá Frías</t>
  </si>
  <si>
    <t>Coldbrook, NS B4R 8S2</t>
  </si>
  <si>
    <t>759 Mayfair Court</t>
  </si>
  <si>
    <t>(770) 446-1820</t>
  </si>
  <si>
    <t>cyrus@aol.com</t>
  </si>
  <si>
    <t>C0248</t>
  </si>
  <si>
    <t>Eliana Pacheco Ponce</t>
  </si>
  <si>
    <t>Windsor, ON N8P 8C9</t>
  </si>
  <si>
    <t>8921 West Oak Meadow Road</t>
  </si>
  <si>
    <t>(752) 764-6341</t>
  </si>
  <si>
    <t>isotopian@hotmail.com</t>
  </si>
  <si>
    <t>C0249</t>
  </si>
  <si>
    <t>Dalila Pino Verdú</t>
  </si>
  <si>
    <t>Kanata, ON K2K 4A8</t>
  </si>
  <si>
    <t>24 Edgemont St.</t>
  </si>
  <si>
    <t>(420) 583-7227</t>
  </si>
  <si>
    <t>marnanel@icloud.com</t>
  </si>
  <si>
    <t>C0250</t>
  </si>
  <si>
    <t>Marciano Díaz</t>
  </si>
  <si>
    <t>McAdam, NB E6J 7T4</t>
  </si>
  <si>
    <t>524 Dunbar Drive</t>
  </si>
  <si>
    <t>(844) 867-2783</t>
  </si>
  <si>
    <t>nwiger@verizon.net</t>
  </si>
  <si>
    <t>C0251</t>
  </si>
  <si>
    <t>Timoteo Pinilla Calderón</t>
  </si>
  <si>
    <t>Hanover, ON N4N 0G1</t>
  </si>
  <si>
    <t>4 Maple Street</t>
  </si>
  <si>
    <t>(844) 548-7367</t>
  </si>
  <si>
    <t>elmer@comcast.net</t>
  </si>
  <si>
    <t>C0252</t>
  </si>
  <si>
    <t>Malena Roma Barrena</t>
  </si>
  <si>
    <t>Ottawa, ON K1G 0J7</t>
  </si>
  <si>
    <t>7963 Third St.</t>
  </si>
  <si>
    <t>(653) 247-2528</t>
  </si>
  <si>
    <t>natepuri@gmail.com</t>
  </si>
  <si>
    <t>C0253</t>
  </si>
  <si>
    <t>Silvia León Duque</t>
  </si>
  <si>
    <t>Mississauga, ON L4T 3V7</t>
  </si>
  <si>
    <t>617 Liberty Dr.</t>
  </si>
  <si>
    <t>(323) 918-8630</t>
  </si>
  <si>
    <t>tmaek@gmail.com</t>
  </si>
  <si>
    <t>C0254</t>
  </si>
  <si>
    <t>Ema del Garrido</t>
  </si>
  <si>
    <t>Wallaceburg, ON N8A 3M8</t>
  </si>
  <si>
    <t>72 Circle St.</t>
  </si>
  <si>
    <t>(951) 814-0240</t>
  </si>
  <si>
    <t>manuals@yahoo.ca</t>
  </si>
  <si>
    <t>C0255</t>
  </si>
  <si>
    <t>Eva González Cano</t>
  </si>
  <si>
    <t>Windsor, LB A2B 0T8</t>
  </si>
  <si>
    <t>616 Lyme Ave.</t>
  </si>
  <si>
    <t>(286) 747-9510</t>
  </si>
  <si>
    <t>neonatus@live.com</t>
  </si>
  <si>
    <t>C0256</t>
  </si>
  <si>
    <t>Eutropio Sedano Cabanillas</t>
  </si>
  <si>
    <t>Cowansville, QC J2K 8Y0</t>
  </si>
  <si>
    <t>901 Fairway Street</t>
  </si>
  <si>
    <t>(780) 915-5789</t>
  </si>
  <si>
    <t>crusader@verizon.net</t>
  </si>
  <si>
    <t>C0257</t>
  </si>
  <si>
    <t>Dafne Cerdán Pujol</t>
  </si>
  <si>
    <t>Duvernay-Est, QC H7A 4A9</t>
  </si>
  <si>
    <t>80 Gulf Drive</t>
  </si>
  <si>
    <t>(611) 316-6464</t>
  </si>
  <si>
    <t>dogdude@mac.com</t>
  </si>
  <si>
    <t>C0258</t>
  </si>
  <si>
    <t>Óscar de Mascaró</t>
  </si>
  <si>
    <t>Pitt Meadows, BC V3Y 0T2</t>
  </si>
  <si>
    <t>9599 East Water Ave.</t>
  </si>
  <si>
    <t>(347) 423-7150</t>
  </si>
  <si>
    <t>mastinfo@outlook.com</t>
  </si>
  <si>
    <t>C0259</t>
  </si>
  <si>
    <t>Catalina Peralta Patiño</t>
  </si>
  <si>
    <t>Amqui, QC G5J 8E3</t>
  </si>
  <si>
    <t>8850 Pulaski Dr.</t>
  </si>
  <si>
    <t>(690) 391-9308</t>
  </si>
  <si>
    <t>munge@verizon.net</t>
  </si>
  <si>
    <t>C0260</t>
  </si>
  <si>
    <t>Bárbara Elorza Jordá</t>
  </si>
  <si>
    <t>Enfield, NS B2T 5S6</t>
  </si>
  <si>
    <t>703 Bay Ave.</t>
  </si>
  <si>
    <t>(300) 748-5245</t>
  </si>
  <si>
    <t>milton@att.net</t>
  </si>
  <si>
    <t>C0261</t>
  </si>
  <si>
    <t>Loreto Burgos</t>
  </si>
  <si>
    <t>St. Martins, NB E5R 1J6</t>
  </si>
  <si>
    <t>31 Temple Ave.</t>
  </si>
  <si>
    <t>(399) 450-6042</t>
  </si>
  <si>
    <t>redingtn@hotmail.com</t>
  </si>
  <si>
    <t>C0262</t>
  </si>
  <si>
    <t>Estela Marquez Arce</t>
  </si>
  <si>
    <t>Stouffville, ON L4A 6L1</t>
  </si>
  <si>
    <t>7058 Country Club Ave.</t>
  </si>
  <si>
    <t>(941) 250-4612</t>
  </si>
  <si>
    <t>fviegas@sbcglobal.net</t>
  </si>
  <si>
    <t>C0263</t>
  </si>
  <si>
    <t>Paloma Segarra Menéndez</t>
  </si>
  <si>
    <t>Kings County, NS B0P 9R3</t>
  </si>
  <si>
    <t>91 Pineknoll Ave.</t>
  </si>
  <si>
    <t>(979) 636-7422</t>
  </si>
  <si>
    <t>rgarcia@live.com</t>
  </si>
  <si>
    <t>C0264</t>
  </si>
  <si>
    <t>Claudio Maximino Cobos Córdoba</t>
  </si>
  <si>
    <t>Fort Saskatchewan, AB T8L 4M9</t>
  </si>
  <si>
    <t>871 Gainsway Drive</t>
  </si>
  <si>
    <t>(838) 478-1283</t>
  </si>
  <si>
    <t>ovprit@msn.com</t>
  </si>
  <si>
    <t>C0265</t>
  </si>
  <si>
    <t>Josefina Rey Meléndez</t>
  </si>
  <si>
    <t>Laurentides-Sud, QC J0V 3M7</t>
  </si>
  <si>
    <t>9536 Nut Swamp Dr.</t>
  </si>
  <si>
    <t>(709) 730-9311</t>
  </si>
  <si>
    <t>teverett@att.net</t>
  </si>
  <si>
    <t>C0266</t>
  </si>
  <si>
    <t>Nilda de Garrido</t>
  </si>
  <si>
    <t>Black Lake, QC G6H 5M3</t>
  </si>
  <si>
    <t>53 Old Belmont St.</t>
  </si>
  <si>
    <t>(773) 468-1836</t>
  </si>
  <si>
    <t>ghost@yahoo.ca</t>
  </si>
  <si>
    <t>C0267</t>
  </si>
  <si>
    <t>Gregorio Llabrés-Rebollo</t>
  </si>
  <si>
    <t>Charny, QC G6X 9G6</t>
  </si>
  <si>
    <t>9451 Stonybrook Court</t>
  </si>
  <si>
    <t>(629) 776-7927</t>
  </si>
  <si>
    <t>intlprog@verizon.net</t>
  </si>
  <si>
    <t>C0268</t>
  </si>
  <si>
    <t>Edmundo de Marco</t>
  </si>
  <si>
    <t>Okotoks, AB T1S 0P8</t>
  </si>
  <si>
    <t>5 Rockland Court</t>
  </si>
  <si>
    <t>(374) 637-9848</t>
  </si>
  <si>
    <t>frosal@msn.com</t>
  </si>
  <si>
    <t>C0269</t>
  </si>
  <si>
    <t>Amaya Ruiz Campoy</t>
  </si>
  <si>
    <t>Boiestown, NB E6A 0J5</t>
  </si>
  <si>
    <t>209 North Primrose Street</t>
  </si>
  <si>
    <t>(614) 742-3346</t>
  </si>
  <si>
    <t>sabren@comcast.net</t>
  </si>
  <si>
    <t>C0270</t>
  </si>
  <si>
    <t>Nacio Perera Lerma</t>
  </si>
  <si>
    <t>Port Alberni, BC V9Y 6C7</t>
  </si>
  <si>
    <t>14 Military Street</t>
  </si>
  <si>
    <t>(591) 540-1501</t>
  </si>
  <si>
    <t>hermes@outlook.com</t>
  </si>
  <si>
    <t>C0271</t>
  </si>
  <si>
    <t>Damián Vicens Cabrera</t>
  </si>
  <si>
    <t>Cochrane, AB T4C 6R2</t>
  </si>
  <si>
    <t>9282 Border Street</t>
  </si>
  <si>
    <t>(674) 692-6307</t>
  </si>
  <si>
    <t>shrapnull@live.com</t>
  </si>
  <si>
    <t>C0272</t>
  </si>
  <si>
    <t>Marcela Teófila Arnal Lasa</t>
  </si>
  <si>
    <t>Hampton, NB E5N 2B1</t>
  </si>
  <si>
    <t>258 Bohemia St.</t>
  </si>
  <si>
    <t>(613) 385-7225</t>
  </si>
  <si>
    <t>jimmichie@optonline.net</t>
  </si>
  <si>
    <t>C0273</t>
  </si>
  <si>
    <t>Reina Losada Alfonso</t>
  </si>
  <si>
    <t>Grand Manan Island, NB E5G 6V4</t>
  </si>
  <si>
    <t>740 Jones St.</t>
  </si>
  <si>
    <t>(911) 247-1909</t>
  </si>
  <si>
    <t>bjornk@aol.com</t>
  </si>
  <si>
    <t>C0274</t>
  </si>
  <si>
    <t>Isa Arenas Mariscal</t>
  </si>
  <si>
    <t>Petawawa, ON K8H 6P6</t>
  </si>
  <si>
    <t>592 Linden Ave.</t>
  </si>
  <si>
    <t>(428) 712-4844</t>
  </si>
  <si>
    <t>ghost@sbcglobal.net</t>
  </si>
  <si>
    <t>C0275</t>
  </si>
  <si>
    <t>Morena Roura</t>
  </si>
  <si>
    <t>Cap-Rouge, QC G1Y 7T2</t>
  </si>
  <si>
    <t>67 Sheffield Ave.</t>
  </si>
  <si>
    <t>(911) 550-2155</t>
  </si>
  <si>
    <t>curly@icloud.com</t>
  </si>
  <si>
    <t>C0276</t>
  </si>
  <si>
    <t>Odalys Benítez</t>
  </si>
  <si>
    <t>Prince Rupert, BC V8J 9N3</t>
  </si>
  <si>
    <t>19 Tallwood St.</t>
  </si>
  <si>
    <t>(593) 925-4662</t>
  </si>
  <si>
    <t>jacks@outlook.com</t>
  </si>
  <si>
    <t>C0277</t>
  </si>
  <si>
    <t>Emma del Amor</t>
  </si>
  <si>
    <t>Acton, ON L7J 3T8</t>
  </si>
  <si>
    <t>389 Ridge Street</t>
  </si>
  <si>
    <t>(538) 584-5847</t>
  </si>
  <si>
    <t>mbswan@optonline.net</t>
  </si>
  <si>
    <t>C0278</t>
  </si>
  <si>
    <t>Seve Villanueva Anaya</t>
  </si>
  <si>
    <t>Lac-Megantic, QC G6B 4L9</t>
  </si>
  <si>
    <t>329 Carpenter Court</t>
  </si>
  <si>
    <t>(336) 788-8866</t>
  </si>
  <si>
    <t>jelmer@gmail.com</t>
  </si>
  <si>
    <t>C0279</t>
  </si>
  <si>
    <t>Montserrat Armas Salamanca</t>
  </si>
  <si>
    <t>Innisfail, AB T4G 7N5</t>
  </si>
  <si>
    <t>60 St Margarets Street</t>
  </si>
  <si>
    <t>(878) 213-7548</t>
  </si>
  <si>
    <t>podmaster@yahoo.com</t>
  </si>
  <si>
    <t>C0280</t>
  </si>
  <si>
    <t>Ildefonso Feliu Esteban</t>
  </si>
  <si>
    <t>Le Fjord, QC G0T 3E3</t>
  </si>
  <si>
    <t>968 E. Aspen Lane</t>
  </si>
  <si>
    <t>(544) 332-6097</t>
  </si>
  <si>
    <t>malin@verizon.net</t>
  </si>
  <si>
    <t>C0281</t>
  </si>
  <si>
    <t>Ligia Ocaña Arregui</t>
  </si>
  <si>
    <t>Grande-Anse, NB E8N 7C1</t>
  </si>
  <si>
    <t>12 Winding Way St.</t>
  </si>
  <si>
    <t>(992) 343-2800</t>
  </si>
  <si>
    <t>dsugal@hotmail.com</t>
  </si>
  <si>
    <t>C0282</t>
  </si>
  <si>
    <t>Sarita Neira Toro</t>
  </si>
  <si>
    <t>Kimberley, BC V1A 5S2</t>
  </si>
  <si>
    <t>859 Greenview Dr.</t>
  </si>
  <si>
    <t>(272) 202-0144</t>
  </si>
  <si>
    <t>ninenine@icloud.com</t>
  </si>
  <si>
    <t>C0283</t>
  </si>
  <si>
    <t>Timoteo Pacheco Pozo</t>
  </si>
  <si>
    <t>St. Albert, AB T8N 8R8</t>
  </si>
  <si>
    <t>9286 E. Bayberry Street</t>
  </si>
  <si>
    <t>(738) 345-5103</t>
  </si>
  <si>
    <t>damian@icloud.com</t>
  </si>
  <si>
    <t>C0284</t>
  </si>
  <si>
    <t>Ester Anabel Fabregat Nuñez</t>
  </si>
  <si>
    <t>Bass River, NB E4T 4R0</t>
  </si>
  <si>
    <t>128 Richardson St.</t>
  </si>
  <si>
    <t>(713) 922-0553</t>
  </si>
  <si>
    <t>phish@hotmail.com</t>
  </si>
  <si>
    <t>C0285</t>
  </si>
  <si>
    <t>Rosenda Villanueva Herrera</t>
  </si>
  <si>
    <t>Parksville, BC V9P 5L2</t>
  </si>
  <si>
    <t>118 Pineknoll Drive</t>
  </si>
  <si>
    <t>(682) 502-1976</t>
  </si>
  <si>
    <t>rnelson@gmail.com</t>
  </si>
  <si>
    <t>C0286</t>
  </si>
  <si>
    <t>Ariel Gallego Diego</t>
  </si>
  <si>
    <t>La Plaine, QC J7M 5N3</t>
  </si>
  <si>
    <t>28 Pennsylvania Street</t>
  </si>
  <si>
    <t>(260) 372-4164</t>
  </si>
  <si>
    <t>slaff@aol.com</t>
  </si>
  <si>
    <t>C0287</t>
  </si>
  <si>
    <t>Juliana Alarcón Molins</t>
  </si>
  <si>
    <t>Leamington, ON N8H 0N3</t>
  </si>
  <si>
    <t>334 Mechanic Lane</t>
  </si>
  <si>
    <t>(502) 779-9801</t>
  </si>
  <si>
    <t>ninenine@live.com</t>
  </si>
  <si>
    <t>C0288</t>
  </si>
  <si>
    <t>Catalina Méndez</t>
  </si>
  <si>
    <t>Strathmore, AB T1P 9V5</t>
  </si>
  <si>
    <t>798 Clark Rd.</t>
  </si>
  <si>
    <t>(687) 734-3575</t>
  </si>
  <si>
    <t>johnh@yahoo.ca</t>
  </si>
  <si>
    <t>C0289</t>
  </si>
  <si>
    <t>Susanita Pascual Salamanca</t>
  </si>
  <si>
    <t>Youngs Cove, NB E4C 4K5</t>
  </si>
  <si>
    <t>735 Spruce Ave.</t>
  </si>
  <si>
    <t>(503) 471-0311</t>
  </si>
  <si>
    <t>ryanshaw@comcast.net</t>
  </si>
  <si>
    <t>C0290</t>
  </si>
  <si>
    <t>Dimas Rafael Polo Bravo</t>
  </si>
  <si>
    <t>Chatham, QC J8G 7X7</t>
  </si>
  <si>
    <t>603 Elm Lane</t>
  </si>
  <si>
    <t>(640) 467-1066</t>
  </si>
  <si>
    <t>gerlo@yahoo.ca</t>
  </si>
  <si>
    <t>C0291</t>
  </si>
  <si>
    <t>Anabel Pou Lasa</t>
  </si>
  <si>
    <t>Eskasoni, NS B1W 1S9</t>
  </si>
  <si>
    <t>72 Paris Hill Ave.</t>
  </si>
  <si>
    <t>(350) 900-0774</t>
  </si>
  <si>
    <t>C0292</t>
  </si>
  <si>
    <t>Nadia Natividad Marco Flores</t>
  </si>
  <si>
    <t>Parry Sound, ON P2A 5R6</t>
  </si>
  <si>
    <t>94 Valley View Rd.</t>
  </si>
  <si>
    <t>(593) 907-1562</t>
  </si>
  <si>
    <t>squirrel@comcast.net</t>
  </si>
  <si>
    <t>C0293</t>
  </si>
  <si>
    <t>Máximo Téllez Ferrera</t>
  </si>
  <si>
    <t>Lanaudière-Nord, QC J0K 8T8</t>
  </si>
  <si>
    <t>8 E. Miles Dr.</t>
  </si>
  <si>
    <t>(848) 559-5729</t>
  </si>
  <si>
    <t>sakusha@yahoo.com</t>
  </si>
  <si>
    <t>C0294</t>
  </si>
  <si>
    <t>Gala Clarisa Ballesteros Llopis</t>
  </si>
  <si>
    <t>Saint-Colomban, QC J5K 6C2</t>
  </si>
  <si>
    <t>672 Albany St.</t>
  </si>
  <si>
    <t>(986) 369-4687</t>
  </si>
  <si>
    <t>seano@sbcglobal.net</t>
  </si>
  <si>
    <t>C0295</t>
  </si>
  <si>
    <t>Amancio Aliaga Sierra</t>
  </si>
  <si>
    <t>Huntsville, ON P1H 2C9</t>
  </si>
  <si>
    <t>22 Jackson Rd.</t>
  </si>
  <si>
    <t>(815) 645-0166</t>
  </si>
  <si>
    <t>bmidd@msn.com</t>
  </si>
  <si>
    <t>C0296</t>
  </si>
  <si>
    <t>César Nogués Tomás</t>
  </si>
  <si>
    <t>Lachute, QC J8H 9V1</t>
  </si>
  <si>
    <t>22 Ridge Lane</t>
  </si>
  <si>
    <t>(456) 670-3912</t>
  </si>
  <si>
    <t>oracle@verizon.net</t>
  </si>
  <si>
    <t>C0297</t>
  </si>
  <si>
    <t>Brígida Jove Carretero</t>
  </si>
  <si>
    <t>St. Stephen, NB E3L 2A8</t>
  </si>
  <si>
    <t>8557 West Greenview Dr.</t>
  </si>
  <si>
    <t>(997) 481-7573</t>
  </si>
  <si>
    <t>jrifkin@yahoo.com</t>
  </si>
  <si>
    <t>C0298</t>
  </si>
  <si>
    <t>Vito del Abad</t>
  </si>
  <si>
    <t>Îles-Laval, QC H7Y 1X2</t>
  </si>
  <si>
    <t>8824 Liberty Drive</t>
  </si>
  <si>
    <t>(571) 271-7420</t>
  </si>
  <si>
    <t>sherzodr@att.net</t>
  </si>
  <si>
    <t>C0299</t>
  </si>
  <si>
    <t>Nayara Fanny Juliá Sierra</t>
  </si>
  <si>
    <t>Grand Falls, LB A2A 2C6</t>
  </si>
  <si>
    <t>368 Fifth Dr.</t>
  </si>
  <si>
    <t>(674) 672-8423</t>
  </si>
  <si>
    <t>rsmartin@msn.com</t>
  </si>
  <si>
    <t>C0300</t>
  </si>
  <si>
    <t>Isidoro Salas Marqués</t>
  </si>
  <si>
    <t>Ville Émard, QC H4E 1K4</t>
  </si>
  <si>
    <t>61 San Carlos Rd.</t>
  </si>
  <si>
    <t>(505) 554-8992</t>
  </si>
  <si>
    <t>jsbach@aol.com</t>
  </si>
  <si>
    <t>C0301</t>
  </si>
  <si>
    <t>Vicente Palomino Adadia</t>
  </si>
  <si>
    <t>Napanee, ON K7R 6V1</t>
  </si>
  <si>
    <t>37 Peninsula Street</t>
  </si>
  <si>
    <t>(826) 231-0876</t>
  </si>
  <si>
    <t>wmszeliga@mac.com</t>
  </si>
  <si>
    <t>C0302</t>
  </si>
  <si>
    <t>Sandalio de Figueroa</t>
  </si>
  <si>
    <t>Woodstock, NB E7M 8P6</t>
  </si>
  <si>
    <t>149 Jennings Road</t>
  </si>
  <si>
    <t>(499) 874-0371</t>
  </si>
  <si>
    <t>william@hotmail.com</t>
  </si>
  <si>
    <t>C0303</t>
  </si>
  <si>
    <t>Elodia Pinto</t>
  </si>
  <si>
    <t>Dorchester, NB E4K 6V5</t>
  </si>
  <si>
    <t>59 W. Anderson Lane</t>
  </si>
  <si>
    <t>(317) 232-9358</t>
  </si>
  <si>
    <t>gastown@comcast.net</t>
  </si>
  <si>
    <t>C0304</t>
  </si>
  <si>
    <t>Felipe Carro Ramis</t>
  </si>
  <si>
    <t>Greely, ON K4P 4T2</t>
  </si>
  <si>
    <t>685 High Noon Lane</t>
  </si>
  <si>
    <t>(852) 388-3751</t>
  </si>
  <si>
    <t>improv@live.com</t>
  </si>
  <si>
    <t>C0305</t>
  </si>
  <si>
    <t>Ana Belén Alvarado Bueno</t>
  </si>
  <si>
    <t>Boucherville, QC J4B 9T3</t>
  </si>
  <si>
    <t>42 Johnson Dr.</t>
  </si>
  <si>
    <t>(366) 604-3609</t>
  </si>
  <si>
    <t>gfxguy@outlook.com</t>
  </si>
  <si>
    <t>C0306</t>
  </si>
  <si>
    <t>Marisela Sanmiguel Pedraza</t>
  </si>
  <si>
    <t>Lacombe, AB T4L 0S1</t>
  </si>
  <si>
    <t>7976 North Street</t>
  </si>
  <si>
    <t>(800) 687-3027</t>
  </si>
  <si>
    <t>marcs@outlook.com</t>
  </si>
  <si>
    <t>C0307</t>
  </si>
  <si>
    <t>Jesusa Benavente Ferrández</t>
  </si>
  <si>
    <t>Labrador City, LB A2V 8L0</t>
  </si>
  <si>
    <t>394 Hanover St.</t>
  </si>
  <si>
    <t>(924) 920-0218</t>
  </si>
  <si>
    <t>skippy@yahoo.ca</t>
  </si>
  <si>
    <t>C0308</t>
  </si>
  <si>
    <t>Alonso Díaz Donoso</t>
  </si>
  <si>
    <t>Grimsby, ON L3M 5X9</t>
  </si>
  <si>
    <t>9697 South Mountainview Street</t>
  </si>
  <si>
    <t>(733) 648-0855</t>
  </si>
  <si>
    <t>jyoliver@sbcglobal.net</t>
  </si>
  <si>
    <t>C0309</t>
  </si>
  <si>
    <t>Filomena Pombo Pla</t>
  </si>
  <si>
    <t>Cobourg, ON K9A 5G0</t>
  </si>
  <si>
    <t>60 Carpenter Street</t>
  </si>
  <si>
    <t>(496) 879-5338</t>
  </si>
  <si>
    <t>afifi@hotmail.com</t>
  </si>
  <si>
    <t>C0310</t>
  </si>
  <si>
    <t>Cristóbal Cabello-Pol</t>
  </si>
  <si>
    <t>Chelsea, QC J9B 5K1</t>
  </si>
  <si>
    <t>343 Oxford St.</t>
  </si>
  <si>
    <t>(363) 981-6810</t>
  </si>
  <si>
    <t>muadip@gmail.com</t>
  </si>
  <si>
    <t>C0311</t>
  </si>
  <si>
    <t>Maribel Murillo Alcaraz</t>
  </si>
  <si>
    <t>Qualicum Beach, BC V9K 4J5</t>
  </si>
  <si>
    <t>490 Lantern Street</t>
  </si>
  <si>
    <t>(643) 252-3203</t>
  </si>
  <si>
    <t>hyper@icloud.com</t>
  </si>
  <si>
    <t>C0312</t>
  </si>
  <si>
    <t>Mayte Cuesta Acosta</t>
  </si>
  <si>
    <t>Dunnville, ON N1A 2R5</t>
  </si>
  <si>
    <t>8158 S. Marvon Ave.</t>
  </si>
  <si>
    <t>(491) 779-1547</t>
  </si>
  <si>
    <t>spadkins@att.net</t>
  </si>
  <si>
    <t>C0313</t>
  </si>
  <si>
    <t>Remigio Villalonga Roman</t>
  </si>
  <si>
    <t>Vimont, QC H7M 0J1</t>
  </si>
  <si>
    <t>7651 Carriage Dr.</t>
  </si>
  <si>
    <t>(731) 808-7183</t>
  </si>
  <si>
    <t>oneiros@icloud.com</t>
  </si>
  <si>
    <t>C0314</t>
  </si>
  <si>
    <t>Vanesa Villaverde</t>
  </si>
  <si>
    <t>Port Perry, ON L9L 6K8</t>
  </si>
  <si>
    <t>7313 Eagle Ave.</t>
  </si>
  <si>
    <t>(879) 310-9113</t>
  </si>
  <si>
    <t>miltchev@gmail.com</t>
  </si>
  <si>
    <t>C0315</t>
  </si>
  <si>
    <t>Maristela Corbacho Alegria</t>
  </si>
  <si>
    <t>Saint Petersburg, FL 33710</t>
  </si>
  <si>
    <t>127 Rockwell Lane</t>
  </si>
  <si>
    <t>(944) 942-5965</t>
  </si>
  <si>
    <t>uqmcolyv@att.net</t>
  </si>
  <si>
    <t>C0316</t>
  </si>
  <si>
    <t>Manuelita Cervera Botella</t>
  </si>
  <si>
    <t>Miami, FL 33135</t>
  </si>
  <si>
    <t>107 Cedar Street</t>
  </si>
  <si>
    <t>(257) 383-2777</t>
  </si>
  <si>
    <t>william@comcast.net</t>
  </si>
  <si>
    <t>C0317</t>
  </si>
  <si>
    <t>Borja Canet Gallo</t>
  </si>
  <si>
    <t>New Port Richey, FL 34653</t>
  </si>
  <si>
    <t>20 Ivy St.</t>
  </si>
  <si>
    <t>(286) 539-1526</t>
  </si>
  <si>
    <t>lipeng@comcast.net</t>
  </si>
  <si>
    <t>C0318</t>
  </si>
  <si>
    <t>Clotilde Chita Fábregas Toro</t>
  </si>
  <si>
    <t>Fort Lauderdale, FL 33312</t>
  </si>
  <si>
    <t>63 Stillwater St.</t>
  </si>
  <si>
    <t>(408) 475-2351</t>
  </si>
  <si>
    <t>sbmrjbr@msn.com</t>
  </si>
  <si>
    <t>C0319</t>
  </si>
  <si>
    <t>Olimpia Girona Paredes</t>
  </si>
  <si>
    <t>Tampa, FL 33614</t>
  </si>
  <si>
    <t>209 North Newbridge Drive</t>
  </si>
  <si>
    <t>(654) 850-5430</t>
  </si>
  <si>
    <t>ryanvm@sbcglobal.net</t>
  </si>
  <si>
    <t>C0320</t>
  </si>
  <si>
    <t>Rubén de Arribas</t>
  </si>
  <si>
    <t>Jacksonville, FL 32205</t>
  </si>
  <si>
    <t>85 Ridgeview Drive</t>
  </si>
  <si>
    <t>(704) 732-6961</t>
  </si>
  <si>
    <t>mbswan@msn.com</t>
  </si>
  <si>
    <t>C0321</t>
  </si>
  <si>
    <t>Édgar Manu Suárez Anglada</t>
  </si>
  <si>
    <t>Miami, FL 33161</t>
  </si>
  <si>
    <t>60 Surrey Rd.</t>
  </si>
  <si>
    <t>(400) 235-6788</t>
  </si>
  <si>
    <t>dbanarse@yahoo.ca</t>
  </si>
  <si>
    <t>C0322</t>
  </si>
  <si>
    <t>Luna Morcillo Carretero</t>
  </si>
  <si>
    <t>Bradenton, FL 34205</t>
  </si>
  <si>
    <t>556 Pleasant St.</t>
  </si>
  <si>
    <t>(363) 851-7332</t>
  </si>
  <si>
    <t>frikazoyd@me.com</t>
  </si>
  <si>
    <t>C0323</t>
  </si>
  <si>
    <t>Eladio Salcedo Cabanillas</t>
  </si>
  <si>
    <t>Fort Myers, FL 33912</t>
  </si>
  <si>
    <t>31 Heritage Street</t>
  </si>
  <si>
    <t>(892) 211-3578</t>
  </si>
  <si>
    <t>mosses@gmail.com</t>
  </si>
  <si>
    <t>C0324</t>
  </si>
  <si>
    <t>Gisela Cámara Duarte</t>
  </si>
  <si>
    <t>Tampa, FL 33624</t>
  </si>
  <si>
    <t>8904 Vermont Drive</t>
  </si>
  <si>
    <t>(231) 936-5897</t>
  </si>
  <si>
    <t>parasite@optonline.net</t>
  </si>
  <si>
    <t>C0325</t>
  </si>
  <si>
    <t>Nicanor de Moliner</t>
  </si>
  <si>
    <t>Opa Locka, FL 33055</t>
  </si>
  <si>
    <t>886 Snake Hill St.</t>
  </si>
  <si>
    <t>(609) 914-4233</t>
  </si>
  <si>
    <t>samavati@me.com</t>
  </si>
  <si>
    <t>C0326</t>
  </si>
  <si>
    <t>Rosario Paz Figueroa</t>
  </si>
  <si>
    <t>Winter Haven, FL 33880</t>
  </si>
  <si>
    <t>212 Canal St.</t>
  </si>
  <si>
    <t>(776) 448-2874</t>
  </si>
  <si>
    <t>rfoley@mac.com</t>
  </si>
  <si>
    <t>C0327</t>
  </si>
  <si>
    <t>Gloria Esteve Perez</t>
  </si>
  <si>
    <t>Lake Worth, FL 33460</t>
  </si>
  <si>
    <t>9974 Holly Dr.</t>
  </si>
  <si>
    <t>(487) 768-3548</t>
  </si>
  <si>
    <t>yfreund@verizon.net</t>
  </si>
  <si>
    <t>C0328</t>
  </si>
  <si>
    <t>Alexandra Pedrosa Asensio</t>
  </si>
  <si>
    <t>Lake Wales, FL 33853</t>
  </si>
  <si>
    <t>7342 Woodland Avenue</t>
  </si>
  <si>
    <t>(601) 357-6775</t>
  </si>
  <si>
    <t>fglock@gmail.com</t>
  </si>
  <si>
    <t>C0329</t>
  </si>
  <si>
    <t>Lucho Lucio Gallart Bartolomé</t>
  </si>
  <si>
    <t>Fort Lauderdale, FL 33309</t>
  </si>
  <si>
    <t>20 West Gates St.</t>
  </si>
  <si>
    <t>(296) 236-1828</t>
  </si>
  <si>
    <t>bebing@hotmail.com</t>
  </si>
  <si>
    <t>C0330</t>
  </si>
  <si>
    <t>Lola Vanesa Roda Verdejo</t>
  </si>
  <si>
    <t>Fort Lauderdale, FL 33322</t>
  </si>
  <si>
    <t>22 Wall St.</t>
  </si>
  <si>
    <t>(691) 320-1793</t>
  </si>
  <si>
    <t>cumarana@live.com</t>
  </si>
  <si>
    <t>C0331</t>
  </si>
  <si>
    <t>Alejandra Alvarado-Rocamora</t>
  </si>
  <si>
    <t>Fort Lauderdale, FL 33319</t>
  </si>
  <si>
    <t>7342A Edgefield Street</t>
  </si>
  <si>
    <t>(919) 955-4757</t>
  </si>
  <si>
    <t>smpeters@mac.com</t>
  </si>
  <si>
    <t>C0332</t>
  </si>
  <si>
    <t>Cristina Navas Sanz</t>
  </si>
  <si>
    <t>Boca Raton, FL 33428</t>
  </si>
  <si>
    <t>19 Charles St.</t>
  </si>
  <si>
    <t>(895) 527-9965</t>
  </si>
  <si>
    <t>madler@gmail.com</t>
  </si>
  <si>
    <t>C0333</t>
  </si>
  <si>
    <t>Desiderio Vizcaíno Seguí</t>
  </si>
  <si>
    <t>Hallandale, FL 33009</t>
  </si>
  <si>
    <t>8123 York Ave.</t>
  </si>
  <si>
    <t>(779) 490-1731</t>
  </si>
  <si>
    <t>mgemmons@yahoo.ca</t>
  </si>
  <si>
    <t>C0334</t>
  </si>
  <si>
    <t>Nélida Gallart Ochoa</t>
  </si>
  <si>
    <t>Pensacola, FL 32526</t>
  </si>
  <si>
    <t>9315 Arcadia St.</t>
  </si>
  <si>
    <t>(317) 905-9963</t>
  </si>
  <si>
    <t>lstein@msn.com</t>
  </si>
  <si>
    <t>C0335</t>
  </si>
  <si>
    <t>Áurea Sandoval Robles</t>
  </si>
  <si>
    <t>Hollywood, FL 33029</t>
  </si>
  <si>
    <t>9447 Jackson Court</t>
  </si>
  <si>
    <t>(636) 558-0180</t>
  </si>
  <si>
    <t>skythe@optonline.net</t>
  </si>
  <si>
    <t>C0336</t>
  </si>
  <si>
    <t>Bibiana Azcona</t>
  </si>
  <si>
    <t>Miami, FL 33179</t>
  </si>
  <si>
    <t>8407 Snake Hill Street</t>
  </si>
  <si>
    <t>(985) 919-4960</t>
  </si>
  <si>
    <t>alias@comcast.net</t>
  </si>
  <si>
    <t>C0337</t>
  </si>
  <si>
    <t>Marcos Arnal Sola</t>
  </si>
  <si>
    <t>Miami, FL 33183</t>
  </si>
  <si>
    <t>60 West Prince St.</t>
  </si>
  <si>
    <t>(558) 212-5147</t>
  </si>
  <si>
    <t>dburrows@comcast.net</t>
  </si>
  <si>
    <t>C0338</t>
  </si>
  <si>
    <t>Soledad Ani Garrido Duran</t>
  </si>
  <si>
    <t>Pompano Beach, FL 33063</t>
  </si>
  <si>
    <t>192 Birchpond Ave.</t>
  </si>
  <si>
    <t>(792) 524-2198</t>
  </si>
  <si>
    <t>eegsa@sbcglobal.net</t>
  </si>
  <si>
    <t>C0339</t>
  </si>
  <si>
    <t>Rodolfo Duilio Terrón Serrano</t>
  </si>
  <si>
    <t>Lakeland, FL 33801</t>
  </si>
  <si>
    <t>880 Mayfair St.</t>
  </si>
  <si>
    <t>(267) 864-5928</t>
  </si>
  <si>
    <t>gfxguy@hotmail.com</t>
  </si>
  <si>
    <t>C0340</t>
  </si>
  <si>
    <t>Carolina Ferreras Bolaños</t>
  </si>
  <si>
    <t>Hialeah, FL 33013</t>
  </si>
  <si>
    <t>83 8th St.</t>
  </si>
  <si>
    <t>(496) 239-3951</t>
  </si>
  <si>
    <t>gumpish@optonline.net</t>
  </si>
  <si>
    <t>C0341</t>
  </si>
  <si>
    <t>Eladio Querol</t>
  </si>
  <si>
    <t>West Palm Beach, FL 33411</t>
  </si>
  <si>
    <t>7270 Shadow Brook Dr.</t>
  </si>
  <si>
    <t>(252) 667-8366</t>
  </si>
  <si>
    <t>rhialto@yahoo.com</t>
  </si>
  <si>
    <t>C0342</t>
  </si>
  <si>
    <t>Irene Orozco Millán</t>
  </si>
  <si>
    <t>Jacksonville, FL 32208</t>
  </si>
  <si>
    <t>9505 Sutor Dr.</t>
  </si>
  <si>
    <t>(609) 330-8191</t>
  </si>
  <si>
    <t>phyruxus@mac.com</t>
  </si>
  <si>
    <t>C0343</t>
  </si>
  <si>
    <t>Yago Heredia Francisco</t>
  </si>
  <si>
    <t>Orlando, FL 32812</t>
  </si>
  <si>
    <t>26 Lawrence Drive</t>
  </si>
  <si>
    <t>(439) 401-6738</t>
  </si>
  <si>
    <t>jshearer@yahoo.com</t>
  </si>
  <si>
    <t>C0344</t>
  </si>
  <si>
    <t>Hernán Diego Ferreras</t>
  </si>
  <si>
    <t>West Palm Beach, FL 33415</t>
  </si>
  <si>
    <t>7147 Heather St.</t>
  </si>
  <si>
    <t>(946) 600-8214</t>
  </si>
  <si>
    <t>fwiles@live.com</t>
  </si>
  <si>
    <t>C0345</t>
  </si>
  <si>
    <t>Darío Severino Falcón Rodríguez</t>
  </si>
  <si>
    <t>Orlando, FL 32810</t>
  </si>
  <si>
    <t>287 E. Woodland Ave.</t>
  </si>
  <si>
    <t>(384) 619-1581</t>
  </si>
  <si>
    <t>kayvonf@sbcglobal.net</t>
  </si>
  <si>
    <t>C0346</t>
  </si>
  <si>
    <t>Eli Rovira Busquets</t>
  </si>
  <si>
    <t>Pompano Beach, FL 33064</t>
  </si>
  <si>
    <t>16 Monroe Dr.</t>
  </si>
  <si>
    <t>(675) 655-1424</t>
  </si>
  <si>
    <t>pappp@icloud.com</t>
  </si>
  <si>
    <t>C0347</t>
  </si>
  <si>
    <t>Remedios Barbero Calderón</t>
  </si>
  <si>
    <t>Key West, FL 33040</t>
  </si>
  <si>
    <t>59 Pumpkin Hill Drive</t>
  </si>
  <si>
    <t>(842) 708-2942</t>
  </si>
  <si>
    <t>timlinux@icloud.com</t>
  </si>
  <si>
    <t>C0348</t>
  </si>
  <si>
    <t>Telmo Azcona Huerta</t>
  </si>
  <si>
    <t>Panama City, FL 32404</t>
  </si>
  <si>
    <t>88 Deerfield Street</t>
  </si>
  <si>
    <t>(656) 301-2331</t>
  </si>
  <si>
    <t>feamster@mac.com</t>
  </si>
  <si>
    <t>C0349</t>
  </si>
  <si>
    <t>Jose Luis Salgado Monreal</t>
  </si>
  <si>
    <t>Hollywood, FL 33025</t>
  </si>
  <si>
    <t>88 Marsh Road</t>
  </si>
  <si>
    <t>(728) 554-8409</t>
  </si>
  <si>
    <t>dexter@yahoo.ca</t>
  </si>
  <si>
    <t>C0350</t>
  </si>
  <si>
    <t>Maximiliano Ferrer Solé</t>
  </si>
  <si>
    <t>Winter Springs, FL 32708</t>
  </si>
  <si>
    <t>251 SW. Ramblewood Ave.</t>
  </si>
  <si>
    <t>(557) 382-0708</t>
  </si>
  <si>
    <t>symbolic@optonline.net</t>
  </si>
  <si>
    <t>C0351</t>
  </si>
  <si>
    <t>Seve Pellicer Arévalo</t>
  </si>
  <si>
    <t>Miami, FL 33162</t>
  </si>
  <si>
    <t>15 Bow Ridge Dr.</t>
  </si>
  <si>
    <t>(395) 354-7424</t>
  </si>
  <si>
    <t>intlprog@live.com</t>
  </si>
  <si>
    <t>C0352</t>
  </si>
  <si>
    <t>Poncio Gallart Cano</t>
  </si>
  <si>
    <t>Miami, FL 33175</t>
  </si>
  <si>
    <t>691 Baker Rd.</t>
  </si>
  <si>
    <t>(752) 229-5173</t>
  </si>
  <si>
    <t>msloan@live.com</t>
  </si>
  <si>
    <t>C0353</t>
  </si>
  <si>
    <t>Abril Morante-Portero</t>
  </si>
  <si>
    <t>Port Orange, FL 32127</t>
  </si>
  <si>
    <t>32 Adams Court</t>
  </si>
  <si>
    <t>(653) 317-7538</t>
  </si>
  <si>
    <t>wbarker@aol.com</t>
  </si>
  <si>
    <t>C0354</t>
  </si>
  <si>
    <t>Alondra Arroyo Moraleda</t>
  </si>
  <si>
    <t>Tampa, FL 33617</t>
  </si>
  <si>
    <t>969 Summerhouse Dr.</t>
  </si>
  <si>
    <t>(720) 816-6636</t>
  </si>
  <si>
    <t>niknejad@msn.com</t>
  </si>
  <si>
    <t>C0355</t>
  </si>
  <si>
    <t>Nando Neira Garcia</t>
  </si>
  <si>
    <t>Fort Lauderdale, FL 33321</t>
  </si>
  <si>
    <t>61 College Rd.</t>
  </si>
  <si>
    <t>(392) 567-1811</t>
  </si>
  <si>
    <t>koudas@icloud.com</t>
  </si>
  <si>
    <t>C0356</t>
  </si>
  <si>
    <t>Soraya Puig Estrada</t>
  </si>
  <si>
    <t>Hollywood, FL 33021</t>
  </si>
  <si>
    <t>344 Summerhouse Ave.</t>
  </si>
  <si>
    <t>(233) 981-3075</t>
  </si>
  <si>
    <t>cantu@outlook.com</t>
  </si>
  <si>
    <t>C0357</t>
  </si>
  <si>
    <t>Teresita Ferrera Bernat</t>
  </si>
  <si>
    <t>Dunedin, FL 34698</t>
  </si>
  <si>
    <t>164 Albany Dr.</t>
  </si>
  <si>
    <t>(469) 699-2655</t>
  </si>
  <si>
    <t>nighthawk@hotmail.com</t>
  </si>
  <si>
    <t>C0358</t>
  </si>
  <si>
    <t>Ignacio Mendez Casanovas</t>
  </si>
  <si>
    <t>West Palm Beach, FL 33414</t>
  </si>
  <si>
    <t>9028 E. Overlook Street</t>
  </si>
  <si>
    <t>(311) 568-5798</t>
  </si>
  <si>
    <t>peterhoeg@yahoo.com</t>
  </si>
  <si>
    <t>C0359</t>
  </si>
  <si>
    <t>Isabel Bayo Sanchez</t>
  </si>
  <si>
    <t>Lake Worth, FL 33467</t>
  </si>
  <si>
    <t>300 San Carlos Street</t>
  </si>
  <si>
    <t>(930) 839-6069</t>
  </si>
  <si>
    <t>jonadab@outlook.com</t>
  </si>
  <si>
    <t>C0360</t>
  </si>
  <si>
    <t>Ligia Linares Isern</t>
  </si>
  <si>
    <t>Miami, FL 33196</t>
  </si>
  <si>
    <t>19 Carriage Court</t>
  </si>
  <si>
    <t>(595) 770-6147</t>
  </si>
  <si>
    <t>gamma@sbcglobal.net</t>
  </si>
  <si>
    <t>C0361</t>
  </si>
  <si>
    <t>Simón Gaya Vallejo</t>
  </si>
  <si>
    <t>Orlando, FL 32818</t>
  </si>
  <si>
    <t>3 Henry St.</t>
  </si>
  <si>
    <t>(796) 698-2556</t>
  </si>
  <si>
    <t>wbarker@sbcglobal.net</t>
  </si>
  <si>
    <t>C0362</t>
  </si>
  <si>
    <t>Chus Larrañaga Hernando</t>
  </si>
  <si>
    <t>Orlando, FL 32839</t>
  </si>
  <si>
    <t>7743 Boston Street</t>
  </si>
  <si>
    <t>(518) 447-3410</t>
  </si>
  <si>
    <t>conteb@mac.com</t>
  </si>
  <si>
    <t>C0363</t>
  </si>
  <si>
    <t>Ángeles Arévalo Balaguer</t>
  </si>
  <si>
    <t>Brandon, FL 33511</t>
  </si>
  <si>
    <t>9543 Marlborough Street</t>
  </si>
  <si>
    <t>(963) 286-3940</t>
  </si>
  <si>
    <t>mugwump@verizon.net</t>
  </si>
  <si>
    <t>C0364</t>
  </si>
  <si>
    <t>Benito Juan Francisco Aramburu Fiol</t>
  </si>
  <si>
    <t>Valrico, FL 33594</t>
  </si>
  <si>
    <t>42 Lakeshore Avenue</t>
  </si>
  <si>
    <t>(989) 381-2553</t>
  </si>
  <si>
    <t>andrei@outlook.com</t>
  </si>
  <si>
    <t>C0365</t>
  </si>
  <si>
    <t>Amaya Valderrama Gomis</t>
  </si>
  <si>
    <t>Melbourne, FL 32935</t>
  </si>
  <si>
    <t>77 Rocky River Ave.</t>
  </si>
  <si>
    <t>(760) 748-7416</t>
  </si>
  <si>
    <t>roamer@sbcglobal.net</t>
  </si>
  <si>
    <t>C0366</t>
  </si>
  <si>
    <t>Beatriz Rodriguez Iborra</t>
  </si>
  <si>
    <t>Jacksonville, FL 32209</t>
  </si>
  <si>
    <t>68 Woodland Ave.</t>
  </si>
  <si>
    <t>(382) 950-9603</t>
  </si>
  <si>
    <t>malattia@msn.com</t>
  </si>
  <si>
    <t>C0367</t>
  </si>
  <si>
    <t>Amílcar Ortega Gallo</t>
  </si>
  <si>
    <t>Fort Lauderdale, FL 33334</t>
  </si>
  <si>
    <t>9413 Lexington Dr.</t>
  </si>
  <si>
    <t>(256) 505-6404</t>
  </si>
  <si>
    <t>aschmitz@sbcglobal.net</t>
  </si>
  <si>
    <t>C0368</t>
  </si>
  <si>
    <t>Seve Laguna-Bas</t>
  </si>
  <si>
    <t>Jupiter, FL 33458</t>
  </si>
  <si>
    <t>727 Cardinal Ave.</t>
  </si>
  <si>
    <t>(262) 756-8019</t>
  </si>
  <si>
    <t>ovprit@aol.com</t>
  </si>
  <si>
    <t>C0369</t>
  </si>
  <si>
    <t>Francisco Javier Coloma</t>
  </si>
  <si>
    <t>Deltona, FL 32738</t>
  </si>
  <si>
    <t>49 Colonial Street</t>
  </si>
  <si>
    <t>(437) 405-6290</t>
  </si>
  <si>
    <t>jaarnial@att.net</t>
  </si>
  <si>
    <t>C0370</t>
  </si>
  <si>
    <t>Erasmo Crespo Gallego</t>
  </si>
  <si>
    <t>Boynton Beach, FL 33435</t>
  </si>
  <si>
    <t>73 Pulaski Street</t>
  </si>
  <si>
    <t>(582) 368-1385</t>
  </si>
  <si>
    <t>murty@icloud.com</t>
  </si>
  <si>
    <t>C0371</t>
  </si>
  <si>
    <t>Octavio Perelló-Losada</t>
  </si>
  <si>
    <t>Fort Lauderdale, FL 33351</t>
  </si>
  <si>
    <t>9969 Primrose Drive</t>
  </si>
  <si>
    <t>(659) 871-3879</t>
  </si>
  <si>
    <t>loscar@sbcglobal.net</t>
  </si>
  <si>
    <t>C0372</t>
  </si>
  <si>
    <t>Camila Leticia Arévalo Cuenca</t>
  </si>
  <si>
    <t>Palm Harbor, FL 34683</t>
  </si>
  <si>
    <t>164 West Coffee St.</t>
  </si>
  <si>
    <t>(353) 426-1757</t>
  </si>
  <si>
    <t>telbij@verizon.net</t>
  </si>
  <si>
    <t>C0373</t>
  </si>
  <si>
    <t>Áurea Manuela Piñol Bernal</t>
  </si>
  <si>
    <t>Homestead, FL 33033</t>
  </si>
  <si>
    <t>7236 Albany Court</t>
  </si>
  <si>
    <t>(856) 331-2705</t>
  </si>
  <si>
    <t>fmtbebuck@live.com</t>
  </si>
  <si>
    <t>C0374</t>
  </si>
  <si>
    <t>Carina Arcos Vara</t>
  </si>
  <si>
    <t>Orlando, FL 32837</t>
  </si>
  <si>
    <t>9 East San Carlos Ave.</t>
  </si>
  <si>
    <t>(700) 644-2712</t>
  </si>
  <si>
    <t>evilopie@att.net</t>
  </si>
  <si>
    <t>C0375</t>
  </si>
  <si>
    <t>Yago Baró Garmendia</t>
  </si>
  <si>
    <t>Boca Raton, FL 33433</t>
  </si>
  <si>
    <t>7939 Gates St.</t>
  </si>
  <si>
    <t>(294) 342-2123</t>
  </si>
  <si>
    <t>aibrahim@icloud.com</t>
  </si>
  <si>
    <t>C0376</t>
  </si>
  <si>
    <t>Antonio Folch Grande</t>
  </si>
  <si>
    <t>Tampa, FL 33612</t>
  </si>
  <si>
    <t>111 Rockledge Street</t>
  </si>
  <si>
    <t>(232) 232-3544</t>
  </si>
  <si>
    <t>uqmcolyv@aol.com</t>
  </si>
  <si>
    <t>C0377</t>
  </si>
  <si>
    <t>Jose Ramón de Aguilera</t>
  </si>
  <si>
    <t>Miami, FL 33134</t>
  </si>
  <si>
    <t>32 Vernon St.</t>
  </si>
  <si>
    <t>(368) 282-4245</t>
  </si>
  <si>
    <t>hermes@aol.com</t>
  </si>
  <si>
    <t>C0378</t>
  </si>
  <si>
    <t>Dulce Caridad Rojas Ángel</t>
  </si>
  <si>
    <t>Daytona Beach, FL 32119</t>
  </si>
  <si>
    <t>794 Philmont Ave.</t>
  </si>
  <si>
    <t>(606) 269-6077</t>
  </si>
  <si>
    <t>krueger@msn.com</t>
  </si>
  <si>
    <t>C0379</t>
  </si>
  <si>
    <t>Cruz Benítez</t>
  </si>
  <si>
    <t>Jacksonville, FL 32257</t>
  </si>
  <si>
    <t>7600 Campfire Street</t>
  </si>
  <si>
    <t>(975) 455-9019</t>
  </si>
  <si>
    <t>danneng@att.net</t>
  </si>
  <si>
    <t>C0380</t>
  </si>
  <si>
    <t>Fabio Carnero Boix</t>
  </si>
  <si>
    <t>Miami, FL 33165</t>
  </si>
  <si>
    <t>527 South Indian Summer Court</t>
  </si>
  <si>
    <t>(473) 353-4079</t>
  </si>
  <si>
    <t>pgolle@yahoo.com</t>
  </si>
  <si>
    <t>C0381</t>
  </si>
  <si>
    <t>Nayara Casanovas Alarcón</t>
  </si>
  <si>
    <t>Miami, FL 33177</t>
  </si>
  <si>
    <t>72 S. Lakeview St.</t>
  </si>
  <si>
    <t>(845) 455-2297</t>
  </si>
  <si>
    <t>scitext@comcast.net</t>
  </si>
  <si>
    <t>C0382</t>
  </si>
  <si>
    <t>Miguel Villegas Jover</t>
  </si>
  <si>
    <t>Gainesville, FL 32608</t>
  </si>
  <si>
    <t>47 Leatherwood Ave.</t>
  </si>
  <si>
    <t>(811) 819-5474</t>
  </si>
  <si>
    <t>goresky@gmail.com</t>
  </si>
  <si>
    <t>C0383</t>
  </si>
  <si>
    <t>Ildefonso Guillén Arrieta</t>
  </si>
  <si>
    <t>Port Saint Lucie, FL 34952</t>
  </si>
  <si>
    <t>7 Bridle Street</t>
  </si>
  <si>
    <t>(923) 852-7654</t>
  </si>
  <si>
    <t>shawnce@optonline.net</t>
  </si>
  <si>
    <t>C0384</t>
  </si>
  <si>
    <t>Jose Ignacio Armas Ramírez</t>
  </si>
  <si>
    <t>Tallahassee, FL 32303</t>
  </si>
  <si>
    <t>3 North Augusta Road</t>
  </si>
  <si>
    <t>(559) 237-1566</t>
  </si>
  <si>
    <t>ubergeeb@live.com</t>
  </si>
  <si>
    <t>C0385</t>
  </si>
  <si>
    <t>María Jesús Celestina Casas Carrasco</t>
  </si>
  <si>
    <t>Tallahassee, FL 32304</t>
  </si>
  <si>
    <t>848 Lees Creek Ave.</t>
  </si>
  <si>
    <t>(930) 751-5153</t>
  </si>
  <si>
    <t>redingtn@yahoo.ca</t>
  </si>
  <si>
    <t>C0386</t>
  </si>
  <si>
    <t>Mamen Ledesma Escribano</t>
  </si>
  <si>
    <t>Casselberry, FL 32707</t>
  </si>
  <si>
    <t>943 Brookside St.</t>
  </si>
  <si>
    <t>(423) 496-3540</t>
  </si>
  <si>
    <t>nimaclea@live.com</t>
  </si>
  <si>
    <t>C0387</t>
  </si>
  <si>
    <t>Ambrosio Casanovas Piquer</t>
  </si>
  <si>
    <t>Miami, FL 33176</t>
  </si>
  <si>
    <t>791 Lexington Ave.</t>
  </si>
  <si>
    <t>(566) 531-0451</t>
  </si>
  <si>
    <t>iapetus@aol.com</t>
  </si>
  <si>
    <t>C0388</t>
  </si>
  <si>
    <t>Joan Ferrán Alegria</t>
  </si>
  <si>
    <t>Lake Worth, FL 33463</t>
  </si>
  <si>
    <t>8429 Bellevue Avenue</t>
  </si>
  <si>
    <t>(923) 361-1596</t>
  </si>
  <si>
    <t>skythe@outlook.com</t>
  </si>
  <si>
    <t>C0389</t>
  </si>
  <si>
    <t>Vasco Tamayo Barrio</t>
  </si>
  <si>
    <t>Hollywood, FL 33024</t>
  </si>
  <si>
    <t>46 Marlborough Drive</t>
  </si>
  <si>
    <t>(479) 389-7125</t>
  </si>
  <si>
    <t>anicolao@aol.com</t>
  </si>
  <si>
    <t>C0390</t>
  </si>
  <si>
    <t>Leire Aroa Alfaro Olmo</t>
  </si>
  <si>
    <t>Hialeah, FL 33018</t>
  </si>
  <si>
    <t>9064 William St.</t>
  </si>
  <si>
    <t>(522) 838-0614</t>
  </si>
  <si>
    <t>hahsler@yahoo.ca</t>
  </si>
  <si>
    <t>C0391</t>
  </si>
  <si>
    <t>Felix Guardia Arenas</t>
  </si>
  <si>
    <t>Miami, FL 33173</t>
  </si>
  <si>
    <t>4 Belmont Drive</t>
  </si>
  <si>
    <t>(463) 645-5648</t>
  </si>
  <si>
    <t>tokuhirom@comcast.net</t>
  </si>
  <si>
    <t>C0392</t>
  </si>
  <si>
    <t>Gloria Dalmau-Bolaños</t>
  </si>
  <si>
    <t>Miami, FL 33193</t>
  </si>
  <si>
    <t>788 Glenholme Dr.</t>
  </si>
  <si>
    <t>(968) 499-4402</t>
  </si>
  <si>
    <t>mhoffman@live.com</t>
  </si>
  <si>
    <t>C0393</t>
  </si>
  <si>
    <t>Eliana Solsona Girón</t>
  </si>
  <si>
    <t>Tampa, FL 33615</t>
  </si>
  <si>
    <t>93 Magnolia Ave.</t>
  </si>
  <si>
    <t>(263) 379-6789</t>
  </si>
  <si>
    <t>mahbub@verizon.net</t>
  </si>
  <si>
    <t>C0394</t>
  </si>
  <si>
    <t>Liliana Valdés Bilbao</t>
  </si>
  <si>
    <t>Jacksonville, FL 32225</t>
  </si>
  <si>
    <t>93 N. Schoolhouse Street</t>
  </si>
  <si>
    <t>(316) 405-3234</t>
  </si>
  <si>
    <t>janneh@gmail.com</t>
  </si>
  <si>
    <t>C0395</t>
  </si>
  <si>
    <t>Tomasa Feijoo Alvarado</t>
  </si>
  <si>
    <t>Miami, FL 33186</t>
  </si>
  <si>
    <t>719 Penn Dr.</t>
  </si>
  <si>
    <t>(443) 667-4609</t>
  </si>
  <si>
    <t>jonathan@yahoo.com</t>
  </si>
  <si>
    <t>C0396</t>
  </si>
  <si>
    <t>José Ángel Vélez Vila</t>
  </si>
  <si>
    <t>Pensacola, FL 32503</t>
  </si>
  <si>
    <t>9 Arrowhead Street</t>
  </si>
  <si>
    <t>(851) 269-0491</t>
  </si>
  <si>
    <t>zeitlin@aol.com</t>
  </si>
  <si>
    <t>C0397</t>
  </si>
  <si>
    <t>Pío Roma-Estevez</t>
  </si>
  <si>
    <t>Lakeland, FL 33813</t>
  </si>
  <si>
    <t>176B South Victoria Drive</t>
  </si>
  <si>
    <t>(727) 313-4625</t>
  </si>
  <si>
    <t>telbij@yahoo.com</t>
  </si>
  <si>
    <t>C0398</t>
  </si>
  <si>
    <t>Amelia Tello-Toledo</t>
  </si>
  <si>
    <t>Sarasota, FL 34231</t>
  </si>
  <si>
    <t>333 South Tower Ave.</t>
  </si>
  <si>
    <t>(900) 258-6110</t>
  </si>
  <si>
    <t>cparis@me.com</t>
  </si>
  <si>
    <t>C0399</t>
  </si>
  <si>
    <t>Roberta de Lamas</t>
  </si>
  <si>
    <t>Boynton Beach, FL 33436</t>
  </si>
  <si>
    <t>952 Acacia Ave.</t>
  </si>
  <si>
    <t>(984) 388-6360</t>
  </si>
  <si>
    <t>dburrows@gmail.com</t>
  </si>
  <si>
    <t>C0400</t>
  </si>
  <si>
    <t>Primitivo Melero Daza</t>
  </si>
  <si>
    <t>Pompano Beach, FL 33068</t>
  </si>
  <si>
    <t>9973 Armstrong St.</t>
  </si>
  <si>
    <t>(994) 832-9514</t>
  </si>
  <si>
    <t>budinger@gmail.com</t>
  </si>
  <si>
    <t>C0401</t>
  </si>
  <si>
    <t>Benigno Sanz Gomis</t>
  </si>
  <si>
    <t>Orlando, FL 32808</t>
  </si>
  <si>
    <t>8241 Devon Dr.</t>
  </si>
  <si>
    <t>(470) 309-6205</t>
  </si>
  <si>
    <t>mnemonic@comcast.net</t>
  </si>
  <si>
    <t>C0402</t>
  </si>
  <si>
    <t>Reyna Rivas Porcel</t>
  </si>
  <si>
    <t>Oviedo, FL 32765</t>
  </si>
  <si>
    <t>419 Sheffield St.</t>
  </si>
  <si>
    <t>(510) 332-3248</t>
  </si>
  <si>
    <t>techie@yahoo.ca</t>
  </si>
  <si>
    <t>C0403</t>
  </si>
  <si>
    <t>Olivia Goñi</t>
  </si>
  <si>
    <t>Orlando, FL 32811</t>
  </si>
  <si>
    <t>8142 Amherst Circle</t>
  </si>
  <si>
    <t>(608) 742-9416</t>
  </si>
  <si>
    <t>timlinux@att.net</t>
  </si>
  <si>
    <t>C0404</t>
  </si>
  <si>
    <t>Isaac Morcillo-Calvo</t>
  </si>
  <si>
    <t>Cape Coral, FL 33904</t>
  </si>
  <si>
    <t>345 South Trenton Dr.</t>
  </si>
  <si>
    <t>(382) 786-4916</t>
  </si>
  <si>
    <t>dgriffith@gmail.com</t>
  </si>
  <si>
    <t>C0405</t>
  </si>
  <si>
    <t>Asdrubal Franco Montaña</t>
  </si>
  <si>
    <t>Middleburg, FL 32068</t>
  </si>
  <si>
    <t>80 Harvey Drive</t>
  </si>
  <si>
    <t>(688) 304-8571</t>
  </si>
  <si>
    <t>credmond@me.com</t>
  </si>
  <si>
    <t>C0406</t>
  </si>
  <si>
    <t>Alexandra Ámbar Armengol Campos</t>
  </si>
  <si>
    <t>Jacksonville, FL 32244</t>
  </si>
  <si>
    <t>8827 Wilson Lane</t>
  </si>
  <si>
    <t>(639) 405-1427</t>
  </si>
  <si>
    <t>vsprintf@live.com</t>
  </si>
  <si>
    <t>C0407</t>
  </si>
  <si>
    <t>Calisto Menéndez</t>
  </si>
  <si>
    <t>Ormond Beach, FL 32174</t>
  </si>
  <si>
    <t>7266 Trout Drive</t>
  </si>
  <si>
    <t>(648) 441-1338</t>
  </si>
  <si>
    <t>tubajon@yahoo.ca</t>
  </si>
  <si>
    <t>C0408</t>
  </si>
  <si>
    <t>Graciana Cintia Iñiguez Heras</t>
  </si>
  <si>
    <t>8028 S. Purple Finch Drive</t>
  </si>
  <si>
    <t>(558) 935-7698</t>
  </si>
  <si>
    <t>overbom@aol.com</t>
  </si>
  <si>
    <t>C0409</t>
  </si>
  <si>
    <t>Mayte Duarte Alfonso</t>
  </si>
  <si>
    <t>Miami, FL 33157</t>
  </si>
  <si>
    <t>88 South Brickyard Drive</t>
  </si>
  <si>
    <t>(398) 257-6801</t>
  </si>
  <si>
    <t>iamcal@me.com</t>
  </si>
  <si>
    <t>C0410</t>
  </si>
  <si>
    <t>María Teresa Llamas Mariño</t>
  </si>
  <si>
    <t>Altamonte Springs, FL 32714</t>
  </si>
  <si>
    <t>7434 Second Dr.</t>
  </si>
  <si>
    <t>(226) 474-1021</t>
  </si>
  <si>
    <t>gboss@icloud.com</t>
  </si>
  <si>
    <t>C0411</t>
  </si>
  <si>
    <t>Federico Pizarro Coello</t>
  </si>
  <si>
    <t>Orlando, FL 32825</t>
  </si>
  <si>
    <t>8280 S. Pineknoll St.</t>
  </si>
  <si>
    <t>(696) 224-8334</t>
  </si>
  <si>
    <t>adamk@icloud.com</t>
  </si>
  <si>
    <t>C0412</t>
  </si>
  <si>
    <t>Pacífica Córdoba</t>
  </si>
  <si>
    <t>Fort Lauderdale, FL 33317</t>
  </si>
  <si>
    <t>8335 Hillcrest Drive</t>
  </si>
  <si>
    <t>(861) 766-3153</t>
  </si>
  <si>
    <t>formis@yahoo.com</t>
  </si>
  <si>
    <t>C0413</t>
  </si>
  <si>
    <t>Rosa Jiménez-Galvez</t>
  </si>
  <si>
    <t>Tampa, FL 33610</t>
  </si>
  <si>
    <t>8 Deerfield St.</t>
  </si>
  <si>
    <t>(283) 579-9362</t>
  </si>
  <si>
    <t>ngedmond@msn.com</t>
  </si>
  <si>
    <t>C0414</t>
  </si>
  <si>
    <t>Martirio Bonet</t>
  </si>
  <si>
    <t>Miami, FL 33155</t>
  </si>
  <si>
    <t>8834 Jefferson St.</t>
  </si>
  <si>
    <t>(970) 553-9470</t>
  </si>
  <si>
    <t>amaranth@icloud.com</t>
  </si>
  <si>
    <t>C0415</t>
  </si>
  <si>
    <t>Ruy Roldan Lara</t>
  </si>
  <si>
    <t>Deltona, FL 32725</t>
  </si>
  <si>
    <t>9951 Strawberry Ave.</t>
  </si>
  <si>
    <t>(251) 956-4735</t>
  </si>
  <si>
    <t>chaki@verizon.net</t>
  </si>
  <si>
    <t>C0416</t>
  </si>
  <si>
    <t>Felisa Múgica Gomez</t>
  </si>
  <si>
    <t>Palm Bay, FL 32907</t>
  </si>
  <si>
    <t>778 South Street</t>
  </si>
  <si>
    <t>(461) 415-6750</t>
  </si>
  <si>
    <t>barlow@mac.com</t>
  </si>
  <si>
    <t>C0417</t>
  </si>
  <si>
    <t>Anselma Valentín Malo</t>
  </si>
  <si>
    <t>Tampa, FL 33604</t>
  </si>
  <si>
    <t>52 Van Dyke Road</t>
  </si>
  <si>
    <t>(942) 377-8831</t>
  </si>
  <si>
    <t>barjam@mac.com</t>
  </si>
  <si>
    <t>C0418</t>
  </si>
  <si>
    <t>Lino de Busquets</t>
  </si>
  <si>
    <t>Jacksonville, FL 32224</t>
  </si>
  <si>
    <t>139 Mountainview St.</t>
  </si>
  <si>
    <t>(209) 879-7336</t>
  </si>
  <si>
    <t>parents@outlook.com</t>
  </si>
  <si>
    <t>C0419</t>
  </si>
  <si>
    <t>Sandra Leiva Aguiló</t>
  </si>
  <si>
    <t>Saint Petersburg, FL 33713</t>
  </si>
  <si>
    <t>422 Cedar St.</t>
  </si>
  <si>
    <t>(786) 225-1408</t>
  </si>
  <si>
    <t>dodong@comcast.net</t>
  </si>
  <si>
    <t>C0420</t>
  </si>
  <si>
    <t>Federico Gutiérrez Tamarit</t>
  </si>
  <si>
    <t>Fort Lauderdale, FL 33313</t>
  </si>
  <si>
    <t>472 West Summit Drive</t>
  </si>
  <si>
    <t>(706) 852-2679</t>
  </si>
  <si>
    <t>chrisj@gmail.com</t>
  </si>
  <si>
    <t>C0421</t>
  </si>
  <si>
    <t>Aristides Exposito Sánchez</t>
  </si>
  <si>
    <t>Venice, FL 34293</t>
  </si>
  <si>
    <t>99 S. Pumpkin Hill Ave.</t>
  </si>
  <si>
    <t>(332) 433-7473</t>
  </si>
  <si>
    <t>C0422</t>
  </si>
  <si>
    <t>Claudia Ibañez Peñas</t>
  </si>
  <si>
    <t>Orlando, FL 32835</t>
  </si>
  <si>
    <t>7845 Howard St.</t>
  </si>
  <si>
    <t>(788) 716-6288</t>
  </si>
  <si>
    <t>eminence@optonline.net</t>
  </si>
  <si>
    <t>C0423</t>
  </si>
  <si>
    <t>Roque Bejarano</t>
  </si>
  <si>
    <t>Jacksonville, FL 32246</t>
  </si>
  <si>
    <t>8974 High Point St.</t>
  </si>
  <si>
    <t>(969) 824-6307</t>
  </si>
  <si>
    <t>jonathan@att.net</t>
  </si>
  <si>
    <t>C0424</t>
  </si>
  <si>
    <t>Sergio Font Mínguez</t>
  </si>
  <si>
    <t>Hollywood, FL 33023</t>
  </si>
  <si>
    <t>419 High St.</t>
  </si>
  <si>
    <t>(578) 987-8609</t>
  </si>
  <si>
    <t>teverett@yahoo.ca</t>
  </si>
  <si>
    <t>C0425</t>
  </si>
  <si>
    <t>Luisina Chus Acosta Losa</t>
  </si>
  <si>
    <t>Jacksonville, FL 32211</t>
  </si>
  <si>
    <t>8847 Oakwood St.</t>
  </si>
  <si>
    <t>(864) 796-2642</t>
  </si>
  <si>
    <t>library@me.com</t>
  </si>
  <si>
    <t>C0426</t>
  </si>
  <si>
    <t>Eusebia Torre Dalmau</t>
  </si>
  <si>
    <t>Opa Locka, FL 33056</t>
  </si>
  <si>
    <t>709 Foxrun Ave.</t>
  </si>
  <si>
    <t>(360) 395-0174</t>
  </si>
  <si>
    <t>chronos@msn.com</t>
  </si>
  <si>
    <t>C0427</t>
  </si>
  <si>
    <t>Pedro Sancho-Garrido</t>
  </si>
  <si>
    <t>Miami Beach, FL 33141</t>
  </si>
  <si>
    <t>599 Glen Creek Drive</t>
  </si>
  <si>
    <t>(473) 259-7625</t>
  </si>
  <si>
    <t>dvdotnet@aol.com</t>
  </si>
  <si>
    <t>C0428</t>
  </si>
  <si>
    <t>Blanca Lluch Gonzalo</t>
  </si>
  <si>
    <t>Pompano Beach, FL 33065</t>
  </si>
  <si>
    <t>214 Adams Street</t>
  </si>
  <si>
    <t>(585) 896-7221</t>
  </si>
  <si>
    <t>jguyer@yahoo.com</t>
  </si>
  <si>
    <t>C0429</t>
  </si>
  <si>
    <t>Benito Aranda Olivera</t>
  </si>
  <si>
    <t>Miami, FL 33125</t>
  </si>
  <si>
    <t>1 Grove St.</t>
  </si>
  <si>
    <t>(516) 505-2111</t>
  </si>
  <si>
    <t>symbolic@live.com</t>
  </si>
  <si>
    <t>C0430</t>
  </si>
  <si>
    <t>Juan Lerma Melero</t>
  </si>
  <si>
    <t>Miami, FL 33172</t>
  </si>
  <si>
    <t>104 Manor St.</t>
  </si>
  <si>
    <t>(948) 883-9967</t>
  </si>
  <si>
    <t>cyrus@outlook.com</t>
  </si>
  <si>
    <t>C0431</t>
  </si>
  <si>
    <t>Nayara Fuster Cuesta</t>
  </si>
  <si>
    <t>Tallahassee, FL 32308</t>
  </si>
  <si>
    <t>832 West Dunbar Court</t>
  </si>
  <si>
    <t>(719) 644-3160</t>
  </si>
  <si>
    <t>russotto@att.net</t>
  </si>
  <si>
    <t>C0432</t>
  </si>
  <si>
    <t>Maricela Mendizábal-Tejera</t>
  </si>
  <si>
    <t>Sarasota, FL 34232</t>
  </si>
  <si>
    <t>7704 Vale Ave.</t>
  </si>
  <si>
    <t>(600) 967-9596</t>
  </si>
  <si>
    <t>fmtbebuck@outlook.com</t>
  </si>
  <si>
    <t>C0433</t>
  </si>
  <si>
    <t>Silvio Ledesma Planas</t>
  </si>
  <si>
    <t>Miami, FL 33126</t>
  </si>
  <si>
    <t>9830 Shadow Brook Street</t>
  </si>
  <si>
    <t>(997) 396-1254</t>
  </si>
  <si>
    <t>ovprit@live.com</t>
  </si>
  <si>
    <t>C0434</t>
  </si>
  <si>
    <t>Ovidio García Gabaldón</t>
  </si>
  <si>
    <t>Arcadia, FL 34266</t>
  </si>
  <si>
    <t>16 Bayberry St.</t>
  </si>
  <si>
    <t>(289) 891-8370</t>
  </si>
  <si>
    <t>jimxugle@gmail.com</t>
  </si>
  <si>
    <t>C0435</t>
  </si>
  <si>
    <t>Marina Gisbert Huertas</t>
  </si>
  <si>
    <t>Daytona Beach, FL 32114</t>
  </si>
  <si>
    <t>767 E. Gulf Avenue</t>
  </si>
  <si>
    <t>(454) 330-7142</t>
  </si>
  <si>
    <t>pthomsen@icloud.com</t>
  </si>
  <si>
    <t>C0436</t>
  </si>
  <si>
    <t>Nazaret Pina Solé</t>
  </si>
  <si>
    <t>Miami, FL 33142</t>
  </si>
  <si>
    <t>8711 Clay Dr.</t>
  </si>
  <si>
    <t>(843) 779-5683</t>
  </si>
  <si>
    <t>csilvers@sbcglobal.net</t>
  </si>
  <si>
    <t>C0437</t>
  </si>
  <si>
    <t>Valentina del Diaz</t>
  </si>
  <si>
    <t>Riverview, FL 33569</t>
  </si>
  <si>
    <t>359 South College Lane</t>
  </si>
  <si>
    <t>(424) 719-6724</t>
  </si>
  <si>
    <t>fangorn@optonline.net</t>
  </si>
  <si>
    <t>C0438</t>
  </si>
  <si>
    <t>José Antonio Lluch Gutiérrez</t>
  </si>
  <si>
    <t>Leesburg, FL 34748</t>
  </si>
  <si>
    <t>656 Old York Lane</t>
  </si>
  <si>
    <t>(849) 292-8635</t>
  </si>
  <si>
    <t>cliffordj@msn.com</t>
  </si>
  <si>
    <t>C0439</t>
  </si>
  <si>
    <t>María Belén Ortega Alvarez</t>
  </si>
  <si>
    <t>Hialeah, FL 33015</t>
  </si>
  <si>
    <t>8272 Cobblestone Dr.</t>
  </si>
  <si>
    <t>(477) 421-7045</t>
  </si>
  <si>
    <t>fukuchi@verizon.net</t>
  </si>
  <si>
    <t>C0440</t>
  </si>
  <si>
    <t>Manuelita Barroso-Coloma</t>
  </si>
  <si>
    <t>Hialeah, FL 33014</t>
  </si>
  <si>
    <t>485 S. Park St.</t>
  </si>
  <si>
    <t>(401) 825-3736</t>
  </si>
  <si>
    <t>kourai@optonline.net</t>
  </si>
  <si>
    <t>C0441</t>
  </si>
  <si>
    <t>Carmelo Valentín Mancebo</t>
  </si>
  <si>
    <t>Fort Lauderdale, FL 33311</t>
  </si>
  <si>
    <t>170 Indian Spring Rd.</t>
  </si>
  <si>
    <t>(305) 393-0553</t>
  </si>
  <si>
    <t>psichel@me.com</t>
  </si>
  <si>
    <t>C0442</t>
  </si>
  <si>
    <t>Jose Ramón Nicolás Marco</t>
  </si>
  <si>
    <t>Pensacola, FL 32514</t>
  </si>
  <si>
    <t>507 High Street</t>
  </si>
  <si>
    <t>(640) 477-1369</t>
  </si>
  <si>
    <t>chronos@comcast.net</t>
  </si>
  <si>
    <t>C0443</t>
  </si>
  <si>
    <t>Ruben del Azorin</t>
  </si>
  <si>
    <t>Hialeah, FL 33012</t>
  </si>
  <si>
    <t>9080 Union St.</t>
  </si>
  <si>
    <t>(225) 944-9455</t>
  </si>
  <si>
    <t>ccohen@hotmail.com</t>
  </si>
  <si>
    <t>C0444</t>
  </si>
  <si>
    <t>Jordana Riba</t>
  </si>
  <si>
    <t>Winter Park, FL 32792</t>
  </si>
  <si>
    <t>9585 Cleveland Ave.</t>
  </si>
  <si>
    <t>(818) 544-9992</t>
  </si>
  <si>
    <t>quantaman@att.net</t>
  </si>
  <si>
    <t>C0445</t>
  </si>
  <si>
    <t>Brunilda Giralt</t>
  </si>
  <si>
    <t>Palmetto, FL 34221</t>
  </si>
  <si>
    <t>95 Sierra Avenue</t>
  </si>
  <si>
    <t>(248) 248-7570</t>
  </si>
  <si>
    <t>sthomas@optonline.net</t>
  </si>
  <si>
    <t>C0446</t>
  </si>
  <si>
    <t>Jose Valenciano Osuna</t>
  </si>
  <si>
    <t>Jacksonville, FL 32207</t>
  </si>
  <si>
    <t>7942 Winding Way Lane</t>
  </si>
  <si>
    <t>(688) 689-4456</t>
  </si>
  <si>
    <t>cgcra@yahoo.ca</t>
  </si>
  <si>
    <t>C0447</t>
  </si>
  <si>
    <t>Inés Gil-Miralles</t>
  </si>
  <si>
    <t>Clermont, FL 34711</t>
  </si>
  <si>
    <t>7043 Monroe Ave.</t>
  </si>
  <si>
    <t>(532) 988-8123</t>
  </si>
  <si>
    <t>szymansk@sbcglobal.net</t>
  </si>
  <si>
    <t>C0448</t>
  </si>
  <si>
    <t>Pío del Lastra</t>
  </si>
  <si>
    <t>Kissimmee, FL 34741</t>
  </si>
  <si>
    <t>8646 Homewood Street</t>
  </si>
  <si>
    <t>(447) 481-7902</t>
  </si>
  <si>
    <t>goresky@aol.com</t>
  </si>
  <si>
    <t>C0449</t>
  </si>
  <si>
    <t>Amílcar Valera</t>
  </si>
  <si>
    <t>Sanford, FL 32771</t>
  </si>
  <si>
    <t>452 Ridge Lane</t>
  </si>
  <si>
    <t>(333) 864-8602</t>
  </si>
  <si>
    <t>staffelb@comcast.net</t>
  </si>
  <si>
    <t>C0450</t>
  </si>
  <si>
    <t>Laura del Hernandez</t>
  </si>
  <si>
    <t>Pensacola, FL 32506</t>
  </si>
  <si>
    <t>9055 W. Gonzales Street</t>
  </si>
  <si>
    <t>(350) 978-7967</t>
  </si>
  <si>
    <t>jeffcovey@me.com</t>
  </si>
  <si>
    <t>C0451</t>
  </si>
  <si>
    <t>Encarnación Iborra</t>
  </si>
  <si>
    <t>Pompano Beach, FL 33071</t>
  </si>
  <si>
    <t>7735 S. Marshall Circle</t>
  </si>
  <si>
    <t>(316) 992-3895</t>
  </si>
  <si>
    <t>world@yahoo.com</t>
  </si>
  <si>
    <t>C0452</t>
  </si>
  <si>
    <t>Nicolasa de Verdugo</t>
  </si>
  <si>
    <t>Suite 3</t>
  </si>
  <si>
    <t>Pompano Beach, FL 33060</t>
  </si>
  <si>
    <t>(247) 429-9544</t>
  </si>
  <si>
    <t>wetter@mac.com</t>
  </si>
  <si>
    <t>C0453</t>
  </si>
  <si>
    <t>Evaristo Loreto Ferrer Mariño</t>
  </si>
  <si>
    <t>231 Marsh Lane</t>
  </si>
  <si>
    <t>Apopka, FL 32703</t>
  </si>
  <si>
    <t>(843) 742-7308</t>
  </si>
  <si>
    <t>dwheeler@me.com</t>
  </si>
  <si>
    <t>C0454</t>
  </si>
  <si>
    <t>Esmeralda Visitación Menéndez Alemán</t>
  </si>
  <si>
    <t>2 West Vine St.</t>
  </si>
  <si>
    <t>Miami, FL 33174</t>
  </si>
  <si>
    <t>(770) 393-3543</t>
  </si>
  <si>
    <t>mastinfo@live.com</t>
  </si>
  <si>
    <t>C0455</t>
  </si>
  <si>
    <t>Manuel Melero Palomo</t>
  </si>
  <si>
    <t>62 Homewood Street</t>
  </si>
  <si>
    <t>Port Charlotte, FL 33952</t>
  </si>
  <si>
    <t>(949) 598-2771</t>
  </si>
  <si>
    <t>sblack@verizon.net</t>
  </si>
  <si>
    <t>C0456</t>
  </si>
  <si>
    <t>Paca Verdejo Mayoral</t>
  </si>
  <si>
    <t>95 Delaware Dr.</t>
  </si>
  <si>
    <t>Fort Lauderdale, FL 33324</t>
  </si>
  <si>
    <t>(699) 746-9159</t>
  </si>
  <si>
    <t>ganter@verizon.net</t>
  </si>
  <si>
    <t>C0457</t>
  </si>
  <si>
    <t>Regina del Parejo</t>
  </si>
  <si>
    <t>8133 Sycamore Street</t>
  </si>
  <si>
    <t>Jacksonville, FL 32218</t>
  </si>
  <si>
    <t>(844) 950-9259</t>
  </si>
  <si>
    <t>dpitts@hotmail.com</t>
  </si>
  <si>
    <t>C0458</t>
  </si>
  <si>
    <t>Águeda Giménez Serna</t>
  </si>
  <si>
    <t>8546 Ketch Harbour Ave.</t>
  </si>
  <si>
    <t>Miami Beach, FL 33139</t>
  </si>
  <si>
    <t>(787) 302-4699</t>
  </si>
  <si>
    <t>sinkou@me.com</t>
  </si>
  <si>
    <t>C0459</t>
  </si>
  <si>
    <t>Anastasio Montesinos García</t>
  </si>
  <si>
    <t>8683 South Drive</t>
  </si>
  <si>
    <t>Bradenton, FL 34208</t>
  </si>
  <si>
    <t>(952) 745-8983</t>
  </si>
  <si>
    <t>chronos@me.com</t>
  </si>
  <si>
    <t>C0460</t>
  </si>
  <si>
    <t>Marisela Quintero Quintero</t>
  </si>
  <si>
    <t>17 Silver Spear Drive</t>
  </si>
  <si>
    <t>Miami, FL 33156</t>
  </si>
  <si>
    <t>(873) 828-7242</t>
  </si>
  <si>
    <t>csilvers@gmail.com</t>
  </si>
  <si>
    <t>C0461</t>
  </si>
  <si>
    <t>Isaac Espada Madrigal</t>
  </si>
  <si>
    <t>60 Lower River St.</t>
  </si>
  <si>
    <t>Lutz, FL 33549</t>
  </si>
  <si>
    <t>(943) 865-9127</t>
  </si>
  <si>
    <t>aardo@verizon.net</t>
  </si>
  <si>
    <t>C0462</t>
  </si>
  <si>
    <t>Luciana Gaya Álvaro</t>
  </si>
  <si>
    <t>9661 Aspen St.</t>
  </si>
  <si>
    <t>North Miami Beach, FL 33160</t>
  </si>
  <si>
    <t>(668) 821-9575</t>
  </si>
  <si>
    <t>cantu@gmail.com</t>
  </si>
  <si>
    <t>C0463</t>
  </si>
  <si>
    <t>Samanta Olmedo</t>
  </si>
  <si>
    <t>265 Mill Pond Dr.</t>
  </si>
  <si>
    <t>Miami, FL 33169</t>
  </si>
  <si>
    <t>(456) 829-6689</t>
  </si>
  <si>
    <t>jeffcovey@verizon.net</t>
  </si>
  <si>
    <t>C0464</t>
  </si>
  <si>
    <t>Osvaldo Atilio Jover Herrera</t>
  </si>
  <si>
    <t>7440 Cherry Hill Court</t>
  </si>
  <si>
    <t>Titusville, FL 32780</t>
  </si>
  <si>
    <t>(224) 518-9412</t>
  </si>
  <si>
    <t>lydia@gmail.com</t>
  </si>
  <si>
    <t>C0465</t>
  </si>
  <si>
    <t>Tere Montenegro Expósito</t>
  </si>
  <si>
    <t>8958 Golf St.</t>
  </si>
  <si>
    <t>Boynton Beach, FL 33437</t>
  </si>
  <si>
    <t>(822) 587-3348</t>
  </si>
  <si>
    <t>ubergeeb@msn.com</t>
  </si>
  <si>
    <t>C0466</t>
  </si>
  <si>
    <t>Nicodemo Alegre-Izquierdo</t>
  </si>
  <si>
    <t>654 S. Jones Street</t>
  </si>
  <si>
    <t>Stuart, FL 34997</t>
  </si>
  <si>
    <t>(699) 407-0837</t>
  </si>
  <si>
    <t>jshirley@outlook.com</t>
  </si>
  <si>
    <t>C0467</t>
  </si>
  <si>
    <t>Adelardo Chico-Cuesta</t>
  </si>
  <si>
    <t>735 E. Newbridge St.</t>
  </si>
  <si>
    <t>Lake Worth, FL 33461</t>
  </si>
  <si>
    <t>(272) 549-4608</t>
  </si>
  <si>
    <t>niknejad@me.com</t>
  </si>
  <si>
    <t>C0468</t>
  </si>
  <si>
    <t>Dorotea Diez Aznar</t>
  </si>
  <si>
    <t>607 Cherry Hill Street</t>
  </si>
  <si>
    <t>Bradenton, FL 34207</t>
  </si>
  <si>
    <t>(887) 405-0872</t>
  </si>
  <si>
    <t>punkis@sbcglobal.net</t>
  </si>
  <si>
    <t>C0469</t>
  </si>
  <si>
    <t>Donato Noguera Mármol</t>
  </si>
  <si>
    <t>732 Prince Lane</t>
  </si>
  <si>
    <t>Bradenton, FL 34209</t>
  </si>
  <si>
    <t>(762) 491-8640</t>
  </si>
  <si>
    <t>skaufman@comcast.net</t>
  </si>
  <si>
    <t>C0470</t>
  </si>
  <si>
    <t>María Del Carmen Benítez-Lozano</t>
  </si>
  <si>
    <t>27 Grandrose Ave.</t>
  </si>
  <si>
    <t>Port Richey, FL 34668</t>
  </si>
  <si>
    <t>(368) 723-8977</t>
  </si>
  <si>
    <t>kmiller@yahoo.com</t>
  </si>
  <si>
    <t>C0471</t>
  </si>
  <si>
    <t>Roxana Sanjuan Nieto</t>
  </si>
  <si>
    <t>895 Sleepy Hollow St.</t>
  </si>
  <si>
    <t>Orange Park, FL 32073</t>
  </si>
  <si>
    <t>(698) 412-9077</t>
  </si>
  <si>
    <t>hoangle@verizon.net</t>
  </si>
  <si>
    <t>C0472</t>
  </si>
  <si>
    <t>Primitiva Villalba Valenciano</t>
  </si>
  <si>
    <t>767 North Miller St.</t>
  </si>
  <si>
    <t>Miami, FL 33147</t>
  </si>
  <si>
    <t>(302) 256-8455</t>
  </si>
  <si>
    <t>miturria@aol.com</t>
  </si>
  <si>
    <t>C0473</t>
  </si>
  <si>
    <t>Aura Manzano Pedrero</t>
  </si>
  <si>
    <t>7049 Water Road</t>
  </si>
  <si>
    <t>Hialeah, FL 33016</t>
  </si>
  <si>
    <t>(917) 817-2323</t>
  </si>
  <si>
    <t>bartlett@verizon.net</t>
  </si>
  <si>
    <t>C0474</t>
  </si>
  <si>
    <t>Sabas Macario Murcia Quintanilla</t>
  </si>
  <si>
    <t>17 South Court</t>
  </si>
  <si>
    <t>Saint Petersburg, FL 33702</t>
  </si>
  <si>
    <t>(272) 983-1657</t>
  </si>
  <si>
    <t>afifi@icloud.com</t>
  </si>
  <si>
    <t>C0475</t>
  </si>
  <si>
    <t>Apolinar Falcón-Cadenas</t>
  </si>
  <si>
    <t>9198 West Grant Street</t>
  </si>
  <si>
    <t>Orlando, FL 32822</t>
  </si>
  <si>
    <t>(334) 772-1013</t>
  </si>
  <si>
    <t>keiji@aol.com</t>
  </si>
  <si>
    <t>C0476</t>
  </si>
  <si>
    <t>Horacio Gallego Matas</t>
  </si>
  <si>
    <t>50 Lawrence Rd.</t>
  </si>
  <si>
    <t>Tallahassee, FL 32310</t>
  </si>
  <si>
    <t>(299) 772-6764</t>
  </si>
  <si>
    <t>kramulous@icloud.com</t>
  </si>
  <si>
    <t>C0477</t>
  </si>
  <si>
    <t>Curro Cañellas-Abad</t>
  </si>
  <si>
    <t>858 Race St.</t>
  </si>
  <si>
    <t>Jacksonville, FL 32210</t>
  </si>
  <si>
    <t>(229) 988-7982</t>
  </si>
  <si>
    <t>cantu@mac.com</t>
  </si>
  <si>
    <t>C0478</t>
  </si>
  <si>
    <t>Julio Corominas</t>
  </si>
  <si>
    <t>93 East Longbranch Dr.</t>
  </si>
  <si>
    <t>Hollywood, FL 33020</t>
  </si>
  <si>
    <t>(583) 883-0821</t>
  </si>
  <si>
    <t>wojciech@live.com</t>
  </si>
  <si>
    <t>C0479</t>
  </si>
  <si>
    <t>Dominga Olmedo Lara</t>
  </si>
  <si>
    <t>19 Victoria Street</t>
  </si>
  <si>
    <t>London</t>
  </si>
  <si>
    <t>(464) 724-8248</t>
  </si>
  <si>
    <t>dogdude@gmail.com</t>
  </si>
  <si>
    <t>C0480</t>
  </si>
  <si>
    <t>Norberto Cortés Coca</t>
  </si>
  <si>
    <t>NW48 5MP</t>
  </si>
  <si>
    <t>135 Kingsway</t>
  </si>
  <si>
    <t>(468) 449-7481</t>
  </si>
  <si>
    <t>tmaek@verizon.net</t>
  </si>
  <si>
    <t>C0481</t>
  </si>
  <si>
    <t>Juana Valls Ruiz</t>
  </si>
  <si>
    <t>N87 3AI</t>
  </si>
  <si>
    <t>(628) 943-0691</t>
  </si>
  <si>
    <t>C0482</t>
  </si>
  <si>
    <t>Inés García Nevado</t>
  </si>
  <si>
    <t>41 School Lane</t>
  </si>
  <si>
    <t>(712) 908-2589</t>
  </si>
  <si>
    <t>heine@gmail.com</t>
  </si>
  <si>
    <t>C0483</t>
  </si>
  <si>
    <t>Marianela Pablo Samper</t>
  </si>
  <si>
    <t>NW31 7RM</t>
  </si>
  <si>
    <t>45 Park Road</t>
  </si>
  <si>
    <t>(987) 571-6279</t>
  </si>
  <si>
    <t>ramollin@aol.com</t>
  </si>
  <si>
    <t>C0484</t>
  </si>
  <si>
    <t>Azahar Solsona</t>
  </si>
  <si>
    <t>SE80 5TY</t>
  </si>
  <si>
    <t>(929) 373-3828</t>
  </si>
  <si>
    <t>esbeck@msn.com</t>
  </si>
  <si>
    <t>C0485</t>
  </si>
  <si>
    <t>Patricia Leon Grande</t>
  </si>
  <si>
    <t>54 Kingsway</t>
  </si>
  <si>
    <t>(734) 789-3855</t>
  </si>
  <si>
    <t>tarreau@optonline.net</t>
  </si>
  <si>
    <t>C0486</t>
  </si>
  <si>
    <t>Inmaculada Moles-Verdú</t>
  </si>
  <si>
    <t>N75 6DC</t>
  </si>
  <si>
    <t>9746 Church Lane</t>
  </si>
  <si>
    <t>(733) 556-5309</t>
  </si>
  <si>
    <t>crypt@gmail.com</t>
  </si>
  <si>
    <t>C0487</t>
  </si>
  <si>
    <t>Piedad Casanova</t>
  </si>
  <si>
    <t>WC57 1VD</t>
  </si>
  <si>
    <t>(429) 856-2926</t>
  </si>
  <si>
    <t>flavell@aol.com</t>
  </si>
  <si>
    <t>C0488</t>
  </si>
  <si>
    <t>Dafne Amigó-Arias</t>
  </si>
  <si>
    <t>9241 Grove Road</t>
  </si>
  <si>
    <t>(867) 348-9295</t>
  </si>
  <si>
    <t>dpitts@yahoo.ca</t>
  </si>
  <si>
    <t>C0489</t>
  </si>
  <si>
    <t>Anabel Tur Llorens</t>
  </si>
  <si>
    <t>SE50 2RD</t>
  </si>
  <si>
    <t>16 West Street</t>
  </si>
  <si>
    <t>(698) 662-7980</t>
  </si>
  <si>
    <t>rsteiner@sbcglobal.net</t>
  </si>
  <si>
    <t>C0490</t>
  </si>
  <si>
    <t>Danilo Jose Antonio Escobar Muro</t>
  </si>
  <si>
    <t>N51 9IV</t>
  </si>
  <si>
    <t>(632) 905-5610</t>
  </si>
  <si>
    <t>clkao@mac.com</t>
  </si>
  <si>
    <t>C0491</t>
  </si>
  <si>
    <t>Aura Salcedo Vigil</t>
  </si>
  <si>
    <t>168 The Green</t>
  </si>
  <si>
    <t>(901) 282-1660</t>
  </si>
  <si>
    <t>slaff@yahoo.ca</t>
  </si>
  <si>
    <t>C0492</t>
  </si>
  <si>
    <t>Ramiro Cepeda Casanova</t>
  </si>
  <si>
    <t>N47 9MT</t>
  </si>
  <si>
    <t>54 West Street</t>
  </si>
  <si>
    <t>(229) 509-6838</t>
  </si>
  <si>
    <t>emmanuel@hotmail.com</t>
  </si>
  <si>
    <t>C0493</t>
  </si>
  <si>
    <t>Nadia Tormo</t>
  </si>
  <si>
    <t>N49 7QC</t>
  </si>
  <si>
    <t>(852) 727-9985</t>
  </si>
  <si>
    <t>evans@icloud.com</t>
  </si>
  <si>
    <t>C0494</t>
  </si>
  <si>
    <t>Paola González Piquer</t>
  </si>
  <si>
    <t>165 Springfield Road</t>
  </si>
  <si>
    <t>(878) 768-5731</t>
  </si>
  <si>
    <t>tezbo@verizon.net</t>
  </si>
  <si>
    <t>C0495</t>
  </si>
  <si>
    <t>Remedios Quesada Heredia</t>
  </si>
  <si>
    <t>E03 6OB</t>
  </si>
  <si>
    <t>6 Queen Street</t>
  </si>
  <si>
    <t>(577) 307-6609</t>
  </si>
  <si>
    <t>naoya@yahoo.ca</t>
  </si>
  <si>
    <t>C0496</t>
  </si>
  <si>
    <t>Andrés Cortés Fuertes</t>
  </si>
  <si>
    <t>SW74 3DH</t>
  </si>
  <si>
    <t>(799) 915-9575</t>
  </si>
  <si>
    <t>benanov@me.com</t>
  </si>
  <si>
    <t>C0497</t>
  </si>
  <si>
    <t>María Ángeles Infante-Cabanillas</t>
  </si>
  <si>
    <t>64 South Street</t>
  </si>
  <si>
    <t>(744) 335-2955</t>
  </si>
  <si>
    <t>mwandel@gmail.com</t>
  </si>
  <si>
    <t>C0498</t>
  </si>
  <si>
    <t>Heliodoro Antonio Baena Tejada</t>
  </si>
  <si>
    <t>W94 3IX</t>
  </si>
  <si>
    <t>74 High Street</t>
  </si>
  <si>
    <t>(617) 452-1538</t>
  </si>
  <si>
    <t>breegster@comcast.net</t>
  </si>
  <si>
    <t>C0499</t>
  </si>
  <si>
    <t>Belen Carballo Lladó</t>
  </si>
  <si>
    <t>NW61 4VP</t>
  </si>
  <si>
    <t>(919) 981-1829</t>
  </si>
  <si>
    <t>scato@msn.com</t>
  </si>
  <si>
    <t>C0500</t>
  </si>
  <si>
    <t>Quique Márquez Torralba</t>
  </si>
  <si>
    <t>601 London Road</t>
  </si>
  <si>
    <t>(528) 684-9875</t>
  </si>
  <si>
    <t>mwilson@comcast.net</t>
  </si>
  <si>
    <t>C0501</t>
  </si>
  <si>
    <t>Felicidad Amor Cerdán</t>
  </si>
  <si>
    <t>E98 4TE</t>
  </si>
  <si>
    <t>94 High Street</t>
  </si>
  <si>
    <t>(494) 899-6340</t>
  </si>
  <si>
    <t>cgarcia@live.com</t>
  </si>
  <si>
    <t>C0502</t>
  </si>
  <si>
    <t>Esteban de Serrano</t>
  </si>
  <si>
    <t>NW45 7HR</t>
  </si>
  <si>
    <t>(701) 769-5447</t>
  </si>
  <si>
    <t>nimaclea@optonline.net</t>
  </si>
  <si>
    <t>C0503</t>
  </si>
  <si>
    <t>Eligia Javiera Lladó Pla</t>
  </si>
  <si>
    <t>46 Victoria Street</t>
  </si>
  <si>
    <t>(388) 723-4833</t>
  </si>
  <si>
    <t>gtewari@gmail.com</t>
  </si>
  <si>
    <t>C0504</t>
  </si>
  <si>
    <t>Nidia Ordóñez Cañas</t>
  </si>
  <si>
    <t>W96 8WX</t>
  </si>
  <si>
    <t>78 Queens Road</t>
  </si>
  <si>
    <t>(936) 408-8750</t>
  </si>
  <si>
    <t>wmszeliga@att.net</t>
  </si>
  <si>
    <t>C0505</t>
  </si>
  <si>
    <t>Adelaida de Egea</t>
  </si>
  <si>
    <t>NW54 0QU</t>
  </si>
  <si>
    <t>(291) 231-4877</t>
  </si>
  <si>
    <t>kramulous@aol.com</t>
  </si>
  <si>
    <t>C0506</t>
  </si>
  <si>
    <t>Dalila Torre Amores</t>
  </si>
  <si>
    <t>9 Station Road</t>
  </si>
  <si>
    <t>(574) 819-4630</t>
  </si>
  <si>
    <t>ninenine@comcast.net</t>
  </si>
  <si>
    <t>C0507</t>
  </si>
  <si>
    <t>Roldán Guardia</t>
  </si>
  <si>
    <t>EC65 7IP</t>
  </si>
  <si>
    <t>47 Green Lane</t>
  </si>
  <si>
    <t>(898) 602-2321</t>
  </si>
  <si>
    <t>jgmyers@gmail.com</t>
  </si>
  <si>
    <t>C0508</t>
  </si>
  <si>
    <t>Gabino Barragán Figueroa</t>
  </si>
  <si>
    <t>NW58 2FV</t>
  </si>
  <si>
    <t>(324) 842-3359</t>
  </si>
  <si>
    <t>crobles@msn.com</t>
  </si>
  <si>
    <t>C0509</t>
  </si>
  <si>
    <t>Amanda Chamorro-Vives</t>
  </si>
  <si>
    <t>71 North Street</t>
  </si>
  <si>
    <t>(674) 307-5065</t>
  </si>
  <si>
    <t>jgoerzen@msn.com</t>
  </si>
  <si>
    <t>C0510</t>
  </si>
  <si>
    <t>José Cañas Martinez</t>
  </si>
  <si>
    <t>W85 2FV</t>
  </si>
  <si>
    <t>68 School Lane</t>
  </si>
  <si>
    <t>(860) 430-9246</t>
  </si>
  <si>
    <t>frikazoyd@verizon.net</t>
  </si>
  <si>
    <t>C0511</t>
  </si>
  <si>
    <t>Benita Exposito Mínguez</t>
  </si>
  <si>
    <t>SW78 3UE</t>
  </si>
  <si>
    <t>(349) 220-3362</t>
  </si>
  <si>
    <t>wonderkid@yahoo.com</t>
  </si>
  <si>
    <t>C0512</t>
  </si>
  <si>
    <t>Nerea de Portero</t>
  </si>
  <si>
    <t>51 Manchester Road</t>
  </si>
  <si>
    <t>(552) 912-4336</t>
  </si>
  <si>
    <t>wonderkid@yahoo.ca</t>
  </si>
  <si>
    <t>C0513</t>
  </si>
  <si>
    <t>Benjamín de Palau</t>
  </si>
  <si>
    <t>NW17 8IR</t>
  </si>
  <si>
    <t>11 Church Street</t>
  </si>
  <si>
    <t>(841) 890-5507</t>
  </si>
  <si>
    <t>ajlitt@gmail.com</t>
  </si>
  <si>
    <t>C0514</t>
  </si>
  <si>
    <t>Cristina Arranz-Muro</t>
  </si>
  <si>
    <t>E17 8EH</t>
  </si>
  <si>
    <t>(810) 993-2143</t>
  </si>
  <si>
    <t>seurat@icloud.com</t>
  </si>
  <si>
    <t>C0515</t>
  </si>
  <si>
    <t>Lupe Pellicer Marco</t>
  </si>
  <si>
    <t>468 Springfield Road</t>
  </si>
  <si>
    <t>(454) 648-4285</t>
  </si>
  <si>
    <t>bryanw@yahoo.com</t>
  </si>
  <si>
    <t>C0516</t>
  </si>
  <si>
    <t>Cándida Pinedo Dalmau</t>
  </si>
  <si>
    <t>SW96 2IA</t>
  </si>
  <si>
    <t>47 Windsor Road</t>
  </si>
  <si>
    <t>(263) 975-5248</t>
  </si>
  <si>
    <t>kingma@outlook.com</t>
  </si>
  <si>
    <t>C0517</t>
  </si>
  <si>
    <t>Carmelita Antón Escalona</t>
  </si>
  <si>
    <t>E76 2PS</t>
  </si>
  <si>
    <t>(229) 791-0591</t>
  </si>
  <si>
    <t>adillon@yahoo.com</t>
  </si>
  <si>
    <t>C0518</t>
  </si>
  <si>
    <t>Felicidad Macias Vall</t>
  </si>
  <si>
    <t>21 Grange Road</t>
  </si>
  <si>
    <t>(239) 230-6723</t>
  </si>
  <si>
    <t>sonnen@yahoo.ca</t>
  </si>
  <si>
    <t>C0519</t>
  </si>
  <si>
    <t>Fanny Cortes Palacios</t>
  </si>
  <si>
    <t>SE96 8YE</t>
  </si>
  <si>
    <t>2 Richmond Road</t>
  </si>
  <si>
    <t>(519) 834-6230</t>
  </si>
  <si>
    <t>gilmoure@aol.com</t>
  </si>
  <si>
    <t>C0520</t>
  </si>
  <si>
    <t>Eusebio Barros Guardia</t>
  </si>
  <si>
    <t>SW71 6OY</t>
  </si>
  <si>
    <t>(927) 989-2134</t>
  </si>
  <si>
    <t>thomasj@hotmail.com</t>
  </si>
  <si>
    <t>C0521</t>
  </si>
  <si>
    <t>Leocadio Requena-Barriga</t>
  </si>
  <si>
    <t>95 Highfield Road</t>
  </si>
  <si>
    <t>(750) 231-1278</t>
  </si>
  <si>
    <t>kewley@att.net</t>
  </si>
  <si>
    <t>C0522</t>
  </si>
  <si>
    <t>Abril Feijoo-Goñi</t>
  </si>
  <si>
    <t>N05 7OW</t>
  </si>
  <si>
    <t>145 The Grove</t>
  </si>
  <si>
    <t>(993) 819-1581</t>
  </si>
  <si>
    <t>noneme@sbcglobal.net</t>
  </si>
  <si>
    <t>C0523</t>
  </si>
  <si>
    <t>Luciano Agustí López</t>
  </si>
  <si>
    <t>N56 8HM</t>
  </si>
  <si>
    <t>(992) 764-6787</t>
  </si>
  <si>
    <t>yamla@gmail.com</t>
  </si>
  <si>
    <t>C0524</t>
  </si>
  <si>
    <t>Carlos Flores Nevado</t>
  </si>
  <si>
    <t>953 School Lane</t>
  </si>
  <si>
    <t>(426) 616-7643</t>
  </si>
  <si>
    <t>tkrotchko@icloud.com</t>
  </si>
  <si>
    <t>C0525</t>
  </si>
  <si>
    <t>Pastora Galán Mariño</t>
  </si>
  <si>
    <t>E64 5WK</t>
  </si>
  <si>
    <t>96 Mill Road</t>
  </si>
  <si>
    <t>(782) 483-8539</t>
  </si>
  <si>
    <t>ribet@yahoo.ca</t>
  </si>
  <si>
    <t>C0526</t>
  </si>
  <si>
    <t>Corona Aitana Julián Salvà</t>
  </si>
  <si>
    <t>SE54 9NC</t>
  </si>
  <si>
    <t>(758) 784-6496</t>
  </si>
  <si>
    <t>bahwi@sbcglobal.net</t>
  </si>
  <si>
    <t>C0527</t>
  </si>
  <si>
    <t>Jerónimo Peinado-Morales</t>
  </si>
  <si>
    <t>481 Park Road</t>
  </si>
  <si>
    <t>(353) 949-8642</t>
  </si>
  <si>
    <t>pkilab@mac.com</t>
  </si>
  <si>
    <t>C0528</t>
  </si>
  <si>
    <t>Nicanor García Perez</t>
  </si>
  <si>
    <t>NW10 6DG</t>
  </si>
  <si>
    <t>82 Kingsway</t>
  </si>
  <si>
    <t>(419) 271-2209</t>
  </si>
  <si>
    <t>msroth@verizon.net</t>
  </si>
  <si>
    <t>C0529</t>
  </si>
  <si>
    <t>Lisandro Guillermo Delgado Porcel</t>
  </si>
  <si>
    <t>E73 8ZM</t>
  </si>
  <si>
    <t>(695) 831-3671</t>
  </si>
  <si>
    <t>killmenow@aol.com</t>
  </si>
  <si>
    <t>C0530</t>
  </si>
  <si>
    <t>Natanael Vallés Prieto</t>
  </si>
  <si>
    <t>800 Mill Road</t>
  </si>
  <si>
    <t>(471) 654-4289</t>
  </si>
  <si>
    <t>ribet@icloud.com</t>
  </si>
  <si>
    <t>C0531</t>
  </si>
  <si>
    <t>Xiomara Sáenz Batalla</t>
  </si>
  <si>
    <t>NW83 2EN</t>
  </si>
  <si>
    <t>93 South Street</t>
  </si>
  <si>
    <t>(610) 698-5603</t>
  </si>
  <si>
    <t>wildfire@yahoo.ca</t>
  </si>
  <si>
    <t>C0532</t>
  </si>
  <si>
    <t>Santos Zurita Barrio</t>
  </si>
  <si>
    <t>SW31 4DR</t>
  </si>
  <si>
    <t>(848) 708-6921</t>
  </si>
  <si>
    <t>kingjoshi@icloud.com</t>
  </si>
  <si>
    <t>C0533</t>
  </si>
  <si>
    <t>Isidro Rozas Gámez</t>
  </si>
  <si>
    <t>136 Kingsway</t>
  </si>
  <si>
    <t>(425) 759-6711</t>
  </si>
  <si>
    <t>stinson@hotmail.com</t>
  </si>
  <si>
    <t>C0534</t>
  </si>
  <si>
    <t>Patricia Raquel Carnero Agullo</t>
  </si>
  <si>
    <t>N59 6EV</t>
  </si>
  <si>
    <t>95 Church Lane</t>
  </si>
  <si>
    <t>(536) 509-3496</t>
  </si>
  <si>
    <t>tmaek@mac.com</t>
  </si>
  <si>
    <t>C0535</t>
  </si>
  <si>
    <t>Patricio Alberola Sandoval</t>
  </si>
  <si>
    <t>N85 0RM</t>
  </si>
  <si>
    <t>(682) 371-3633</t>
  </si>
  <si>
    <t>boein@icloud.com</t>
  </si>
  <si>
    <t>C0536</t>
  </si>
  <si>
    <t>Bibiana Barrio</t>
  </si>
  <si>
    <t>26 Grove Road</t>
  </si>
  <si>
    <t>(395) 739-7429</t>
  </si>
  <si>
    <t>pdbaby@icloud.com</t>
  </si>
  <si>
    <t>C0537</t>
  </si>
  <si>
    <t>Lucila del Coronado</t>
  </si>
  <si>
    <t>EC01 3ZX</t>
  </si>
  <si>
    <t>9268 High Street</t>
  </si>
  <si>
    <t>(496) 593-3991</t>
  </si>
  <si>
    <t>gordonjcp@gmail.com</t>
  </si>
  <si>
    <t>C0538</t>
  </si>
  <si>
    <t>Danilo Matas Vicente</t>
  </si>
  <si>
    <t>WC82 9HS</t>
  </si>
  <si>
    <t>(422) 591-9860</t>
  </si>
  <si>
    <t>choset@yahoo.com</t>
  </si>
  <si>
    <t>C0539</t>
  </si>
  <si>
    <t>Duilio Lucas Feliu</t>
  </si>
  <si>
    <t>34 Manor Road</t>
  </si>
  <si>
    <t>(614) 614-8713</t>
  </si>
  <si>
    <t>jyoliver@verizon.net</t>
  </si>
  <si>
    <t>C0540</t>
  </si>
  <si>
    <t>José Reyes Leal</t>
  </si>
  <si>
    <t>NW45 6ST</t>
  </si>
  <si>
    <t>9047 York Road</t>
  </si>
  <si>
    <t>(543) 365-7239</t>
  </si>
  <si>
    <t>mglee@msn.com</t>
  </si>
  <si>
    <t>C0541</t>
  </si>
  <si>
    <t>Nicolás Pascual Gabaldón Paniagua</t>
  </si>
  <si>
    <t>W14 9ZK</t>
  </si>
  <si>
    <t>(953) 224-1239</t>
  </si>
  <si>
    <t>jgmyers@yahoo.com</t>
  </si>
  <si>
    <t>C0542</t>
  </si>
  <si>
    <t>Gonzalo Barberá Gimeno</t>
  </si>
  <si>
    <t>(719) 666-7774</t>
  </si>
  <si>
    <t>jadavis@comcast.net</t>
  </si>
  <si>
    <t>C0543</t>
  </si>
  <si>
    <t>Marco Sanchez Yuste</t>
  </si>
  <si>
    <t>W09 2TG</t>
  </si>
  <si>
    <t>9829 York Road</t>
  </si>
  <si>
    <t>(740) 214-9501</t>
  </si>
  <si>
    <t>presoff@mac.com</t>
  </si>
  <si>
    <t>C0544</t>
  </si>
  <si>
    <t>Alejandra Olivera</t>
  </si>
  <si>
    <t>SE98 6GP</t>
  </si>
  <si>
    <t>(957) 947-6883</t>
  </si>
  <si>
    <t>jadavis@outlook.com</t>
  </si>
  <si>
    <t>C0545</t>
  </si>
  <si>
    <t>Sandra Leiva Planas</t>
  </si>
  <si>
    <t>65 Kings Road</t>
  </si>
  <si>
    <t>(454) 614-0576</t>
  </si>
  <si>
    <t>willg@yahoo.com</t>
  </si>
  <si>
    <t>C0546</t>
  </si>
  <si>
    <t>Sigfrido Urrutia Vargas</t>
  </si>
  <si>
    <t>SE57 3KJ</t>
  </si>
  <si>
    <t>9541 The Avenue</t>
  </si>
  <si>
    <t>(501) 237-3656</t>
  </si>
  <si>
    <t>gbacon@gmail.com</t>
  </si>
  <si>
    <t>C0547</t>
  </si>
  <si>
    <t>Nydia Ureña Serrano</t>
  </si>
  <si>
    <t>N19 4UF</t>
  </si>
  <si>
    <t>(302) 344-8410</t>
  </si>
  <si>
    <t>quantaman@me.com</t>
  </si>
  <si>
    <t>C0548</t>
  </si>
  <si>
    <t>Etelvina Tolosa Exposito</t>
  </si>
  <si>
    <t>45 Main Road</t>
  </si>
  <si>
    <t>(364) 877-2311</t>
  </si>
  <si>
    <t>cantu@att.net</t>
  </si>
  <si>
    <t>C0549</t>
  </si>
  <si>
    <t>Adriana Gilabert Bravo</t>
  </si>
  <si>
    <t>EC64 1KL</t>
  </si>
  <si>
    <t>352 Highfield Road</t>
  </si>
  <si>
    <t>(209) 900-1460</t>
  </si>
  <si>
    <t>oechslin@mac.com</t>
  </si>
  <si>
    <t>C0550</t>
  </si>
  <si>
    <t>Juan José Giménez Calzada</t>
  </si>
  <si>
    <t>EC82 3UN</t>
  </si>
  <si>
    <t>(705) 896-8293</t>
  </si>
  <si>
    <t>tkrotchko@comcast.net</t>
  </si>
  <si>
    <t>C0551</t>
  </si>
  <si>
    <t>Emiliana Marti Manso</t>
  </si>
  <si>
    <t>710 Richmond Road</t>
  </si>
  <si>
    <t>(845) 453-8354</t>
  </si>
  <si>
    <t>keiji@mac.com</t>
  </si>
  <si>
    <t>C0552</t>
  </si>
  <si>
    <t>Adora Solera Juliá</t>
  </si>
  <si>
    <t>W56 7HP</t>
  </si>
  <si>
    <t>60 Kingsway</t>
  </si>
  <si>
    <t>(222) 401-6952</t>
  </si>
  <si>
    <t>ubergeeb@sbcglobal.net</t>
  </si>
  <si>
    <t>C0553</t>
  </si>
  <si>
    <t>Sancho Arregui Ibañez</t>
  </si>
  <si>
    <t>NW31 4PH</t>
  </si>
  <si>
    <t>(226) 882-1823</t>
  </si>
  <si>
    <t>hutton@live.com</t>
  </si>
  <si>
    <t>C0554</t>
  </si>
  <si>
    <t>Sonia Pacífica Aranda Durán</t>
  </si>
  <si>
    <t>95 South Street</t>
  </si>
  <si>
    <t>(876) 391-9261</t>
  </si>
  <si>
    <t>nacho@icloud.com</t>
  </si>
  <si>
    <t>C0555</t>
  </si>
  <si>
    <t>Aitor Pelayo Tello</t>
  </si>
  <si>
    <t>NW58 7WR</t>
  </si>
  <si>
    <t>16 Green Lane</t>
  </si>
  <si>
    <t>(942) 807-6926</t>
  </si>
  <si>
    <t>kingjoshi@hotmail.com</t>
  </si>
  <si>
    <t>C0556</t>
  </si>
  <si>
    <t>Juana Losa Villar</t>
  </si>
  <si>
    <t>N83 0BL</t>
  </si>
  <si>
    <t>(772) 705-5952</t>
  </si>
  <si>
    <t>pontipak@live.com</t>
  </si>
  <si>
    <t>C0557</t>
  </si>
  <si>
    <t>Goyo Ríos Guerra</t>
  </si>
  <si>
    <t>208 Grove Road</t>
  </si>
  <si>
    <t>(840) 981-1117</t>
  </si>
  <si>
    <t>bogjobber@msn.com</t>
  </si>
  <si>
    <t>C0558</t>
  </si>
  <si>
    <t>Rufino Beltran-Torralba</t>
  </si>
  <si>
    <t>W43 9QS</t>
  </si>
  <si>
    <t>6 Main Road</t>
  </si>
  <si>
    <t>(693) 870-1822</t>
  </si>
  <si>
    <t>alhajj@mac.com</t>
  </si>
  <si>
    <t>C0559</t>
  </si>
  <si>
    <t>Apolonia Pareja Real</t>
  </si>
  <si>
    <t>SW18 9FH</t>
  </si>
  <si>
    <t>(388) 451-5422</t>
  </si>
  <si>
    <t>blixem@mac.com</t>
  </si>
  <si>
    <t>C0560</t>
  </si>
  <si>
    <t>Herminia Samper Sureda</t>
  </si>
  <si>
    <t>85 Broadway</t>
  </si>
  <si>
    <t>(780) 656-1096</t>
  </si>
  <si>
    <t>zilla@sbcglobal.net</t>
  </si>
  <si>
    <t>C0561</t>
  </si>
  <si>
    <t>Loida Morera</t>
  </si>
  <si>
    <t>N71 3MK</t>
  </si>
  <si>
    <t>72 Queen Street</t>
  </si>
  <si>
    <t>(579) 952-6808</t>
  </si>
  <si>
    <t>shaffei@msn.com</t>
  </si>
  <si>
    <t>C0562</t>
  </si>
  <si>
    <t>Milagros Cadenas</t>
  </si>
  <si>
    <t>SE85 6RQ</t>
  </si>
  <si>
    <t>(387) 538-2533</t>
  </si>
  <si>
    <t>breegster@live.com</t>
  </si>
  <si>
    <t>C0563</t>
  </si>
  <si>
    <t>Ema Saura</t>
  </si>
  <si>
    <t>877 North Road</t>
  </si>
  <si>
    <t>(727) 372-5713</t>
  </si>
  <si>
    <t>pplinux@yahoo.com</t>
  </si>
  <si>
    <t>C0564</t>
  </si>
  <si>
    <t>Angelino Ibañez Bonet</t>
  </si>
  <si>
    <t>W93 5YP</t>
  </si>
  <si>
    <t>18 York Road</t>
  </si>
  <si>
    <t>(317) 672-5744</t>
  </si>
  <si>
    <t>nasarius@optonline.net</t>
  </si>
  <si>
    <t>C0565</t>
  </si>
  <si>
    <t>Candelas Gutierrez Solana</t>
  </si>
  <si>
    <t>N49 2BS</t>
  </si>
  <si>
    <t>(329) 891-2077</t>
  </si>
  <si>
    <t>kuparine@live.com</t>
  </si>
  <si>
    <t>C0566</t>
  </si>
  <si>
    <t>Lucio Figuerola-Lorenzo</t>
  </si>
  <si>
    <t>1 The Avenue</t>
  </si>
  <si>
    <t>(398) 404-4531</t>
  </si>
  <si>
    <t>rohitm@comcast.net</t>
  </si>
  <si>
    <t>C0567</t>
  </si>
  <si>
    <t>Benita Ramírez Ribera</t>
  </si>
  <si>
    <t>W02 8UK</t>
  </si>
  <si>
    <t>549 West Street</t>
  </si>
  <si>
    <t>(951) 374-6032</t>
  </si>
  <si>
    <t>msloan@sbcglobal.net</t>
  </si>
  <si>
    <t>C0568</t>
  </si>
  <si>
    <t>Zaida Tovar Tolosa</t>
  </si>
  <si>
    <t>NW17 2GU</t>
  </si>
  <si>
    <t>(361) 244-5124</t>
  </si>
  <si>
    <t>jschauma@sbcglobal.net</t>
  </si>
  <si>
    <t>C0569</t>
  </si>
  <si>
    <t>Héctor Puga Tudela</t>
  </si>
  <si>
    <t>62 Richmond Road</t>
  </si>
  <si>
    <t>(308) 927-4163</t>
  </si>
  <si>
    <t>ramollin@icloud.com</t>
  </si>
  <si>
    <t>C0570</t>
  </si>
  <si>
    <t>Adelina Carmona Bayo</t>
  </si>
  <si>
    <t>W42 9AC</t>
  </si>
  <si>
    <t>89 West Street</t>
  </si>
  <si>
    <t>(604) 635-3303</t>
  </si>
  <si>
    <t>seanq@gmail.com</t>
  </si>
  <si>
    <t>C0571</t>
  </si>
  <si>
    <t>Carmelita Tejedor Casas</t>
  </si>
  <si>
    <t>EC06 1BX</t>
  </si>
  <si>
    <t>(334) 850-8140</t>
  </si>
  <si>
    <t>C0572</t>
  </si>
  <si>
    <t>Bernarda Quero Córdoba</t>
  </si>
  <si>
    <t>45 The Crescent</t>
  </si>
  <si>
    <t>(551) 463-3914</t>
  </si>
  <si>
    <t>jeteve@outlook.com</t>
  </si>
  <si>
    <t>C0573</t>
  </si>
  <si>
    <t>Evita Alfaro Miguel</t>
  </si>
  <si>
    <t>SE53 2CJ</t>
  </si>
  <si>
    <t>42 Albert Road</t>
  </si>
  <si>
    <t>(732) 565-1110</t>
  </si>
  <si>
    <t>C0574</t>
  </si>
  <si>
    <t>Lidia Reyes Carbajo Pla</t>
  </si>
  <si>
    <t>W73 9BU</t>
  </si>
  <si>
    <t>(312) 348-5773</t>
  </si>
  <si>
    <t>sinclair@gmail.com</t>
  </si>
  <si>
    <t>C0575</t>
  </si>
  <si>
    <t>Carlota Rosell Baños</t>
  </si>
  <si>
    <t>28 Windsor Road</t>
  </si>
  <si>
    <t>(637) 729-8146</t>
  </si>
  <si>
    <t>gboss@verizon.net</t>
  </si>
  <si>
    <t>C0576</t>
  </si>
  <si>
    <t>Fausto Montero Sanmartín</t>
  </si>
  <si>
    <t>EC06 3FQ</t>
  </si>
  <si>
    <t>36 Albert Road</t>
  </si>
  <si>
    <t>(809) 618-5906</t>
  </si>
  <si>
    <t>helger@yahoo.ca</t>
  </si>
  <si>
    <t>C0577</t>
  </si>
  <si>
    <t>Lalo Castellanos Rueda</t>
  </si>
  <si>
    <t>W06 3RG</t>
  </si>
  <si>
    <t>(875) 247-7784</t>
  </si>
  <si>
    <t>chrwin@me.com</t>
  </si>
  <si>
    <t>C0578</t>
  </si>
  <si>
    <t>Sabina Jover-Mendoza</t>
  </si>
  <si>
    <t>3 St. John’s Road</t>
  </si>
  <si>
    <t>(922) 389-1420</t>
  </si>
  <si>
    <t>frosal@me.com</t>
  </si>
  <si>
    <t>C0579</t>
  </si>
  <si>
    <t>Nuria Mur</t>
  </si>
  <si>
    <t>WC80 6TR</t>
  </si>
  <si>
    <t>16 School Lane</t>
  </si>
  <si>
    <t>(358) 338-4360</t>
  </si>
  <si>
    <t>jfinke@optonline.net</t>
  </si>
  <si>
    <t>C0580</t>
  </si>
  <si>
    <t>Feliciana Gutierrez Mora</t>
  </si>
  <si>
    <t>E18 4JN</t>
  </si>
  <si>
    <t>(371) 781-3986</t>
  </si>
  <si>
    <t>tbmaddux@comcast.net</t>
  </si>
  <si>
    <t>C0581</t>
  </si>
  <si>
    <t>Jerónimo Vidal Hernandez</t>
  </si>
  <si>
    <t>22 Church Street</t>
  </si>
  <si>
    <t>(994) 884-8160</t>
  </si>
  <si>
    <t>gumpish@aol.com</t>
  </si>
  <si>
    <t>C0582</t>
  </si>
  <si>
    <t>Fortunata Jordán</t>
  </si>
  <si>
    <t>NW51 4UV</t>
  </si>
  <si>
    <t>91 Springfield Road</t>
  </si>
  <si>
    <t>(410) 711-4695</t>
  </si>
  <si>
    <t>pplinux@icloud.com</t>
  </si>
  <si>
    <t>C0583</t>
  </si>
  <si>
    <t>Manu Céspedes Corominas</t>
  </si>
  <si>
    <t>SW78 0SY</t>
  </si>
  <si>
    <t>(679) 967-9642</t>
  </si>
  <si>
    <t>cvrcek@att.net</t>
  </si>
  <si>
    <t>C0584</t>
  </si>
  <si>
    <t>Áurea Guzman</t>
  </si>
  <si>
    <t>96 The Avenue</t>
  </si>
  <si>
    <t>(392) 902-5044</t>
  </si>
  <si>
    <t>neuffer@verizon.net</t>
  </si>
  <si>
    <t>C0585</t>
  </si>
  <si>
    <t>Modesta Lledó Izquierdo</t>
  </si>
  <si>
    <t>SE59 7HT</t>
  </si>
  <si>
    <t>17 North Road</t>
  </si>
  <si>
    <t>(812) 508-9807</t>
  </si>
  <si>
    <t>jsbach@msn.com</t>
  </si>
  <si>
    <t>C0586</t>
  </si>
  <si>
    <t>Telmo Lastra-Cuervo</t>
  </si>
  <si>
    <t>E76 4QI</t>
  </si>
  <si>
    <t>(422) 416-4444</t>
  </si>
  <si>
    <t>biglou@yahoo.com</t>
  </si>
  <si>
    <t>C0587</t>
  </si>
  <si>
    <t>Iris Camino-Briones</t>
  </si>
  <si>
    <t>5 George Street</t>
  </si>
  <si>
    <t>(473) 919-0061</t>
  </si>
  <si>
    <t>andale@icloud.com</t>
  </si>
  <si>
    <t>C0588</t>
  </si>
  <si>
    <t>Clarisa Belda Cid</t>
  </si>
  <si>
    <t>N05 2BR</t>
  </si>
  <si>
    <t>78 Church Road</t>
  </si>
  <si>
    <t>(822) 736-4675</t>
  </si>
  <si>
    <t>irving@me.com</t>
  </si>
  <si>
    <t>C0589</t>
  </si>
  <si>
    <t>Petrona Palau Soto</t>
  </si>
  <si>
    <t>E48 9XF</t>
  </si>
  <si>
    <t>(833) 823-6470</t>
  </si>
  <si>
    <t>cisugrad@icloud.com</t>
  </si>
  <si>
    <t>C0590</t>
  </si>
  <si>
    <t>Cándido Alcázar Canales</t>
  </si>
  <si>
    <t>44 Manor Road</t>
  </si>
  <si>
    <t>(413) 463-3164</t>
  </si>
  <si>
    <t>gator@gmail.com</t>
  </si>
  <si>
    <t>C0591</t>
  </si>
  <si>
    <t>Jose Carlos Lopez Lledó</t>
  </si>
  <si>
    <t>SW74 1UW</t>
  </si>
  <si>
    <t>9822 Victoria Street</t>
  </si>
  <si>
    <t>(780) 604-2895</t>
  </si>
  <si>
    <t>bflong@sbcglobal.net</t>
  </si>
  <si>
    <t>C0592</t>
  </si>
  <si>
    <t>Adoración de Casanova</t>
  </si>
  <si>
    <t>NW53 4EZ</t>
  </si>
  <si>
    <t>(262) 211-0265</t>
  </si>
  <si>
    <t>jginspace@outlook.com</t>
  </si>
  <si>
    <t>C0593</t>
  </si>
  <si>
    <t>Gregorio Salamanca</t>
  </si>
  <si>
    <t>90 St. John’s Road</t>
  </si>
  <si>
    <t>(268) 712-7660</t>
  </si>
  <si>
    <t>mugwump@gmail.com</t>
  </si>
  <si>
    <t>C0594</t>
  </si>
  <si>
    <t>Miguel Llopis</t>
  </si>
  <si>
    <t>E21 5SK</t>
  </si>
  <si>
    <t>93 London Road</t>
  </si>
  <si>
    <t>(744) 267-9349</t>
  </si>
  <si>
    <t>noticias@hotmail.com</t>
  </si>
  <si>
    <t>C0595</t>
  </si>
  <si>
    <t>Eutimio Gilberto Pagès Ricart</t>
  </si>
  <si>
    <t>N67 8OM</t>
  </si>
  <si>
    <t>(949) 257-2530</t>
  </si>
  <si>
    <t>bartlett@aol.com</t>
  </si>
  <si>
    <t>C0596</t>
  </si>
  <si>
    <t>Anita Roca-Soler</t>
  </si>
  <si>
    <t>82 West Street</t>
  </si>
  <si>
    <t>(834) 971-5240</t>
  </si>
  <si>
    <t>mlewan@mac.com</t>
  </si>
  <si>
    <t>C0597</t>
  </si>
  <si>
    <t>Adalberto Gomis-Bello</t>
  </si>
  <si>
    <t>W06 1LQ</t>
  </si>
  <si>
    <t>17 Manchester Road</t>
  </si>
  <si>
    <t>(707) 279-5282</t>
  </si>
  <si>
    <t>fukuchi@sbcglobal.net</t>
  </si>
  <si>
    <t>C0598</t>
  </si>
  <si>
    <t>Paz Giner Reig</t>
  </si>
  <si>
    <t>WC13 9CG</t>
  </si>
  <si>
    <t>(934) 362-5596</t>
  </si>
  <si>
    <t>mhoffman@me.com</t>
  </si>
  <si>
    <t>C0599</t>
  </si>
  <si>
    <t>Horacio Cuéllar Escobar</t>
  </si>
  <si>
    <t>7 Stanley Road</t>
  </si>
  <si>
    <t>(336) 533-6650</t>
  </si>
  <si>
    <t>mxiao@icloud.com</t>
  </si>
  <si>
    <t>C0600</t>
  </si>
  <si>
    <t>Urbano Real-Tolosa</t>
  </si>
  <si>
    <t>EC36 4JR</t>
  </si>
  <si>
    <t>9482 Richmond Road</t>
  </si>
  <si>
    <t>(375) 573-3606</t>
  </si>
  <si>
    <t>linuxhack@verizon.net</t>
  </si>
  <si>
    <t>C0601</t>
  </si>
  <si>
    <t>Curro Segarra Peinado</t>
  </si>
  <si>
    <t>SW21 0LV</t>
  </si>
  <si>
    <t>(944) 481-9531</t>
  </si>
  <si>
    <t>speeves@me.com</t>
  </si>
  <si>
    <t>C0602</t>
  </si>
  <si>
    <t>Clemente Nevado</t>
  </si>
  <si>
    <t>319 The Grove</t>
  </si>
  <si>
    <t>(466) 210-7434</t>
  </si>
  <si>
    <t>petersko@sbcglobal.net</t>
  </si>
  <si>
    <t>C0603</t>
  </si>
  <si>
    <t>Azucena Elías Heredia</t>
  </si>
  <si>
    <t>E75 8HS</t>
  </si>
  <si>
    <t>580 Broadway</t>
  </si>
  <si>
    <t>(832) 804-2690</t>
  </si>
  <si>
    <t>baveja@optonline.net</t>
  </si>
  <si>
    <t>C0604</t>
  </si>
  <si>
    <t>Nicolasa Villena-Saura</t>
  </si>
  <si>
    <t>N85 9WT</t>
  </si>
  <si>
    <t>(347) 847-3387</t>
  </si>
  <si>
    <t>koudas@optonline.net</t>
  </si>
  <si>
    <t>C0605</t>
  </si>
  <si>
    <t>Luis Miguel Amaya</t>
  </si>
  <si>
    <t>65 High Street</t>
  </si>
  <si>
    <t>(301) 821-4226</t>
  </si>
  <si>
    <t>sravani@hotmail.com</t>
  </si>
  <si>
    <t>C0606</t>
  </si>
  <si>
    <t>Salomé Pla Pons</t>
  </si>
  <si>
    <t>N12 0BH</t>
  </si>
  <si>
    <t>87 Main Road</t>
  </si>
  <si>
    <t>(462) 752-6248</t>
  </si>
  <si>
    <t>crowemojo@optonline.net</t>
  </si>
  <si>
    <t>C0607</t>
  </si>
  <si>
    <t>Nazaret Morán Escamilla</t>
  </si>
  <si>
    <t>WC72 9SR</t>
  </si>
  <si>
    <t>(400) 658-1904</t>
  </si>
  <si>
    <t>themer@hotmail.com</t>
  </si>
  <si>
    <t>C0608</t>
  </si>
  <si>
    <t>Rafael Edu Zamorano Ochoa</t>
  </si>
  <si>
    <t>71 Stanley Road</t>
  </si>
  <si>
    <t>(596) 653-4507</t>
  </si>
  <si>
    <t>jdhedden@live.com</t>
  </si>
  <si>
    <t>C0609</t>
  </si>
  <si>
    <t>Sergio Salmerón Carreras</t>
  </si>
  <si>
    <t>WC50 3YX</t>
  </si>
  <si>
    <t>9496 Main Street</t>
  </si>
  <si>
    <t>(519) 384-8287</t>
  </si>
  <si>
    <t>chance@live.com</t>
  </si>
  <si>
    <t>C0610</t>
  </si>
  <si>
    <t>Mamen del Carrasco</t>
  </si>
  <si>
    <t>EC92 0MA</t>
  </si>
  <si>
    <t>(896) 641-7976</t>
  </si>
  <si>
    <t>mcnihil@verizon.net</t>
  </si>
  <si>
    <t>C0611</t>
  </si>
  <si>
    <t>Tecla Aparicio Boada</t>
  </si>
  <si>
    <t>517 Stanley Road</t>
  </si>
  <si>
    <t>(288) 958-3534</t>
  </si>
  <si>
    <t>jnolan@verizon.net</t>
  </si>
  <si>
    <t>C0612</t>
  </si>
  <si>
    <t>Amado Rodríguez Girón</t>
  </si>
  <si>
    <t>SW28 3JH</t>
  </si>
  <si>
    <t>382 West Street</t>
  </si>
  <si>
    <t>(871) 820-2589</t>
  </si>
  <si>
    <t>henkp@icloud.com</t>
  </si>
  <si>
    <t>C0613</t>
  </si>
  <si>
    <t>Jordi Seco Cantón</t>
  </si>
  <si>
    <t>SE06 9AR</t>
  </si>
  <si>
    <t>(303) 681-8666</t>
  </si>
  <si>
    <t>caidaperl@verizon.net</t>
  </si>
  <si>
    <t>C0614</t>
  </si>
  <si>
    <t>Manu Vega Girona</t>
  </si>
  <si>
    <t>69 High Street</t>
  </si>
  <si>
    <t>(385) 830-3297</t>
  </si>
  <si>
    <t>thowell@me.com</t>
  </si>
  <si>
    <t>C0615</t>
  </si>
  <si>
    <t>Basilio Riquelme Gordillo</t>
  </si>
  <si>
    <t>N75 9BF</t>
  </si>
  <si>
    <t>859 George Street</t>
  </si>
  <si>
    <t>(971) 618-7510</t>
  </si>
  <si>
    <t>techie@yahoo.com</t>
  </si>
  <si>
    <t>C0616</t>
  </si>
  <si>
    <t>Emiliano Marín</t>
  </si>
  <si>
    <t>N12 9TU</t>
  </si>
  <si>
    <t>(851) 584-2900</t>
  </si>
  <si>
    <t>mfburgo@sbcglobal.net</t>
  </si>
  <si>
    <t>C0617</t>
  </si>
  <si>
    <t>Itziar de Castellanos</t>
  </si>
  <si>
    <t>41 Alexander Road</t>
  </si>
  <si>
    <t>(247) 995-5965</t>
  </si>
  <si>
    <t>C0618</t>
  </si>
  <si>
    <t>Carmelita del Cabezas</t>
  </si>
  <si>
    <t>NW29 1SG</t>
  </si>
  <si>
    <t>763 The Green</t>
  </si>
  <si>
    <t>(998) 535-6878</t>
  </si>
  <si>
    <t>scotfl@gmail.com</t>
  </si>
  <si>
    <t>C0619</t>
  </si>
  <si>
    <t>Rufina Ballester Llamas</t>
  </si>
  <si>
    <t>E86 3DU</t>
  </si>
  <si>
    <t>(350) 396-0627</t>
  </si>
  <si>
    <t>mhouston@mac.com</t>
  </si>
  <si>
    <t>C0620</t>
  </si>
  <si>
    <t>Obdulia Escribano</t>
  </si>
  <si>
    <t>84 Church Lane</t>
  </si>
  <si>
    <t>(770) 862-7445</t>
  </si>
  <si>
    <t>mmccool@mac.com</t>
  </si>
  <si>
    <t>C0621</t>
  </si>
  <si>
    <t>Eli Montero</t>
  </si>
  <si>
    <t>E61 2JK</t>
  </si>
  <si>
    <t>5 King Street</t>
  </si>
  <si>
    <t>(786) 235-4329</t>
  </si>
  <si>
    <t>gamma@live.com</t>
  </si>
  <si>
    <t>C0622</t>
  </si>
  <si>
    <t>Edelmiro Expósito Colomer</t>
  </si>
  <si>
    <t>SW74 1QG</t>
  </si>
  <si>
    <t>(300) 685-3494</t>
  </si>
  <si>
    <t>gastown@me.com</t>
  </si>
  <si>
    <t>C0623</t>
  </si>
  <si>
    <t>Encarnacion Calderón-Olmedo</t>
  </si>
  <si>
    <t>319 Alexander Road</t>
  </si>
  <si>
    <t>(226) 599-5111</t>
  </si>
  <si>
    <t>earmstro@optonline.net</t>
  </si>
  <si>
    <t>C0624</t>
  </si>
  <si>
    <t>Toribio Aller Parra</t>
  </si>
  <si>
    <t>NW41 9IZ</t>
  </si>
  <si>
    <t>9 Chester Road</t>
  </si>
  <si>
    <t>(560) 348-7975</t>
  </si>
  <si>
    <t>luebke@gmail.com</t>
  </si>
  <si>
    <t>C0625</t>
  </si>
  <si>
    <t>Hugo Tamarit Hoz</t>
  </si>
  <si>
    <t>NW12 4XH</t>
  </si>
  <si>
    <t>(693) 263-4900</t>
  </si>
  <si>
    <t>jschauma@gmail.com</t>
  </si>
  <si>
    <t>C0626</t>
  </si>
  <si>
    <t>Renata del Alberola</t>
  </si>
  <si>
    <t>363 The Green</t>
  </si>
  <si>
    <t>(546) 784-9818</t>
  </si>
  <si>
    <t>kiddailey@hotmail.com</t>
  </si>
  <si>
    <t>C0627</t>
  </si>
  <si>
    <t>Prudencio Carreras Cobo</t>
  </si>
  <si>
    <t>W28 9FC</t>
  </si>
  <si>
    <t>62 The Green</t>
  </si>
  <si>
    <t>(212) 965-6554</t>
  </si>
  <si>
    <t>hakim@comcast.net</t>
  </si>
  <si>
    <t>C0628</t>
  </si>
  <si>
    <t>Fabio de Arrieta</t>
  </si>
  <si>
    <t>NW06 8XV</t>
  </si>
  <si>
    <t>(889) 443-1755</t>
  </si>
  <si>
    <t>aukjan@sbcglobal.net</t>
  </si>
  <si>
    <t>C0629</t>
  </si>
  <si>
    <t>Ciro Hernando Puga Patiño</t>
  </si>
  <si>
    <t>78 Springfield Road</t>
  </si>
  <si>
    <t>(848) 779-2483</t>
  </si>
  <si>
    <t>policies@hotmail.com</t>
  </si>
  <si>
    <t>C0630</t>
  </si>
  <si>
    <t>Efraín Anguita Torres</t>
  </si>
  <si>
    <t>NW41 6MG</t>
  </si>
  <si>
    <t>92 Church Lane</t>
  </si>
  <si>
    <t>(805) 697-3346</t>
  </si>
  <si>
    <t>lbaxter@outlook.com</t>
  </si>
  <si>
    <t>C0631</t>
  </si>
  <si>
    <t>Claudia Clemente Bertrán</t>
  </si>
  <si>
    <t>N23 0XZ</t>
  </si>
  <si>
    <t>(913) 721-8266</t>
  </si>
  <si>
    <t>grolschie@mac.com</t>
  </si>
  <si>
    <t>C0632</t>
  </si>
  <si>
    <t>Brunilda Paredes-Fajardo</t>
  </si>
  <si>
    <t>9 Main Road</t>
  </si>
  <si>
    <t>(282) 349-2003</t>
  </si>
  <si>
    <t>mjewell@hotmail.com</t>
  </si>
  <si>
    <t>C0633</t>
  </si>
  <si>
    <t>Nicolás Moles Colomer</t>
  </si>
  <si>
    <t>SW19 4ZN</t>
  </si>
  <si>
    <t>9529 Springfield Road</t>
  </si>
  <si>
    <t>(963) 229-9721</t>
  </si>
  <si>
    <t>rande@hotmail.com</t>
  </si>
  <si>
    <t>C0634</t>
  </si>
  <si>
    <t>Fátima Alemany Puerta</t>
  </si>
  <si>
    <t>SW41 7WV</t>
  </si>
  <si>
    <t>(546) 649-9186</t>
  </si>
  <si>
    <t>gravyface@optonline.net</t>
  </si>
  <si>
    <t>C0635</t>
  </si>
  <si>
    <t>Gabriela González Robles</t>
  </si>
  <si>
    <t>76 The Grove</t>
  </si>
  <si>
    <t>(790) 423-9896</t>
  </si>
  <si>
    <t>symbolic@aol.com</t>
  </si>
  <si>
    <t>C0636</t>
  </si>
  <si>
    <t>Norberto Cerdá-Fernández</t>
  </si>
  <si>
    <t>SE80 7ZT</t>
  </si>
  <si>
    <t>72 New Road</t>
  </si>
  <si>
    <t>(402) 426-6854</t>
  </si>
  <si>
    <t>payned@sbcglobal.net</t>
  </si>
  <si>
    <t>C0637</t>
  </si>
  <si>
    <t>Mónica Colom Larrea</t>
  </si>
  <si>
    <t>N70 4MS</t>
  </si>
  <si>
    <t>(258) 814-1284</t>
  </si>
  <si>
    <t>zeitlin@msn.com</t>
  </si>
  <si>
    <t>C0638</t>
  </si>
  <si>
    <t>Eusebio González Figuerola</t>
  </si>
  <si>
    <t>5 Victoria Street</t>
  </si>
  <si>
    <t>(832) 468-1526</t>
  </si>
  <si>
    <t>shang@outlook.com</t>
  </si>
  <si>
    <t>C0639</t>
  </si>
  <si>
    <t>Isaac del Amaya</t>
  </si>
  <si>
    <t>N28 3JE</t>
  </si>
  <si>
    <t>89 York Road</t>
  </si>
  <si>
    <t>(587) 654-1459</t>
  </si>
  <si>
    <t>atmarks@mac.com</t>
  </si>
  <si>
    <t>C0640</t>
  </si>
  <si>
    <t>Víctor Gisbert</t>
  </si>
  <si>
    <t>NW26 3BP</t>
  </si>
  <si>
    <t>(786) 599-5695</t>
  </si>
  <si>
    <t>jugalator@optonline.net</t>
  </si>
  <si>
    <t>C0641</t>
  </si>
  <si>
    <t>Paca Castell Viana</t>
  </si>
  <si>
    <t>9535 Manchester Road</t>
  </si>
  <si>
    <t>(673) 380-1953</t>
  </si>
  <si>
    <t>amimojo@yahoo.com</t>
  </si>
  <si>
    <t>C0642</t>
  </si>
  <si>
    <t>Belen Zoraida Baró Lozano</t>
  </si>
  <si>
    <t>N85 7LD</t>
  </si>
  <si>
    <t>925 George Street</t>
  </si>
  <si>
    <t>(787) 598-7416</t>
  </si>
  <si>
    <t>library@outlook.com</t>
  </si>
  <si>
    <t>C0643</t>
  </si>
  <si>
    <t>Pastor Fuente Arenas</t>
  </si>
  <si>
    <t>NW69 5KE</t>
  </si>
  <si>
    <t>(252) 212-3211</t>
  </si>
  <si>
    <t>mwandel@verizon.net</t>
  </si>
  <si>
    <t>C0644</t>
  </si>
  <si>
    <t>Amaro Quero Paredes</t>
  </si>
  <si>
    <t>520 Albert Road</t>
  </si>
  <si>
    <t>(458) 895-2442</t>
  </si>
  <si>
    <t>mfburgo@hotmail.com</t>
  </si>
  <si>
    <t>C0645</t>
  </si>
  <si>
    <t>Margarita del Coronado</t>
  </si>
  <si>
    <t>SE34 0ME</t>
  </si>
  <si>
    <t>68 Main Road</t>
  </si>
  <si>
    <t>(901) 850-8259</t>
  </si>
  <si>
    <t>hyper@yahoo.ca</t>
  </si>
  <si>
    <t>C0646</t>
  </si>
  <si>
    <t>Calixto España Jove</t>
  </si>
  <si>
    <t>N36 2IX</t>
  </si>
  <si>
    <t>(625) 448-6097</t>
  </si>
  <si>
    <t>rjones@sbcglobal.net</t>
  </si>
  <si>
    <t>C0647</t>
  </si>
  <si>
    <t>Sofía Mulet Benet</t>
  </si>
  <si>
    <t>567 Albert Road</t>
  </si>
  <si>
    <t>(556) 902-0359</t>
  </si>
  <si>
    <t>naoya@aol.com</t>
  </si>
  <si>
    <t>C0648</t>
  </si>
  <si>
    <t>Melania Ariadna Barceló Garcés</t>
  </si>
  <si>
    <t>WC72 9NZ</t>
  </si>
  <si>
    <t>38 Richmond Road</t>
  </si>
  <si>
    <t>(419) 691-3967</t>
  </si>
  <si>
    <t>hermanab@mac.com</t>
  </si>
  <si>
    <t>C0649</t>
  </si>
  <si>
    <t>Albina Dulce Nieto Ferrándiz</t>
  </si>
  <si>
    <t>W46 2BU</t>
  </si>
  <si>
    <t>(299) 917-8437</t>
  </si>
  <si>
    <t>pakaste@icloud.com</t>
  </si>
  <si>
    <t>C0650</t>
  </si>
  <si>
    <t>Pepita Roig</t>
  </si>
  <si>
    <t>23 Park Avenue</t>
  </si>
  <si>
    <t>(568) 949-0998</t>
  </si>
  <si>
    <t>wainwrig@optonline.net</t>
  </si>
  <si>
    <t>C0651</t>
  </si>
  <si>
    <t>Marcela Leal Montes</t>
  </si>
  <si>
    <t>SW89 6BP</t>
  </si>
  <si>
    <t>9772 George Street</t>
  </si>
  <si>
    <t>(377) 519-0306</t>
  </si>
  <si>
    <t>jeteve@optonline.net</t>
  </si>
  <si>
    <t>C0652</t>
  </si>
  <si>
    <t>Paloma Salvà Carvajal</t>
  </si>
  <si>
    <t>EC32 7ZT</t>
  </si>
  <si>
    <t>(266) 259-5870</t>
  </si>
  <si>
    <t>singer@yahoo.ca</t>
  </si>
  <si>
    <t>C0653</t>
  </si>
  <si>
    <t>Adelia Martí Bello</t>
  </si>
  <si>
    <t>584 Park Avenue</t>
  </si>
  <si>
    <t>(399) 366-1808</t>
  </si>
  <si>
    <t>telbij@msn.com</t>
  </si>
  <si>
    <t>C0654</t>
  </si>
  <si>
    <t>Atilio Batalla Rios</t>
  </si>
  <si>
    <t>SW73 5IR</t>
  </si>
  <si>
    <t>99 High Street</t>
  </si>
  <si>
    <t>(494) 586-8976</t>
  </si>
  <si>
    <t>bancboy@verizon.net</t>
  </si>
  <si>
    <t>C0655</t>
  </si>
  <si>
    <t>Felicia Novoa Cózar</t>
  </si>
  <si>
    <t>W07 1MG</t>
  </si>
  <si>
    <t>(255) 815-9078</t>
  </si>
  <si>
    <t>thassine@sbcglobal.net</t>
  </si>
  <si>
    <t>C0656</t>
  </si>
  <si>
    <t>Petrona Guardia Céspedes</t>
  </si>
  <si>
    <t>81 Manor Road</t>
  </si>
  <si>
    <t>(727) 783-4000</t>
  </si>
  <si>
    <t>skajan@gmail.com</t>
  </si>
  <si>
    <t>C0657</t>
  </si>
  <si>
    <t>Tito Oliveras-Mármol</t>
  </si>
  <si>
    <t>N69 4QH</t>
  </si>
  <si>
    <t>47 St. John’s Road</t>
  </si>
  <si>
    <t>(848) 504-4182</t>
  </si>
  <si>
    <t>mjewell@verizon.net</t>
  </si>
  <si>
    <t>C0658</t>
  </si>
  <si>
    <t>Urbano Plana Cornejo</t>
  </si>
  <si>
    <t>SE32 0CN</t>
  </si>
  <si>
    <t>(746) 203-6657</t>
  </si>
  <si>
    <t>C0659</t>
  </si>
  <si>
    <t>Anselma Rodriguez Bernad</t>
  </si>
  <si>
    <t>21 Manor Road</t>
  </si>
  <si>
    <t>(865) 416-9258</t>
  </si>
  <si>
    <t>crandall@comcast.net</t>
  </si>
  <si>
    <t>C0660</t>
  </si>
  <si>
    <t>Adrián Fabra Viña</t>
  </si>
  <si>
    <t>EC85 9TN</t>
  </si>
  <si>
    <t>82 George Street</t>
  </si>
  <si>
    <t>(965) 404-9334</t>
  </si>
  <si>
    <t>tokuhirom@msn.com</t>
  </si>
  <si>
    <t>C0661</t>
  </si>
  <si>
    <t>Nicolasa Becerra Sánchez</t>
  </si>
  <si>
    <t>WC75 0HJ</t>
  </si>
  <si>
    <t>(928) 728-1293</t>
  </si>
  <si>
    <t>martyloo@verizon.net</t>
  </si>
  <si>
    <t>C0662</t>
  </si>
  <si>
    <t>Ágata Carbajo Calvo</t>
  </si>
  <si>
    <t>9459 King Street</t>
  </si>
  <si>
    <t>(979) 684-4030</t>
  </si>
  <si>
    <t>floxy@gmail.com</t>
  </si>
  <si>
    <t>C0663</t>
  </si>
  <si>
    <t>Pepita Laura Lladó Franch</t>
  </si>
  <si>
    <t>WC09 3CX</t>
  </si>
  <si>
    <t>7 South Street</t>
  </si>
  <si>
    <t>(667) 933-2880</t>
  </si>
  <si>
    <t>paulv@verizon.net</t>
  </si>
  <si>
    <t>C0664</t>
  </si>
  <si>
    <t>Noemí Carpio Seco</t>
  </si>
  <si>
    <t>E78 3QR</t>
  </si>
  <si>
    <t>(569) 583-5618</t>
  </si>
  <si>
    <t>linuxhack@msn.com</t>
  </si>
  <si>
    <t>C0665</t>
  </si>
  <si>
    <t>Edelmira Mosquera Recio</t>
  </si>
  <si>
    <t>288 Broadway</t>
  </si>
  <si>
    <t>(553) 319-8193</t>
  </si>
  <si>
    <t>tlinden@mac.com</t>
  </si>
  <si>
    <t>C0666</t>
  </si>
  <si>
    <t>Petrona Fonseca Martínez</t>
  </si>
  <si>
    <t>N82 6DQ</t>
  </si>
  <si>
    <t>79 North Road</t>
  </si>
  <si>
    <t>(216) 642-1783</t>
  </si>
  <si>
    <t>juerd@gmail.com</t>
  </si>
  <si>
    <t>C0667</t>
  </si>
  <si>
    <t>Fernando Peralta Arévalo</t>
  </si>
  <si>
    <t>NW36 9XU</t>
  </si>
  <si>
    <t>(758) 641-0007</t>
  </si>
  <si>
    <t>stellaau@comcast.net</t>
  </si>
  <si>
    <t>C0668</t>
  </si>
  <si>
    <t>Ariel Florencio Dávila Aramburu</t>
  </si>
  <si>
    <t>13 Victoria Road</t>
  </si>
  <si>
    <t>(647) 600-0763</t>
  </si>
  <si>
    <t>miturria@yahoo.ca</t>
  </si>
  <si>
    <t>C0669</t>
  </si>
  <si>
    <t>Magdalena Almansa Bayona</t>
  </si>
  <si>
    <t>W62 7UD</t>
  </si>
  <si>
    <t>43 The Green</t>
  </si>
  <si>
    <t>(389) 210-4301</t>
  </si>
  <si>
    <t>inico@yahoo.com</t>
  </si>
  <si>
    <t>C0670</t>
  </si>
  <si>
    <t>Amancio Chuy Cañas Garcia</t>
  </si>
  <si>
    <t>N75 9JP</t>
  </si>
  <si>
    <t>(559) 237-4254</t>
  </si>
  <si>
    <t>joelw@verizon.net</t>
  </si>
  <si>
    <t>C0671</t>
  </si>
  <si>
    <t>Xiomara Albero Palomares</t>
  </si>
  <si>
    <t>42 Stanley Road</t>
  </si>
  <si>
    <t>(425) 639-1001</t>
  </si>
  <si>
    <t>jshirley@me.com</t>
  </si>
  <si>
    <t>C0672</t>
  </si>
  <si>
    <t>Moreno del Armas</t>
  </si>
  <si>
    <t>WC10 7YI</t>
  </si>
  <si>
    <t>477 London Road</t>
  </si>
  <si>
    <t>(912) 744-3841</t>
  </si>
  <si>
    <t>ranasta@mac.com</t>
  </si>
  <si>
    <t>C0673</t>
  </si>
  <si>
    <t>Mayte Arjona Mir</t>
  </si>
  <si>
    <t>W39 2MS</t>
  </si>
  <si>
    <t>(420) 734-0267</t>
  </si>
  <si>
    <t>frikazoyd@live.com</t>
  </si>
  <si>
    <t>C0674</t>
  </si>
  <si>
    <t>Elena Conde Alonso</t>
  </si>
  <si>
    <t>1 North Road</t>
  </si>
  <si>
    <t>(642) 256-2742</t>
  </si>
  <si>
    <t>osrin@aol.com</t>
  </si>
  <si>
    <t>C0675</t>
  </si>
  <si>
    <t>Celia Peinado Riquelme</t>
  </si>
  <si>
    <t>SE21 8PJ</t>
  </si>
  <si>
    <t>23 Main Road</t>
  </si>
  <si>
    <t>(440) 856-1816</t>
  </si>
  <si>
    <t>pthomsen@verizon.net</t>
  </si>
  <si>
    <t>C0676</t>
  </si>
  <si>
    <t>José Mas Diaz</t>
  </si>
  <si>
    <t>W79 6UG</t>
  </si>
  <si>
    <t>(236) 758-1959</t>
  </si>
  <si>
    <t>eurohack@optonline.net</t>
  </si>
  <si>
    <t>C0677</t>
  </si>
  <si>
    <t>Marco del Almansa</t>
  </si>
  <si>
    <t>874 Manor Road</t>
  </si>
  <si>
    <t>(454) 251-7217</t>
  </si>
  <si>
    <t>csilvers@outlook.com</t>
  </si>
  <si>
    <t>C0678</t>
  </si>
  <si>
    <t>Ariel Martorell Quero</t>
  </si>
  <si>
    <t>EC17 3MA</t>
  </si>
  <si>
    <t>954 Windsor Road</t>
  </si>
  <si>
    <t>(554) 671-5835</t>
  </si>
  <si>
    <t>rasca@icloud.com</t>
  </si>
  <si>
    <t>C0679</t>
  </si>
  <si>
    <t>Claudia Ibañez Macías</t>
  </si>
  <si>
    <t>WC13 6VO</t>
  </si>
  <si>
    <t>(796) 405-5951</t>
  </si>
  <si>
    <t>donev@yahoo.com</t>
  </si>
  <si>
    <t>C0680</t>
  </si>
  <si>
    <t>Morena Llanos Dalmau</t>
  </si>
  <si>
    <t>823 The Green</t>
  </si>
  <si>
    <t>(355) 836-1997</t>
  </si>
  <si>
    <t>psichel@yahoo.ca</t>
  </si>
  <si>
    <t>C0681</t>
  </si>
  <si>
    <t>Tecla Gertrudis Fortuny Santana</t>
  </si>
  <si>
    <t>W95 4IQ</t>
  </si>
  <si>
    <t>9 Stanley Road</t>
  </si>
  <si>
    <t>(286) 437-9985</t>
  </si>
  <si>
    <t>ranasta@att.net</t>
  </si>
  <si>
    <t>C0682</t>
  </si>
  <si>
    <t>Jose Francisco Martí Crespo</t>
  </si>
  <si>
    <t>N74 6MB</t>
  </si>
  <si>
    <t>(728) 630-9093</t>
  </si>
  <si>
    <t>lbaxter@verizon.net</t>
  </si>
  <si>
    <t>C0683</t>
  </si>
  <si>
    <t>Teresita Donaire Prieto</t>
  </si>
  <si>
    <t>45 South Street</t>
  </si>
  <si>
    <t>(375) 276-9555</t>
  </si>
  <si>
    <t>rnewman@yahoo.com</t>
  </si>
  <si>
    <t>C0684</t>
  </si>
  <si>
    <t>Sofía Campillo Meléndez</t>
  </si>
  <si>
    <t>SE29 0XB</t>
  </si>
  <si>
    <t>1 Kings Road</t>
  </si>
  <si>
    <t>(303) 888-3580</t>
  </si>
  <si>
    <t>intlprog@optonline.net</t>
  </si>
  <si>
    <t>C0685</t>
  </si>
  <si>
    <t>Paola Anastasia Peral Gracia</t>
  </si>
  <si>
    <t>SW63 0GX</t>
  </si>
  <si>
    <t>(620) 263-0937</t>
  </si>
  <si>
    <t>jgoerzen@sbcglobal.net</t>
  </si>
  <si>
    <t>C0686</t>
  </si>
  <si>
    <t>Fabián Ojeda Duran</t>
  </si>
  <si>
    <t>75 The Drive</t>
  </si>
  <si>
    <t>(285) 569-3815</t>
  </si>
  <si>
    <t>shrapnull@mac.com</t>
  </si>
  <si>
    <t>C0687</t>
  </si>
  <si>
    <t>Pascuala Conde-Amat</t>
  </si>
  <si>
    <t>NW49 8JX</t>
  </si>
  <si>
    <t>919 Queensway</t>
  </si>
  <si>
    <t>(933) 493-1296</t>
  </si>
  <si>
    <t>teverett@yahoo.com</t>
  </si>
  <si>
    <t>C0688</t>
  </si>
  <si>
    <t>Vicente de Manzano</t>
  </si>
  <si>
    <t>E25 7BW</t>
  </si>
  <si>
    <t>(984) 925-1479</t>
  </si>
  <si>
    <t>jdhedden@verizon.net</t>
  </si>
  <si>
    <t>C0689</t>
  </si>
  <si>
    <t>Serafina de Suárez</t>
  </si>
  <si>
    <t>893 Church Lane</t>
  </si>
  <si>
    <t>(745) 969-2385</t>
  </si>
  <si>
    <t>miami@hotmail.com</t>
  </si>
  <si>
    <t>C0690</t>
  </si>
  <si>
    <t>Benita Susanita Segarra Comas</t>
  </si>
  <si>
    <t>SE91 4YS</t>
  </si>
  <si>
    <t>9633 Highfield Road</t>
  </si>
  <si>
    <t>(385) 423-8512</t>
  </si>
  <si>
    <t>reeds@sbcglobal.net</t>
  </si>
  <si>
    <t>C0691</t>
  </si>
  <si>
    <t>Casemiro Aliaga Arce</t>
  </si>
  <si>
    <t>WC40 6RS</t>
  </si>
  <si>
    <t>(541) 380-9655</t>
  </si>
  <si>
    <t>jmmuller@hotmail.com</t>
  </si>
  <si>
    <t>C0692</t>
  </si>
  <si>
    <t>Renato Machado Pla</t>
  </si>
  <si>
    <t>(499) 251-4292</t>
  </si>
  <si>
    <t>mailarc@verizon.net</t>
  </si>
  <si>
    <t>C0693</t>
  </si>
  <si>
    <t>Desiderio Mendoza Escobar</t>
  </si>
  <si>
    <t>EC74 0XB</t>
  </si>
  <si>
    <t>42 Kingsway</t>
  </si>
  <si>
    <t>(889) 376-3128</t>
  </si>
  <si>
    <t>sfoskett@sbcglobal.net</t>
  </si>
  <si>
    <t>C0694</t>
  </si>
  <si>
    <t>Gerardo Bernat Barros</t>
  </si>
  <si>
    <t>SE59 1ZQ</t>
  </si>
  <si>
    <t>(899) 319-0739</t>
  </si>
  <si>
    <t>eurohack@yahoo.ca</t>
  </si>
  <si>
    <t>C0695</t>
  </si>
  <si>
    <t>Hugo Torrecilla Canals</t>
  </si>
  <si>
    <t>44 Grove Road</t>
  </si>
  <si>
    <t>(799) 736-0563</t>
  </si>
  <si>
    <t>ahmad@yahoo.com</t>
  </si>
  <si>
    <t>C0696</t>
  </si>
  <si>
    <t>Mamen Ortega Ferrer</t>
  </si>
  <si>
    <t>W52 6WK</t>
  </si>
  <si>
    <t>72 The Grove</t>
  </si>
  <si>
    <t>(897) 495-1662</t>
  </si>
  <si>
    <t>lstein@hotmail.com</t>
  </si>
  <si>
    <t>C0697</t>
  </si>
  <si>
    <t>Ciríaco del Ruano</t>
  </si>
  <si>
    <t>NW50 1WE</t>
  </si>
  <si>
    <t>(744) 403-9916</t>
  </si>
  <si>
    <t>bmidd@aol.com</t>
  </si>
  <si>
    <t>C0698</t>
  </si>
  <si>
    <t>Reynaldo Gargallo Salcedo</t>
  </si>
  <si>
    <t>79 The Avenue</t>
  </si>
  <si>
    <t>(936) 598-2906</t>
  </si>
  <si>
    <t>stecoop@msn.com</t>
  </si>
  <si>
    <t>C0699</t>
  </si>
  <si>
    <t>Blanca Quero Alcántara</t>
  </si>
  <si>
    <t>WC28 1FM</t>
  </si>
  <si>
    <t>593 New Road</t>
  </si>
  <si>
    <t>(469) 532-4548</t>
  </si>
  <si>
    <t>ateniese@icloud.com</t>
  </si>
  <si>
    <t>C0700</t>
  </si>
  <si>
    <t>Concepción Catalán</t>
  </si>
  <si>
    <t>SW43 0ZK</t>
  </si>
  <si>
    <t>(947) 361-6058</t>
  </si>
  <si>
    <t>carcus@mac.com</t>
  </si>
  <si>
    <t>C0701</t>
  </si>
  <si>
    <t>Carolina Bilbao Iñiguez</t>
  </si>
  <si>
    <t>85 Victoria Street</t>
  </si>
  <si>
    <t>(949) 882-5871</t>
  </si>
  <si>
    <t>klaudon@gmail.com</t>
  </si>
  <si>
    <t>C0702</t>
  </si>
  <si>
    <t>Luisina Gonzalez Ferrán</t>
  </si>
  <si>
    <t>SW74 5VB</t>
  </si>
  <si>
    <t>302 Kingsway</t>
  </si>
  <si>
    <t>(305) 415-3051</t>
  </si>
  <si>
    <t>C0703</t>
  </si>
  <si>
    <t>Filomena Larrañaga Andrade</t>
  </si>
  <si>
    <t>E48 1ZX</t>
  </si>
  <si>
    <t>(828) 518-2220</t>
  </si>
  <si>
    <t>rfisher@hotmail.com</t>
  </si>
  <si>
    <t>C0704</t>
  </si>
  <si>
    <t>Marta Roldán-Galván</t>
  </si>
  <si>
    <t>220 Manchester Road</t>
  </si>
  <si>
    <t>(723) 679-1851</t>
  </si>
  <si>
    <t>mxiao@yahoo.com</t>
  </si>
  <si>
    <t>C0705</t>
  </si>
  <si>
    <t>Alma Valderrama Cortés</t>
  </si>
  <si>
    <t>SW25 9DQ</t>
  </si>
  <si>
    <t>650 Queensway</t>
  </si>
  <si>
    <t>(274) 482-2742</t>
  </si>
  <si>
    <t>reziac@att.net</t>
  </si>
  <si>
    <t>C0706</t>
  </si>
  <si>
    <t>Alcides Viana Benavente</t>
  </si>
  <si>
    <t>SE15 3HN</t>
  </si>
  <si>
    <t>(596) 753-6330</t>
  </si>
  <si>
    <t>mailarc@att.net</t>
  </si>
  <si>
    <t>C0707</t>
  </si>
  <si>
    <t>Santiago Garmendia Doménech</t>
  </si>
  <si>
    <t>9518 Mill Road</t>
  </si>
  <si>
    <t>(493) 751-7562</t>
  </si>
  <si>
    <t>brainless@msn.com</t>
  </si>
  <si>
    <t>C0708</t>
  </si>
  <si>
    <t>Nerea Torrent-Valverde</t>
  </si>
  <si>
    <t>NW19 5DQ</t>
  </si>
  <si>
    <t>9833 Main Road</t>
  </si>
  <si>
    <t>(804) 565-3963</t>
  </si>
  <si>
    <t>akoblin@comcast.net</t>
  </si>
  <si>
    <t>C0709</t>
  </si>
  <si>
    <t>Ángeles del Higueras</t>
  </si>
  <si>
    <t>NW83 9CK</t>
  </si>
  <si>
    <t>(857) 359-0241</t>
  </si>
  <si>
    <t>geoffr@optonline.net</t>
  </si>
  <si>
    <t>C0710</t>
  </si>
  <si>
    <t>Octavio de Andrés</t>
  </si>
  <si>
    <t>9 Grange Road</t>
  </si>
  <si>
    <t>(680) 877-0373</t>
  </si>
  <si>
    <t>shawnce@gmail.com</t>
  </si>
  <si>
    <t>C0711</t>
  </si>
  <si>
    <t>Eligio Herrero-Canet</t>
  </si>
  <si>
    <t>WC26 5BI</t>
  </si>
  <si>
    <t>19 The Avenue</t>
  </si>
  <si>
    <t>(644) 440-6033</t>
  </si>
  <si>
    <t>trygstad@mac.com</t>
  </si>
  <si>
    <t>C0712</t>
  </si>
  <si>
    <t>Elías Carbonell Pareja</t>
  </si>
  <si>
    <t>W45 7MN</t>
  </si>
  <si>
    <t>(788) 977-2844</t>
  </si>
  <si>
    <t>plover@me.com</t>
  </si>
  <si>
    <t>C0713</t>
  </si>
  <si>
    <t>Elvira Olmedo Girona</t>
  </si>
  <si>
    <t>575 Park Avenue</t>
  </si>
  <si>
    <t>(244) 263-7499</t>
  </si>
  <si>
    <t>choset@optonline.net</t>
  </si>
  <si>
    <t>C0714</t>
  </si>
  <si>
    <t>Sosimo Landa Aragonés</t>
  </si>
  <si>
    <t>SW21 9ZX</t>
  </si>
  <si>
    <t>5 Mill Road</t>
  </si>
  <si>
    <t>(837) 287-6032</t>
  </si>
  <si>
    <t>caidaperl@aol.com</t>
  </si>
  <si>
    <t>C0715</t>
  </si>
  <si>
    <t>Clotilde del Osorio</t>
  </si>
  <si>
    <t>N91 6SR</t>
  </si>
  <si>
    <t>(212) 363-5006</t>
  </si>
  <si>
    <t>murdocj@gmail.com</t>
  </si>
  <si>
    <t>C0716</t>
  </si>
  <si>
    <t>Alcides Tello Fernandez</t>
  </si>
  <si>
    <t>9505 The Grove</t>
  </si>
  <si>
    <t>(315) 840-0702</t>
  </si>
  <si>
    <t>grossman@verizon.net</t>
  </si>
  <si>
    <t>C0717</t>
  </si>
  <si>
    <t>Sigfrido Simó Benavent</t>
  </si>
  <si>
    <t>SE31 9GQ</t>
  </si>
  <si>
    <t>51 George Street</t>
  </si>
  <si>
    <t>(467) 358-4503</t>
  </si>
  <si>
    <t>bartlett@mac.com</t>
  </si>
  <si>
    <t>C0718</t>
  </si>
  <si>
    <t>Nerea Leon Puga</t>
  </si>
  <si>
    <t>W96 5MH</t>
  </si>
  <si>
    <t>(360) 620-0866</t>
  </si>
  <si>
    <t>claesjac@aol.com</t>
  </si>
  <si>
    <t>C0719</t>
  </si>
  <si>
    <t>David Ballesteros-Francisco</t>
  </si>
  <si>
    <t>437 Queensway</t>
  </si>
  <si>
    <t>(229) 275-5223</t>
  </si>
  <si>
    <t>jadavis@icloud.com</t>
  </si>
  <si>
    <t>C0720</t>
  </si>
  <si>
    <t>Eva Araceli Marcos Cerdán</t>
  </si>
  <si>
    <t>NW87 0HE</t>
  </si>
  <si>
    <t>364 The Green</t>
  </si>
  <si>
    <t>(344) 778-8434</t>
  </si>
  <si>
    <t>vmalik@msn.com</t>
  </si>
  <si>
    <t>C0721</t>
  </si>
  <si>
    <t>Tecla Conesa</t>
  </si>
  <si>
    <t>EC47 2KO</t>
  </si>
  <si>
    <t>(258) 518-2594</t>
  </si>
  <si>
    <t>slaff@me.com</t>
  </si>
  <si>
    <t>C0722</t>
  </si>
  <si>
    <t>Mayte Isern Gárate</t>
  </si>
  <si>
    <t>4 Mill Road</t>
  </si>
  <si>
    <t>(859) 270-2403</t>
  </si>
  <si>
    <t>kjohnson@gmail.com</t>
  </si>
  <si>
    <t>C0723</t>
  </si>
  <si>
    <t>Ignacio Bauzà-Torrens</t>
  </si>
  <si>
    <t>SW50 4KB</t>
  </si>
  <si>
    <t>5 High Street</t>
  </si>
  <si>
    <t>(611) 486-5321</t>
  </si>
  <si>
    <t>weazelman@icloud.com</t>
  </si>
  <si>
    <t>C0724</t>
  </si>
  <si>
    <t>Amor Estrada-Querol</t>
  </si>
  <si>
    <t>N10 8HK</t>
  </si>
  <si>
    <t>(768) 652-3949</t>
  </si>
  <si>
    <t>ivoibs@icloud.com</t>
  </si>
  <si>
    <t>C0725</t>
  </si>
  <si>
    <t>Gabino Aranda Godoy</t>
  </si>
  <si>
    <t>11 The Avenue</t>
  </si>
  <si>
    <t>(998) 487-9102</t>
  </si>
  <si>
    <t>atmarks@aol.com</t>
  </si>
  <si>
    <t>C0726</t>
  </si>
  <si>
    <t>Gerónimo Asenjo</t>
  </si>
  <si>
    <t>NW16 9IB</t>
  </si>
  <si>
    <t>3 Manor Road</t>
  </si>
  <si>
    <t>(253) 321-2154</t>
  </si>
  <si>
    <t>hermanab@live.com</t>
  </si>
  <si>
    <t>C0727</t>
  </si>
  <si>
    <t>Enrique Andreu Cueto</t>
  </si>
  <si>
    <t>W64 5TV</t>
  </si>
  <si>
    <t>(532) 409-6324</t>
  </si>
  <si>
    <t>matty@yahoo.ca</t>
  </si>
  <si>
    <t>C0728</t>
  </si>
  <si>
    <t>Clara Cantón Farré</t>
  </si>
  <si>
    <t>76 Queensway</t>
  </si>
  <si>
    <t>(661) 728-1691</t>
  </si>
  <si>
    <t>enintend@verizon.net</t>
  </si>
  <si>
    <t>C0729</t>
  </si>
  <si>
    <t>Baudelio Asensio</t>
  </si>
  <si>
    <t>WC10 3BR</t>
  </si>
  <si>
    <t>21 Alexander Road</t>
  </si>
  <si>
    <t>(570) 540-0876</t>
  </si>
  <si>
    <t>dsugal@me.com</t>
  </si>
  <si>
    <t>C0730</t>
  </si>
  <si>
    <t>Pepita del Grau</t>
  </si>
  <si>
    <t>N20 5KT</t>
  </si>
  <si>
    <t>(433) 516-7191</t>
  </si>
  <si>
    <t>openldap@outlook.com</t>
  </si>
  <si>
    <t>C0731</t>
  </si>
  <si>
    <t>Alba Batalla Valls</t>
  </si>
  <si>
    <t>24 Kings Road</t>
  </si>
  <si>
    <t>(535) 857-6686</t>
  </si>
  <si>
    <t>lishoy@comcast.net</t>
  </si>
  <si>
    <t>C0732</t>
  </si>
  <si>
    <t>Bernardino Patiño Aguado</t>
  </si>
  <si>
    <t>WC58 1WY</t>
  </si>
  <si>
    <t>666 St. John’s Road</t>
  </si>
  <si>
    <t>(849) 782-9869</t>
  </si>
  <si>
    <t>temmink@optonline.net</t>
  </si>
  <si>
    <t>C0733</t>
  </si>
  <si>
    <t>Esteban Vaquero Dominguez</t>
  </si>
  <si>
    <t>NW49 1FQ</t>
  </si>
  <si>
    <t>(561) 625-6255</t>
  </si>
  <si>
    <t>wildixon@optonline.net</t>
  </si>
  <si>
    <t>C0734</t>
  </si>
  <si>
    <t>Anacleto Tomás Torrecilla</t>
  </si>
  <si>
    <t>94 New Road</t>
  </si>
  <si>
    <t>(654) 705-7739</t>
  </si>
  <si>
    <t>peoplesr@outlook.com</t>
  </si>
  <si>
    <t>C0735</t>
  </si>
  <si>
    <t>Severino Nicolau Vizcaíno</t>
  </si>
  <si>
    <t>NW54 0QY</t>
  </si>
  <si>
    <t>87 St. John’s Road</t>
  </si>
  <si>
    <t>(712) 820-6745</t>
  </si>
  <si>
    <t>psichel@aol.com</t>
  </si>
  <si>
    <t>C0736</t>
  </si>
  <si>
    <t>Corona Feijoo Pi</t>
  </si>
  <si>
    <t>EC54 6EY</t>
  </si>
  <si>
    <t>(259) 838-4855</t>
  </si>
  <si>
    <t>C0737</t>
  </si>
  <si>
    <t>Rafaela Hurtado Reguera</t>
  </si>
  <si>
    <t>73 Chester Road</t>
  </si>
  <si>
    <t>(824) 717-6847</t>
  </si>
  <si>
    <t>mlewan@live.com</t>
  </si>
  <si>
    <t>C0738</t>
  </si>
  <si>
    <t>Zaira Calderón Ariño</t>
  </si>
  <si>
    <t>SE36 8WH</t>
  </si>
  <si>
    <t>952 London Road</t>
  </si>
  <si>
    <t>(366) 665-1941</t>
  </si>
  <si>
    <t>okroeger@yahoo.com</t>
  </si>
  <si>
    <t>C0739</t>
  </si>
  <si>
    <t>Aníbal Acero</t>
  </si>
  <si>
    <t>W12 6MQ</t>
  </si>
  <si>
    <t>(305) 495-3592</t>
  </si>
  <si>
    <t>jgmyers@att.net</t>
  </si>
  <si>
    <t>C0740</t>
  </si>
  <si>
    <t>Leocadio Palomo Palomares</t>
  </si>
  <si>
    <t>386 Richmond Road</t>
  </si>
  <si>
    <t>(602) 659-7572</t>
  </si>
  <si>
    <t>torgox@verizon.net</t>
  </si>
  <si>
    <t>C0741</t>
  </si>
  <si>
    <t>Juan Carlos Delgado Durán</t>
  </si>
  <si>
    <t>EC70 8TD</t>
  </si>
  <si>
    <t>515 New Road</t>
  </si>
  <si>
    <t>(689) 239-4563</t>
  </si>
  <si>
    <t>eurohack@verizon.net</t>
  </si>
  <si>
    <t>C0742</t>
  </si>
  <si>
    <t>Elvira Bravo-Cano</t>
  </si>
  <si>
    <t>WC71 0UF</t>
  </si>
  <si>
    <t>(207) 205-4139</t>
  </si>
  <si>
    <t>grinder@mac.com</t>
  </si>
  <si>
    <t>C0743</t>
  </si>
  <si>
    <t>Demetrio de Larrañaga</t>
  </si>
  <si>
    <t>16 George Street</t>
  </si>
  <si>
    <t>(516) 973-1052</t>
  </si>
  <si>
    <t>mallanmba@comcast.net</t>
  </si>
  <si>
    <t>C0744</t>
  </si>
  <si>
    <t>Hernando Garay</t>
  </si>
  <si>
    <t>NW01 6ER</t>
  </si>
  <si>
    <t>25 Victoria Street</t>
  </si>
  <si>
    <t>(556) 265-3355</t>
  </si>
  <si>
    <t>martyloo@sbcglobal.net</t>
  </si>
  <si>
    <t>C0745</t>
  </si>
  <si>
    <t>Isabela Roma Jurado</t>
  </si>
  <si>
    <t>W60 2PX</t>
  </si>
  <si>
    <t>(630) 838-5414</t>
  </si>
  <si>
    <t>smcnabb@yahoo.com</t>
  </si>
  <si>
    <t>C0746</t>
  </si>
  <si>
    <t>Roberto Tomás-Bermúdez</t>
  </si>
  <si>
    <t>93 St. John’s Road</t>
  </si>
  <si>
    <t>(762) 570-3297</t>
  </si>
  <si>
    <t>msherr@yahoo.ca</t>
  </si>
  <si>
    <t>C0747</t>
  </si>
  <si>
    <t>Yolanda Oliva Polo</t>
  </si>
  <si>
    <t>N10 2EQ</t>
  </si>
  <si>
    <t>9 Broadway</t>
  </si>
  <si>
    <t>(283) 766-9356</t>
  </si>
  <si>
    <t>grothoff@icloud.com</t>
  </si>
  <si>
    <t>C0748</t>
  </si>
  <si>
    <t>Rosendo Pinilla Bustamante</t>
  </si>
  <si>
    <t>W10 2TN</t>
  </si>
  <si>
    <t>(750) 486-9536</t>
  </si>
  <si>
    <t>budinger@icloud.com</t>
  </si>
  <si>
    <t>C0749</t>
  </si>
  <si>
    <t>Vanesa Celia Ibáñez Ferrer</t>
  </si>
  <si>
    <t>5 Church Road</t>
  </si>
  <si>
    <t>(619) 353-7970</t>
  </si>
  <si>
    <t>C0750</t>
  </si>
  <si>
    <t>Albina de Fiol</t>
  </si>
  <si>
    <t>SE07 3LY</t>
  </si>
  <si>
    <t>24 Richmond Road</t>
  </si>
  <si>
    <t>(961) 219-0829</t>
  </si>
  <si>
    <t>dpitts@sbcglobal.net</t>
  </si>
  <si>
    <t>C0751</t>
  </si>
  <si>
    <t>Georgina Arroyo Araujo</t>
  </si>
  <si>
    <t>W75 0OS</t>
  </si>
  <si>
    <t>(209) 879-1264</t>
  </si>
  <si>
    <t>osaru@me.com</t>
  </si>
  <si>
    <t>C0752</t>
  </si>
  <si>
    <t>Celestina Rodrigo Hidalgo</t>
  </si>
  <si>
    <t>213 The Drive</t>
  </si>
  <si>
    <t>(332) 532-0822</t>
  </si>
  <si>
    <t>jramio@gmail.com</t>
  </si>
  <si>
    <t>C0753</t>
  </si>
  <si>
    <t>Felicidad de Bernal</t>
  </si>
  <si>
    <t>NW58 3QB</t>
  </si>
  <si>
    <t>561 Albert Road</t>
  </si>
  <si>
    <t>(487) 640-6779</t>
  </si>
  <si>
    <t>kudra@comcast.net</t>
  </si>
  <si>
    <t>C0754</t>
  </si>
  <si>
    <t>Valeria Almansa-Bárcena</t>
  </si>
  <si>
    <t>SW24 1UB</t>
  </si>
  <si>
    <t>(536) 366-2187</t>
  </si>
  <si>
    <t>yruan@icloud.com</t>
  </si>
  <si>
    <t>C0755</t>
  </si>
  <si>
    <t>Javier Cortina Grau</t>
  </si>
  <si>
    <t>28 Victoria Street</t>
  </si>
  <si>
    <t>(363) 544-2841</t>
  </si>
  <si>
    <t>petersen@msn.com</t>
  </si>
  <si>
    <t>C0756</t>
  </si>
  <si>
    <t>Manolo Isidro Ros Salgado</t>
  </si>
  <si>
    <t>SW80 9JL</t>
  </si>
  <si>
    <t>26 The Drive</t>
  </si>
  <si>
    <t>(461) 271-1631</t>
  </si>
  <si>
    <t>jbearp@sbcglobal.net</t>
  </si>
  <si>
    <t>C0757</t>
  </si>
  <si>
    <t>Concepción Bustamante</t>
  </si>
  <si>
    <t>E73 0ZM</t>
  </si>
  <si>
    <t>(857) 335-5320</t>
  </si>
  <si>
    <t>kjohnson@mac.com</t>
  </si>
  <si>
    <t>C0758</t>
  </si>
  <si>
    <t>Viviana Tur Asensio</t>
  </si>
  <si>
    <t>27 Church Road</t>
  </si>
  <si>
    <t>(634) 371-1153</t>
  </si>
  <si>
    <t>jaesenj@comcast.net</t>
  </si>
  <si>
    <t>C0759</t>
  </si>
  <si>
    <t>Emilia Valentín Coello</t>
  </si>
  <si>
    <t>WC52 1ML</t>
  </si>
  <si>
    <t>(439) 244-2458</t>
  </si>
  <si>
    <t>offthelip@yahoo.ca</t>
  </si>
  <si>
    <t>C0760</t>
  </si>
  <si>
    <t>Bárbara Arcos Cases</t>
  </si>
  <si>
    <t>E54 2MI</t>
  </si>
  <si>
    <t>(320) 535-5081</t>
  </si>
  <si>
    <t>C0761</t>
  </si>
  <si>
    <t>Martín Giménez Herrera</t>
  </si>
  <si>
    <t>40 Woodland Dr.</t>
  </si>
  <si>
    <t>New York, NY 10011</t>
  </si>
  <si>
    <t>(993) 964-1956</t>
  </si>
  <si>
    <t>pgolle@aol.com</t>
  </si>
  <si>
    <t>C0762</t>
  </si>
  <si>
    <t>Gastón Real Barriga</t>
  </si>
  <si>
    <t>9453 South Pineknoll Drive</t>
  </si>
  <si>
    <t>Freeport, NY 11520</t>
  </si>
  <si>
    <t>(748) 245-9826</t>
  </si>
  <si>
    <t>mdielmann@verizon.net</t>
  </si>
  <si>
    <t>C0763</t>
  </si>
  <si>
    <t>Estefanía Peñas</t>
  </si>
  <si>
    <t>847 S. Manor St.</t>
  </si>
  <si>
    <t>New York, NY 10031</t>
  </si>
  <si>
    <t>(381) 532-2238</t>
  </si>
  <si>
    <t>gerlo@optonline.net</t>
  </si>
  <si>
    <t>C0764</t>
  </si>
  <si>
    <t>Loreto Estrella Viñas Juan</t>
  </si>
  <si>
    <t>7071 Third St.</t>
  </si>
  <si>
    <t>Bronx, NY 10472</t>
  </si>
  <si>
    <t>(907) 754-8902</t>
  </si>
  <si>
    <t>sarahs@verizon.net</t>
  </si>
  <si>
    <t>C0765</t>
  </si>
  <si>
    <t>Emperatriz Quirós Aguirre</t>
  </si>
  <si>
    <t>8215 Atlantic St.</t>
  </si>
  <si>
    <t>Brooklyn, NY 11218</t>
  </si>
  <si>
    <t>(531) 907-4416</t>
  </si>
  <si>
    <t>galbra@comcast.net</t>
  </si>
  <si>
    <t>C0766</t>
  </si>
  <si>
    <t>Leocadio Escalona</t>
  </si>
  <si>
    <t>735 N. Yukon Street</t>
  </si>
  <si>
    <t>Brooklyn, NY 11215</t>
  </si>
  <si>
    <t>(572) 498-8666</t>
  </si>
  <si>
    <t>kaiser@comcast.net</t>
  </si>
  <si>
    <t>C0767</t>
  </si>
  <si>
    <t>Carina Barroso Lopez</t>
  </si>
  <si>
    <t>3 Holly Ave.</t>
  </si>
  <si>
    <t>Ridgewood, NY 11385</t>
  </si>
  <si>
    <t>(716) 425-2898</t>
  </si>
  <si>
    <t>kildjean@hotmail.com</t>
  </si>
  <si>
    <t>C0768</t>
  </si>
  <si>
    <t>Damián Tomas Solís</t>
  </si>
  <si>
    <t>770 Carson St.</t>
  </si>
  <si>
    <t>Bronx, NY 10463</t>
  </si>
  <si>
    <t>(762) 419-8629</t>
  </si>
  <si>
    <t>cliffordj@yahoo.ca</t>
  </si>
  <si>
    <t>C0769</t>
  </si>
  <si>
    <t>Isaac Vallejo-Coll</t>
  </si>
  <si>
    <t>47 Honey Creek Lane</t>
  </si>
  <si>
    <t>New York, NY 10023</t>
  </si>
  <si>
    <t>(280) 675-9489</t>
  </si>
  <si>
    <t>breegster@outlook.com</t>
  </si>
  <si>
    <t>C0770</t>
  </si>
  <si>
    <t>Fernanda Lozano Bastida</t>
  </si>
  <si>
    <t>89 West Lakeview Dr.</t>
  </si>
  <si>
    <t>Bronx, NY 10456</t>
  </si>
  <si>
    <t>(634) 550-6646</t>
  </si>
  <si>
    <t>calin@comcast.net</t>
  </si>
  <si>
    <t>C0771</t>
  </si>
  <si>
    <t>Angélica Diego Cuéllar</t>
  </si>
  <si>
    <t>541 S. State Dr.</t>
  </si>
  <si>
    <t>Ithaca, NY 14850</t>
  </si>
  <si>
    <t>(527) 606-6801</t>
  </si>
  <si>
    <t>C0772</t>
  </si>
  <si>
    <t>José Luis Lorenzo Losada</t>
  </si>
  <si>
    <t>8759 Tanglewood Dr.</t>
  </si>
  <si>
    <t>Spring Valley, NY 10977</t>
  </si>
  <si>
    <t>(465) 963-8317</t>
  </si>
  <si>
    <t>singer@att.net</t>
  </si>
  <si>
    <t>C0773</t>
  </si>
  <si>
    <t>María Sáenz Azorin</t>
  </si>
  <si>
    <t>9283 High Ridge Drive</t>
  </si>
  <si>
    <t>Brooklyn, NY 11208</t>
  </si>
  <si>
    <t>(659) 984-6638</t>
  </si>
  <si>
    <t>vsprintf@att.net</t>
  </si>
  <si>
    <t>C0774</t>
  </si>
  <si>
    <t>Hernando Olmedo Seguí</t>
  </si>
  <si>
    <t>582 Honey Creek Road</t>
  </si>
  <si>
    <t>Bronx, NY 10461</t>
  </si>
  <si>
    <t>(962) 381-3510</t>
  </si>
  <si>
    <t>mhassel@msn.com</t>
  </si>
  <si>
    <t>C0775</t>
  </si>
  <si>
    <t>Mamen Chacón Crespo</t>
  </si>
  <si>
    <t>847 West Jockey Hollow Court</t>
  </si>
  <si>
    <t>Bronx, NY 10452</t>
  </si>
  <si>
    <t>(576) 978-9774</t>
  </si>
  <si>
    <t>weidai@sbcglobal.net</t>
  </si>
  <si>
    <t>C0776</t>
  </si>
  <si>
    <t>Morena Ros Estrada</t>
  </si>
  <si>
    <t>720 Paris Hill St.</t>
  </si>
  <si>
    <t>Huntington Station, NY 11746</t>
  </si>
  <si>
    <t>(721) 881-8367</t>
  </si>
  <si>
    <t>quantaman@msn.com</t>
  </si>
  <si>
    <t>C0777</t>
  </si>
  <si>
    <t>Berta Mena Rivas</t>
  </si>
  <si>
    <t>61 Bridle St.</t>
  </si>
  <si>
    <t>Brooklyn, NY 11212</t>
  </si>
  <si>
    <t>(812) 855-9668</t>
  </si>
  <si>
    <t>timtroyr@gmail.com</t>
  </si>
  <si>
    <t>C0778</t>
  </si>
  <si>
    <t>Carmen Alemany Bertrán</t>
  </si>
  <si>
    <t>9555 Purple Finch Dr.</t>
  </si>
  <si>
    <t>Jamestown, NY 14701</t>
  </si>
  <si>
    <t>(819) 268-2557</t>
  </si>
  <si>
    <t>papathan@att.net</t>
  </si>
  <si>
    <t>C0779</t>
  </si>
  <si>
    <t>Emilia Oliveras Granados</t>
  </si>
  <si>
    <t>8473 South Lilac Court</t>
  </si>
  <si>
    <t>Newburgh, NY 12550</t>
  </si>
  <si>
    <t>(398) 878-0122</t>
  </si>
  <si>
    <t>jyoliver@att.net</t>
  </si>
  <si>
    <t>C0780</t>
  </si>
  <si>
    <t>Jaime Santiago Vazquez</t>
  </si>
  <si>
    <t>855 Colonial St.</t>
  </si>
  <si>
    <t>Brooklyn, NY 11236</t>
  </si>
  <si>
    <t>(301) 631-9640</t>
  </si>
  <si>
    <t>steve@sbcglobal.net</t>
  </si>
  <si>
    <t>C0781</t>
  </si>
  <si>
    <t>Clemente de Coloma</t>
  </si>
  <si>
    <t>48 Sunbeam St.</t>
  </si>
  <si>
    <t>West Babylon, NY 11704</t>
  </si>
  <si>
    <t>(891) 535-5328</t>
  </si>
  <si>
    <t>falcao@live.com</t>
  </si>
  <si>
    <t>C0782</t>
  </si>
  <si>
    <t>Hilda del Tapia</t>
  </si>
  <si>
    <t>440 Cactus St.</t>
  </si>
  <si>
    <t>Brooklyn, NY 11204</t>
  </si>
  <si>
    <t>(576) 200-5761</t>
  </si>
  <si>
    <t>wildfire@mac.com</t>
  </si>
  <si>
    <t>C0783</t>
  </si>
  <si>
    <t>Espiridión Abril Marti</t>
  </si>
  <si>
    <t>36 NW. Pierce St.</t>
  </si>
  <si>
    <t>Staten Island, NY 10312</t>
  </si>
  <si>
    <t>(654) 407-4012</t>
  </si>
  <si>
    <t>pfitza@comcast.net</t>
  </si>
  <si>
    <t>C0784</t>
  </si>
  <si>
    <t>Porfirio Cal Bru</t>
  </si>
  <si>
    <t>832 Lake Forest Rd.</t>
  </si>
  <si>
    <t>Astoria, NY 11106</t>
  </si>
  <si>
    <t>(599) 743-9003</t>
  </si>
  <si>
    <t>staffelb@mac.com</t>
  </si>
  <si>
    <t>C0785</t>
  </si>
  <si>
    <t>María Ángeles de Valbuena</t>
  </si>
  <si>
    <t>810 10th St.</t>
  </si>
  <si>
    <t>Patchogue, NY 11772</t>
  </si>
  <si>
    <t>(240) 906-5404</t>
  </si>
  <si>
    <t>chaffar@live.com</t>
  </si>
  <si>
    <t>C0786</t>
  </si>
  <si>
    <t>Darío Dávila</t>
  </si>
  <si>
    <t>268 E. Penn Circle</t>
  </si>
  <si>
    <t>Lindenhurst, NY 11757</t>
  </si>
  <si>
    <t>(455) 626-4301</t>
  </si>
  <si>
    <t>bmidd@gmail.com</t>
  </si>
  <si>
    <t>C0787</t>
  </si>
  <si>
    <t>Victor Manuel Sedano-Domingo</t>
  </si>
  <si>
    <t>606 Galvin Street</t>
  </si>
  <si>
    <t>Astoria, NY 11105</t>
  </si>
  <si>
    <t>(493) 311-8669</t>
  </si>
  <si>
    <t>north@live.com</t>
  </si>
  <si>
    <t>C0788</t>
  </si>
  <si>
    <t>Marcela Saura</t>
  </si>
  <si>
    <t>940 Riverside Court</t>
  </si>
  <si>
    <t>(758) 602-4935</t>
  </si>
  <si>
    <t>scottzed@gmail.com</t>
  </si>
  <si>
    <t>C0789</t>
  </si>
  <si>
    <t>Rosalva Carreras Calatayud</t>
  </si>
  <si>
    <t>9485 S. Pheasant Dr.</t>
  </si>
  <si>
    <t>Levittown, NY 11756</t>
  </si>
  <si>
    <t>(390) 779-8899</t>
  </si>
  <si>
    <t>jramio@icloud.com</t>
  </si>
  <si>
    <t>C0790</t>
  </si>
  <si>
    <t>Ágata Bermúdez-Espejo</t>
  </si>
  <si>
    <t>54 Indian Summer Street</t>
  </si>
  <si>
    <t>East Elmhurst, NY 11370</t>
  </si>
  <si>
    <t>(487) 438-4975</t>
  </si>
  <si>
    <t>wagnerch@yahoo.com</t>
  </si>
  <si>
    <t>C0791</t>
  </si>
  <si>
    <t>Leire Bellido Carmona</t>
  </si>
  <si>
    <t>719 Center Ave.</t>
  </si>
  <si>
    <t>Bronx, NY 10467</t>
  </si>
  <si>
    <t>(659) 904-0068</t>
  </si>
  <si>
    <t>nighthawk@aol.com</t>
  </si>
  <si>
    <t>C0792</t>
  </si>
  <si>
    <t>Consuela Emilia Cuenca Cerdán</t>
  </si>
  <si>
    <t>91 SE. Pierce Ave.</t>
  </si>
  <si>
    <t>Brooklyn, NY 11206</t>
  </si>
  <si>
    <t>(721) 772-9718</t>
  </si>
  <si>
    <t>pthomsen@yahoo.com</t>
  </si>
  <si>
    <t>C0793</t>
  </si>
  <si>
    <t>Juan Luis Ángel Alemany</t>
  </si>
  <si>
    <t>73 Alderwood St.</t>
  </si>
  <si>
    <t>Fresh Meadows, NY 11365</t>
  </si>
  <si>
    <t>(471) 210-6992</t>
  </si>
  <si>
    <t>nelson@yahoo.com</t>
  </si>
  <si>
    <t>C0794</t>
  </si>
  <si>
    <t>Nazaret Garrido Lladó</t>
  </si>
  <si>
    <t>9163 South Oxford Ave.</t>
  </si>
  <si>
    <t>Jackson Heights, NY 11372</t>
  </si>
  <si>
    <t>(435) 955-2960</t>
  </si>
  <si>
    <t>augusto@gmail.com</t>
  </si>
  <si>
    <t>C0795</t>
  </si>
  <si>
    <t>Elena Pons</t>
  </si>
  <si>
    <t>8478 West St.</t>
  </si>
  <si>
    <t>Brooklyn, NY 11224</t>
  </si>
  <si>
    <t>(323) 803-5626</t>
  </si>
  <si>
    <t>jrifkin@outlook.com</t>
  </si>
  <si>
    <t>C0796</t>
  </si>
  <si>
    <t>Pilar Castells Fernández</t>
  </si>
  <si>
    <t>8142 Lees Creek Rd.</t>
  </si>
  <si>
    <t>Corona, NY 11368</t>
  </si>
  <si>
    <t>(507) 934-7625</t>
  </si>
  <si>
    <t>pgolle@outlook.com</t>
  </si>
  <si>
    <t>C0797</t>
  </si>
  <si>
    <t>José María Jacobo Ojeda Montesinos</t>
  </si>
  <si>
    <t>70 Green Hill Drive</t>
  </si>
  <si>
    <t>Bronx, NY 10473</t>
  </si>
  <si>
    <t>(532) 766-7644</t>
  </si>
  <si>
    <t>sekiya@live.com</t>
  </si>
  <si>
    <t>C0798</t>
  </si>
  <si>
    <t>Manolo de Pavón</t>
  </si>
  <si>
    <t>9983 Woodside Street</t>
  </si>
  <si>
    <t>Endicott, NY 13760</t>
  </si>
  <si>
    <t>(772) 757-3738</t>
  </si>
  <si>
    <t>airship@verizon.net</t>
  </si>
  <si>
    <t>C0799</t>
  </si>
  <si>
    <t>Cándido Beltrán Pino</t>
  </si>
  <si>
    <t>23 Tarkiln Hill Avenue</t>
  </si>
  <si>
    <t>Brooklyn, NY 11229</t>
  </si>
  <si>
    <t>(887) 277-6652</t>
  </si>
  <si>
    <t>credmond@hotmail.com</t>
  </si>
  <si>
    <t>C0800</t>
  </si>
  <si>
    <t>Apolonia del Real</t>
  </si>
  <si>
    <t>7241 Cemetery Ave.</t>
  </si>
  <si>
    <t>Bronx, NY 10458</t>
  </si>
  <si>
    <t>(725) 408-3080</t>
  </si>
  <si>
    <t>parrt@outlook.com</t>
  </si>
  <si>
    <t>C0801</t>
  </si>
  <si>
    <t>Zoraida Rovira Arce</t>
  </si>
  <si>
    <t>85 Lookout Ave.</t>
  </si>
  <si>
    <t>Brooklyn, NY 11223</t>
  </si>
  <si>
    <t>(845) 673-0453</t>
  </si>
  <si>
    <t>mwandel@att.net</t>
  </si>
  <si>
    <t>C0802</t>
  </si>
  <si>
    <t>Elpidio Pont Expósito</t>
  </si>
  <si>
    <t>37 Fairview Ave.</t>
  </si>
  <si>
    <t>Massapequa, NY 11758</t>
  </si>
  <si>
    <t>(962) 741-6475</t>
  </si>
  <si>
    <t>lamprecht@live.com</t>
  </si>
  <si>
    <t>C0803</t>
  </si>
  <si>
    <t>Joan Lobo-Haro</t>
  </si>
  <si>
    <t>91 Annadale Road</t>
  </si>
  <si>
    <t>New York, NY 10025</t>
  </si>
  <si>
    <t>(396) 942-3896</t>
  </si>
  <si>
    <t>fudrucker@live.com</t>
  </si>
  <si>
    <t>C0804</t>
  </si>
  <si>
    <t>Nayara Gimeno Velasco</t>
  </si>
  <si>
    <t>81 Bohemia Lane</t>
  </si>
  <si>
    <t>Brooklyn, NY 11209</t>
  </si>
  <si>
    <t>(672) 429-8285</t>
  </si>
  <si>
    <t>ntegrity@aol.com</t>
  </si>
  <si>
    <t>C0805</t>
  </si>
  <si>
    <t>África del Conde</t>
  </si>
  <si>
    <t>749 N. Beechwood Ave.</t>
  </si>
  <si>
    <t>Brooklyn, NY 11220</t>
  </si>
  <si>
    <t>(524) 528-5199</t>
  </si>
  <si>
    <t>shaffei@outlook.com</t>
  </si>
  <si>
    <t>C0806</t>
  </si>
  <si>
    <t>Ángela Pinedo Vendrell</t>
  </si>
  <si>
    <t>759 E. Foxrun Ave.</t>
  </si>
  <si>
    <t>Bay Shore, NY 11706</t>
  </si>
  <si>
    <t>(422) 560-9699</t>
  </si>
  <si>
    <t>tellis@yahoo.com</t>
  </si>
  <si>
    <t>C0807</t>
  </si>
  <si>
    <t>Joan Fabregat Ochoa</t>
  </si>
  <si>
    <t>242 East 8th Lane</t>
  </si>
  <si>
    <t>Lockport, NY 14094</t>
  </si>
  <si>
    <t>(879) 980-7282</t>
  </si>
  <si>
    <t>mcraigw@yahoo.ca</t>
  </si>
  <si>
    <t>C0808</t>
  </si>
  <si>
    <t>Cruz Tamayo-Carpio</t>
  </si>
  <si>
    <t>8133 SE. Augusta Ave.</t>
  </si>
  <si>
    <t>Staten Island, NY 10306</t>
  </si>
  <si>
    <t>(372) 654-9387</t>
  </si>
  <si>
    <t>clkao@outlook.com</t>
  </si>
  <si>
    <t>C0809</t>
  </si>
  <si>
    <t>Pascual Pedro Ruiz</t>
  </si>
  <si>
    <t>8497 3rd St.</t>
  </si>
  <si>
    <t>New York, NY 10028</t>
  </si>
  <si>
    <t>(933) 613-2582</t>
  </si>
  <si>
    <t>kwilliams@icloud.com</t>
  </si>
  <si>
    <t>C0810</t>
  </si>
  <si>
    <t>Melisa Guitart</t>
  </si>
  <si>
    <t>9045 Poor House Lane</t>
  </si>
  <si>
    <t>Bronx, NY 10451</t>
  </si>
  <si>
    <t>(365) 278-8056</t>
  </si>
  <si>
    <t>munson@icloud.com</t>
  </si>
  <si>
    <t>C0811</t>
  </si>
  <si>
    <t>Anacleto Caballero Ferrera</t>
  </si>
  <si>
    <t>71 Cambridge Lane</t>
  </si>
  <si>
    <t>New York, NY 10024</t>
  </si>
  <si>
    <t>(588) 897-0633</t>
  </si>
  <si>
    <t>nwiger@aol.com</t>
  </si>
  <si>
    <t>C0812</t>
  </si>
  <si>
    <t>Vicente Calleja</t>
  </si>
  <si>
    <t>8117 Birch Hill Rd.</t>
  </si>
  <si>
    <t>Bronx, NY 10465</t>
  </si>
  <si>
    <t>(303) 754-3969</t>
  </si>
  <si>
    <t>epeeist@gmail.com</t>
  </si>
  <si>
    <t>C0813</t>
  </si>
  <si>
    <t>Marco Ropero</t>
  </si>
  <si>
    <t>9140 Carpenter St.</t>
  </si>
  <si>
    <t>Brooklyn, NY 11207</t>
  </si>
  <si>
    <t>(311) 963-9615</t>
  </si>
  <si>
    <t>krueger@comcast.net</t>
  </si>
  <si>
    <t>C0814</t>
  </si>
  <si>
    <t>Cristian Baquero-Cánovas</t>
  </si>
  <si>
    <t>538 Cross Street</t>
  </si>
  <si>
    <t>Bronx, NY 10462</t>
  </si>
  <si>
    <t>(777) 720-1143</t>
  </si>
  <si>
    <t>dsugal@live.com</t>
  </si>
  <si>
    <t>C0815</t>
  </si>
  <si>
    <t>Josep Reina Prieto</t>
  </si>
  <si>
    <t>919 Princeton St.</t>
  </si>
  <si>
    <t>Fairport, NY 14450</t>
  </si>
  <si>
    <t>(741) 758-2688</t>
  </si>
  <si>
    <t>tellis@me.com</t>
  </si>
  <si>
    <t>C0816</t>
  </si>
  <si>
    <t>Florinda Anguita-Sancho</t>
  </si>
  <si>
    <t>17 Ashley Street</t>
  </si>
  <si>
    <t>New York, NY 10029</t>
  </si>
  <si>
    <t>(802) 484-9409</t>
  </si>
  <si>
    <t>inico@aol.com</t>
  </si>
  <si>
    <t>C0817</t>
  </si>
  <si>
    <t>Calixta Villaverde Acosta</t>
  </si>
  <si>
    <t>682 Glenwood Street</t>
  </si>
  <si>
    <t>Bronx, NY 10466</t>
  </si>
  <si>
    <t>(641) 921-8831</t>
  </si>
  <si>
    <t>bebing@optonline.net</t>
  </si>
  <si>
    <t>C0818</t>
  </si>
  <si>
    <t>Marisela Milla-Martorell</t>
  </si>
  <si>
    <t>94 Beach St.</t>
  </si>
  <si>
    <t>Brooklyn, NY 11228</t>
  </si>
  <si>
    <t>(954) 421-2884</t>
  </si>
  <si>
    <t>jdray@aol.com</t>
  </si>
  <si>
    <t>C0819</t>
  </si>
  <si>
    <t>Rosendo Almeida Naranjo</t>
  </si>
  <si>
    <t>26 East Main Dr.</t>
  </si>
  <si>
    <t>Buffalo, NY 14224</t>
  </si>
  <si>
    <t>(954) 956-0103</t>
  </si>
  <si>
    <t>irving@sbcglobal.net</t>
  </si>
  <si>
    <t>C0820</t>
  </si>
  <si>
    <t>Ana Sofía Colomer Martín</t>
  </si>
  <si>
    <t>373 Bear Hill St.</t>
  </si>
  <si>
    <t>Brooklyn, NY 11213</t>
  </si>
  <si>
    <t>(295) 983-4853</t>
  </si>
  <si>
    <t>andersbr@hotmail.com</t>
  </si>
  <si>
    <t>C0821</t>
  </si>
  <si>
    <t>Rolando Caballero Niño</t>
  </si>
  <si>
    <t>497 Maiden Street</t>
  </si>
  <si>
    <t>(253) 483-2574</t>
  </si>
  <si>
    <t>parrt@yahoo.ca</t>
  </si>
  <si>
    <t>C0822</t>
  </si>
  <si>
    <t>Paola Casanovas-Riba</t>
  </si>
  <si>
    <t>741 Ann Ave.</t>
  </si>
  <si>
    <t>Brooklyn, NY 11225</t>
  </si>
  <si>
    <t>(244) 616-3629</t>
  </si>
  <si>
    <t>cliffski@live.com</t>
  </si>
  <si>
    <t>C0823</t>
  </si>
  <si>
    <t>Lupita del Sanjuan</t>
  </si>
  <si>
    <t>23 Kent St.</t>
  </si>
  <si>
    <t>Hamburg, NY 14075</t>
  </si>
  <si>
    <t>(586) 717-5632</t>
  </si>
  <si>
    <t>mlewan@att.net</t>
  </si>
  <si>
    <t>C0824</t>
  </si>
  <si>
    <t>Modesto Franco Hervia</t>
  </si>
  <si>
    <t>4 Fairground Avenue</t>
  </si>
  <si>
    <t>South Richmond Hill, NY 11419</t>
  </si>
  <si>
    <t>(890) 780-5763</t>
  </si>
  <si>
    <t>dwsauder@yahoo.com</t>
  </si>
  <si>
    <t>C0825</t>
  </si>
  <si>
    <t>Modesto Morante</t>
  </si>
  <si>
    <t>20 Deerfield Lane</t>
  </si>
  <si>
    <t>Bronx, NY 10469</t>
  </si>
  <si>
    <t>(958) 671-5221</t>
  </si>
  <si>
    <t>djupedal@yahoo.com</t>
  </si>
  <si>
    <t>C0826</t>
  </si>
  <si>
    <t>Clemente Ferrero Garmendia</t>
  </si>
  <si>
    <t>9618 Lower River St.</t>
  </si>
  <si>
    <t>New York, NY 10033</t>
  </si>
  <si>
    <t>(203) 272-8879</t>
  </si>
  <si>
    <t>dpitts@mac.com</t>
  </si>
  <si>
    <t>C0827</t>
  </si>
  <si>
    <t>Guiomar Ferrera</t>
  </si>
  <si>
    <t>50 New Rd.</t>
  </si>
  <si>
    <t>Westbury, NY 11590</t>
  </si>
  <si>
    <t>(412) 374-4809</t>
  </si>
  <si>
    <t>kevinm@live.com</t>
  </si>
  <si>
    <t>C0828</t>
  </si>
  <si>
    <t>Araceli Borrell-Armas</t>
  </si>
  <si>
    <t>534 Clinton Street</t>
  </si>
  <si>
    <t>Brooklyn, NY 11211</t>
  </si>
  <si>
    <t>(700) 831-5400</t>
  </si>
  <si>
    <t>okroeger@gmail.com</t>
  </si>
  <si>
    <t>C0829</t>
  </si>
  <si>
    <t>Jorge Gutierrez Caparrós</t>
  </si>
  <si>
    <t>56 Marsh Drive</t>
  </si>
  <si>
    <t>Brooklyn, NY 11214</t>
  </si>
  <si>
    <t>(536) 847-4736</t>
  </si>
  <si>
    <t>smpeters@optonline.net</t>
  </si>
  <si>
    <t>C0830</t>
  </si>
  <si>
    <t>Beatriz Mamen Casanovas Ruiz</t>
  </si>
  <si>
    <t>901 Belmont Street</t>
  </si>
  <si>
    <t>Middletown, NY 10940</t>
  </si>
  <si>
    <t>(853) 399-2912</t>
  </si>
  <si>
    <t>balchen@aol.com</t>
  </si>
  <si>
    <t>C0831</t>
  </si>
  <si>
    <t>Vicenta Rivero Otero</t>
  </si>
  <si>
    <t>34 West Pleasant St.</t>
  </si>
  <si>
    <t>New York, NY 10027</t>
  </si>
  <si>
    <t>(719) 895-4064</t>
  </si>
  <si>
    <t>marin@att.net</t>
  </si>
  <si>
    <t>C0832</t>
  </si>
  <si>
    <t>Vicenta Solé-Palma</t>
  </si>
  <si>
    <t>61 Fulton Street</t>
  </si>
  <si>
    <t>Forest Hills, NY 11375</t>
  </si>
  <si>
    <t>(579) 455-3524</t>
  </si>
  <si>
    <t>bdthomas@yahoo.ca</t>
  </si>
  <si>
    <t>C0833</t>
  </si>
  <si>
    <t>Alejandra Beltrán Fuente</t>
  </si>
  <si>
    <t>38 Nut Swamp St.</t>
  </si>
  <si>
    <t>Jamaica, NY 11434</t>
  </si>
  <si>
    <t>(952) 284-4700</t>
  </si>
  <si>
    <t>sartak@outlook.com</t>
  </si>
  <si>
    <t>C0834</t>
  </si>
  <si>
    <t>Ruperta Casanova Bermúdez</t>
  </si>
  <si>
    <t>505 Evergreen Dr.</t>
  </si>
  <si>
    <t>Brooklyn, NY 11237</t>
  </si>
  <si>
    <t>(819) 878-4303</t>
  </si>
  <si>
    <t>jmmuller@yahoo.com</t>
  </si>
  <si>
    <t>C0835</t>
  </si>
  <si>
    <t>Nicolás Ayala Campoy</t>
  </si>
  <si>
    <t>353 Sherman St.</t>
  </si>
  <si>
    <t>Flushing, NY 11354</t>
  </si>
  <si>
    <t>(467) 290-0508</t>
  </si>
  <si>
    <t>bowmanbs@me.com</t>
  </si>
  <si>
    <t>C0836</t>
  </si>
  <si>
    <t>Leopoldo del Sáez</t>
  </si>
  <si>
    <t>764 New St.</t>
  </si>
  <si>
    <t>Buffalo, NY 14221</t>
  </si>
  <si>
    <t>(590) 409-5907</t>
  </si>
  <si>
    <t>parsimony@live.com</t>
  </si>
  <si>
    <t>C0837</t>
  </si>
  <si>
    <t>Haroldo del Hoyos</t>
  </si>
  <si>
    <t>2 Delaware Lane</t>
  </si>
  <si>
    <t>Huntington, NY 11743</t>
  </si>
  <si>
    <t>(266) 570-8715</t>
  </si>
  <si>
    <t>weazelman@optonline.net</t>
  </si>
  <si>
    <t>C0838</t>
  </si>
  <si>
    <t>Juanita Pastora Escolano Marí</t>
  </si>
  <si>
    <t>940 S. Thomas Ave.</t>
  </si>
  <si>
    <t>Jamaica, NY 11435</t>
  </si>
  <si>
    <t>(471) 733-8756</t>
  </si>
  <si>
    <t>dexter@aol.com</t>
  </si>
  <si>
    <t>C0839</t>
  </si>
  <si>
    <t>Jenny Manuel Llorens</t>
  </si>
  <si>
    <t>8459 Wagon Road</t>
  </si>
  <si>
    <t>Tonawanda, NY 14150</t>
  </si>
  <si>
    <t>(616) 501-9475</t>
  </si>
  <si>
    <t>avalon@att.net</t>
  </si>
  <si>
    <t>C0840</t>
  </si>
  <si>
    <t>Belén Cantero Uría</t>
  </si>
  <si>
    <t>815 Victoria Ave.</t>
  </si>
  <si>
    <t>New York, NY 10009</t>
  </si>
  <si>
    <t>(814) 815-8592</t>
  </si>
  <si>
    <t>mgemmons@optonline.net</t>
  </si>
  <si>
    <t>C0841</t>
  </si>
  <si>
    <t>Candela Grande Arenas</t>
  </si>
  <si>
    <t>7019 Maple St.</t>
  </si>
  <si>
    <t>Brooklyn, NY 11233</t>
  </si>
  <si>
    <t>(628) 340-8842</t>
  </si>
  <si>
    <t>djpig@aol.com</t>
  </si>
  <si>
    <t>C0842</t>
  </si>
  <si>
    <t>Socorro Sans Pomares</t>
  </si>
  <si>
    <t>7328 Marsh St.</t>
  </si>
  <si>
    <t>Brooklyn, NY 11221</t>
  </si>
  <si>
    <t>(994) 397-7201</t>
  </si>
  <si>
    <t>bartak@comcast.net</t>
  </si>
  <si>
    <t>C0843</t>
  </si>
  <si>
    <t>Nazaret Antúnez Rios</t>
  </si>
  <si>
    <t>7379 Nut Swamp Dr.</t>
  </si>
  <si>
    <t>Poughkeepsie, NY 12603</t>
  </si>
  <si>
    <t>(644) 968-4427</t>
  </si>
  <si>
    <t>jmcnamara@yahoo.com</t>
  </si>
  <si>
    <t>C0844</t>
  </si>
  <si>
    <t>Yago Teruel Palomino</t>
  </si>
  <si>
    <t>67 Bald Hill St.</t>
  </si>
  <si>
    <t>Far Rockaway, NY 11691</t>
  </si>
  <si>
    <t>(549) 850-2390</t>
  </si>
  <si>
    <t>aibrahim@comcast.net</t>
  </si>
  <si>
    <t>C0845</t>
  </si>
  <si>
    <t>Lola Crespi Lobato</t>
  </si>
  <si>
    <t>4 Proctor Ave.</t>
  </si>
  <si>
    <t>Hempstead, NY 11550</t>
  </si>
  <si>
    <t>(506) 841-6393</t>
  </si>
  <si>
    <t>duncand@yahoo.com</t>
  </si>
  <si>
    <t>C0846</t>
  </si>
  <si>
    <t>Matías Agudo Ruiz</t>
  </si>
  <si>
    <t>9 Lake St.</t>
  </si>
  <si>
    <t>Brooklyn, NY 11210</t>
  </si>
  <si>
    <t>(340) 492-0275</t>
  </si>
  <si>
    <t>bdbrown@att.net</t>
  </si>
  <si>
    <t>C0847</t>
  </si>
  <si>
    <t>Luisa Redondo Salom</t>
  </si>
  <si>
    <t>501 Foster Ave.</t>
  </si>
  <si>
    <t>Jamaica, NY 11432</t>
  </si>
  <si>
    <t>(383) 357-1843</t>
  </si>
  <si>
    <t>C0848</t>
  </si>
  <si>
    <t>Isa Trillo Rozas</t>
  </si>
  <si>
    <t>7652 Lakeshore Court</t>
  </si>
  <si>
    <t>Brooklyn, NY 11219</t>
  </si>
  <si>
    <t>(405) 559-9778</t>
  </si>
  <si>
    <t>monkeydo@att.net</t>
  </si>
  <si>
    <t>C0849</t>
  </si>
  <si>
    <t>Asdrubal Estevez Solís</t>
  </si>
  <si>
    <t>490 Beacon St.</t>
  </si>
  <si>
    <t>Brooklyn, NY 11238</t>
  </si>
  <si>
    <t>(268) 398-7609</t>
  </si>
  <si>
    <t>amichalo@verizon.net</t>
  </si>
  <si>
    <t>C0850</t>
  </si>
  <si>
    <t>Ruth Blázquez Cerro</t>
  </si>
  <si>
    <t>9050 West Catherine Dr.</t>
  </si>
  <si>
    <t>Bronx, NY 10460</t>
  </si>
  <si>
    <t>(310) 577-6728</t>
  </si>
  <si>
    <t>gravyface@aol.com</t>
  </si>
  <si>
    <t>C0851</t>
  </si>
  <si>
    <t>Hernando del Nieto</t>
  </si>
  <si>
    <t>8438 Joy Ridge Drive</t>
  </si>
  <si>
    <t>Bronx, NY 10457</t>
  </si>
  <si>
    <t>(811) 765-3302</t>
  </si>
  <si>
    <t>webdragon@msn.com</t>
  </si>
  <si>
    <t>C0852</t>
  </si>
  <si>
    <t>Silvio Vilanova Amador</t>
  </si>
  <si>
    <t>9656 Beaver Ridge St.</t>
  </si>
  <si>
    <t>New York, NY 10032</t>
  </si>
  <si>
    <t>(403) 928-7118</t>
  </si>
  <si>
    <t>matthijs@me.com</t>
  </si>
  <si>
    <t>C0853</t>
  </si>
  <si>
    <t>Damián Andrade</t>
  </si>
  <si>
    <t>106 Market Ave.</t>
  </si>
  <si>
    <t>New York, NY 10040</t>
  </si>
  <si>
    <t>(607) 905-6893</t>
  </si>
  <si>
    <t>kidehen@msn.com</t>
  </si>
  <si>
    <t>C0854</t>
  </si>
  <si>
    <t>Patricio Velasco</t>
  </si>
  <si>
    <t>8615 W. Pine Lane</t>
  </si>
  <si>
    <t>Staten Island, NY 10314</t>
  </si>
  <si>
    <t>(384) 958-4888</t>
  </si>
  <si>
    <t>rjones@yahoo.com</t>
  </si>
  <si>
    <t>C0855</t>
  </si>
  <si>
    <t>Antonio Mendizábal Sevillano</t>
  </si>
  <si>
    <t>9323 E. Old York St.</t>
  </si>
  <si>
    <t>North Tonawanda, NY 14120</t>
  </si>
  <si>
    <t>(324) 284-9902</t>
  </si>
  <si>
    <t>zavadsky@yahoo.ca</t>
  </si>
  <si>
    <t>C0856</t>
  </si>
  <si>
    <t>Aitana Escudero Hidalgo</t>
  </si>
  <si>
    <t>8819 Oak Ave.</t>
  </si>
  <si>
    <t>New York, NY 10016</t>
  </si>
  <si>
    <t>(836) 752-4390</t>
  </si>
  <si>
    <t>jaesenj@icloud.com</t>
  </si>
  <si>
    <t>C0857</t>
  </si>
  <si>
    <t>Magdalena Castell Rey</t>
  </si>
  <si>
    <t>9910 Essex St.</t>
  </si>
  <si>
    <t>Brooklyn, NY 11234</t>
  </si>
  <si>
    <t>(574) 870-1271</t>
  </si>
  <si>
    <t>smcnabb@mac.com</t>
  </si>
  <si>
    <t>C0858</t>
  </si>
  <si>
    <t>Baltasar del Giner</t>
  </si>
  <si>
    <t>142 Windfall St.</t>
  </si>
  <si>
    <t>Rochester, NY 14609</t>
  </si>
  <si>
    <t>(422) 535-5367</t>
  </si>
  <si>
    <t>sagal@outlook.com</t>
  </si>
  <si>
    <t>C0859</t>
  </si>
  <si>
    <t>Martirio Samper Tena</t>
  </si>
  <si>
    <t>9809 Gates Street</t>
  </si>
  <si>
    <t>Bronx, NY 10468</t>
  </si>
  <si>
    <t>(415) 828-3663</t>
  </si>
  <si>
    <t>dwendlan@gmail.com</t>
  </si>
  <si>
    <t>C0860</t>
  </si>
  <si>
    <t>Arsenio Haro Ledesma</t>
  </si>
  <si>
    <t>510 West Homewood Ave.</t>
  </si>
  <si>
    <t>Brooklyn, NY 11203</t>
  </si>
  <si>
    <t>(415) 947-3697</t>
  </si>
  <si>
    <t>nweaver@att.net</t>
  </si>
  <si>
    <t>C0861</t>
  </si>
  <si>
    <t>Herminia Nevado Pagès</t>
  </si>
  <si>
    <t>9 Nut Swamp Road</t>
  </si>
  <si>
    <t>Brentwood, NY 11717</t>
  </si>
  <si>
    <t>(655) 247-5450</t>
  </si>
  <si>
    <t>odlyzko@icloud.com</t>
  </si>
  <si>
    <t>C0862</t>
  </si>
  <si>
    <t>Apolonia Luís-Bernat</t>
  </si>
  <si>
    <t>52 Glenridge Street</t>
  </si>
  <si>
    <t>New York, NY 10128</t>
  </si>
  <si>
    <t>(726) 230-1885</t>
  </si>
  <si>
    <t>jipsen@mac.com</t>
  </si>
  <si>
    <t>C0863</t>
  </si>
  <si>
    <t>Lina Porcel Bustamante</t>
  </si>
  <si>
    <t>8788 Birchpond Circle</t>
  </si>
  <si>
    <t>Brooklyn, NY 11230</t>
  </si>
  <si>
    <t>(301) 446-4931</t>
  </si>
  <si>
    <t>bogjobber@outlook.com</t>
  </si>
  <si>
    <t>C0864</t>
  </si>
  <si>
    <t>José Luis Ferrándiz Cornejo</t>
  </si>
  <si>
    <t>559 Young St.</t>
  </si>
  <si>
    <t>Auburn, NY 13021</t>
  </si>
  <si>
    <t>(205) 948-8280</t>
  </si>
  <si>
    <t>benanov@att.net</t>
  </si>
  <si>
    <t>C0865</t>
  </si>
  <si>
    <t>Belen Chaparro</t>
  </si>
  <si>
    <t>114 Carriage Lane</t>
  </si>
  <si>
    <t>Brooklyn, NY 11216</t>
  </si>
  <si>
    <t>(216) 341-9188</t>
  </si>
  <si>
    <t>rnewman@verizon.net</t>
  </si>
  <si>
    <t>C0866</t>
  </si>
  <si>
    <t>Poncio Cerdán</t>
  </si>
  <si>
    <t>328 E. Windfall Ave.</t>
  </si>
  <si>
    <t>Flushing, NY 11355</t>
  </si>
  <si>
    <t>(922) 668-4401</t>
  </si>
  <si>
    <t>oracle@hotmail.com</t>
  </si>
  <si>
    <t>C0867</t>
  </si>
  <si>
    <t>Andrés Doménech Almazán</t>
  </si>
  <si>
    <t>9123 Shub Farm Road</t>
  </si>
  <si>
    <t>New York, NY 10002</t>
  </si>
  <si>
    <t>(929) 916-9742</t>
  </si>
  <si>
    <t>ianbuck@yahoo.com</t>
  </si>
  <si>
    <t>C0868</t>
  </si>
  <si>
    <t>Cecilio Apolinar Salas Alemán</t>
  </si>
  <si>
    <t>120 Whitemarsh St.</t>
  </si>
  <si>
    <t>Yonkers, NY 10701</t>
  </si>
  <si>
    <t>(294) 465-2217</t>
  </si>
  <si>
    <t>hampton@hotmail.com</t>
  </si>
  <si>
    <t>C0869</t>
  </si>
  <si>
    <t>Otilia Ropero Macias</t>
  </si>
  <si>
    <t>9690 Princess Ave.</t>
  </si>
  <si>
    <t>Elmont, NY 11003</t>
  </si>
  <si>
    <t>(358) 731-3798</t>
  </si>
  <si>
    <t>boomzilla@sbcglobal.net</t>
  </si>
  <si>
    <t>C0870</t>
  </si>
  <si>
    <t>Severo de Goñi</t>
  </si>
  <si>
    <t>8948 St Louis Ave.</t>
  </si>
  <si>
    <t>Rome, NY 13440</t>
  </si>
  <si>
    <t>(352) 604-1886</t>
  </si>
  <si>
    <t>bulletin@att.net</t>
  </si>
  <si>
    <t>C0871</t>
  </si>
  <si>
    <t>Chuy Julián Cabrero</t>
  </si>
  <si>
    <t>748 East Brown St.</t>
  </si>
  <si>
    <t>New York, NY 10034</t>
  </si>
  <si>
    <t>(316) 723-5488</t>
  </si>
  <si>
    <t>animats@msn.com</t>
  </si>
  <si>
    <t>C0872</t>
  </si>
  <si>
    <t>Adelia Campo-Bueno</t>
  </si>
  <si>
    <t>679 Oak Meadow Ave.</t>
  </si>
  <si>
    <t>South Ozone Park, NY 11420</t>
  </si>
  <si>
    <t>(900) 365-3438</t>
  </si>
  <si>
    <t>dieman@mac.com</t>
  </si>
  <si>
    <t>C0873</t>
  </si>
  <si>
    <t>Anacleto Paniagua-Antúnez</t>
  </si>
  <si>
    <t>490 W. Vernon Street</t>
  </si>
  <si>
    <t>New York, NY 10003</t>
  </si>
  <si>
    <t>(232) 995-8639</t>
  </si>
  <si>
    <t>augusto@yahoo.com</t>
  </si>
  <si>
    <t>C0874</t>
  </si>
  <si>
    <t>Régulo Larrea Pereira</t>
  </si>
  <si>
    <t>279 Magnolia Avenue</t>
  </si>
  <si>
    <t>Woodside, NY 11377</t>
  </si>
  <si>
    <t>(713) 359-4317</t>
  </si>
  <si>
    <t>dunstan@outlook.com</t>
  </si>
  <si>
    <t>C0875</t>
  </si>
  <si>
    <t>Pacífica Guardiola Rosa</t>
  </si>
  <si>
    <t>9589 Thorne Ave.</t>
  </si>
  <si>
    <t>Brooklyn, NY 11235</t>
  </si>
  <si>
    <t>(206) 847-8774</t>
  </si>
  <si>
    <t>mhoffman@sbcglobal.net</t>
  </si>
  <si>
    <t>C0876</t>
  </si>
  <si>
    <t>Victorino Aramburu</t>
  </si>
  <si>
    <t>899 Shipley Ave.</t>
  </si>
  <si>
    <t>Brooklyn, NY 11201</t>
  </si>
  <si>
    <t>(411) 376-4315</t>
  </si>
  <si>
    <t>weazelman@gmail.com</t>
  </si>
  <si>
    <t>C0877</t>
  </si>
  <si>
    <t>Bibiana Mata Alcolea</t>
  </si>
  <si>
    <t>46 Victoria Court</t>
  </si>
  <si>
    <t>Bronx, NY 10453</t>
  </si>
  <si>
    <t>(938) 721-2256</t>
  </si>
  <si>
    <t>mirod@icloud.com</t>
  </si>
  <si>
    <t>C0878</t>
  </si>
  <si>
    <t>Florentina Grande Quintero</t>
  </si>
  <si>
    <t>8664 Oak Valley Drive</t>
  </si>
  <si>
    <t>Webster, NY 14580</t>
  </si>
  <si>
    <t>(419) 442-9188</t>
  </si>
  <si>
    <t>yangyan@msn.com</t>
  </si>
  <si>
    <t>C0879</t>
  </si>
  <si>
    <t>Cayetano Coello Fernandez</t>
  </si>
  <si>
    <t>922 West Leeton Ridge St.</t>
  </si>
  <si>
    <t>Buffalo, NY 14215</t>
  </si>
  <si>
    <t>(763) 952-1502</t>
  </si>
  <si>
    <t>benits@optonline.net</t>
  </si>
  <si>
    <t>C0880</t>
  </si>
  <si>
    <t>Florinda Gascón Gonzalo</t>
  </si>
  <si>
    <t>7880 Leeton Ridge Avenue</t>
  </si>
  <si>
    <t>Astoria, NY 11103</t>
  </si>
  <si>
    <t>(723) 961-1436</t>
  </si>
  <si>
    <t>oevans@aol.com</t>
  </si>
  <si>
    <t>C0881</t>
  </si>
  <si>
    <t>Valeria Ríos</t>
  </si>
  <si>
    <t>92 Marvon St.</t>
  </si>
  <si>
    <t>Troy, NY 12180</t>
  </si>
  <si>
    <t>(233) 477-9648</t>
  </si>
  <si>
    <t>sfoskett@yahoo.com</t>
  </si>
  <si>
    <t>C0882</t>
  </si>
  <si>
    <t>Blanca Moya Fabregat</t>
  </si>
  <si>
    <t>905 Wrangler Lane</t>
  </si>
  <si>
    <t>(347) 835-6563</t>
  </si>
  <si>
    <t>catalog@hotmail.com</t>
  </si>
  <si>
    <t>C0883</t>
  </si>
  <si>
    <t>Soraya Cáceres Marin</t>
  </si>
  <si>
    <t>9096 Clark Lane</t>
  </si>
  <si>
    <t>(732) 949-7420</t>
  </si>
  <si>
    <t>preneel@verizon.net</t>
  </si>
  <si>
    <t>C0884</t>
  </si>
  <si>
    <t>Rufina Rosselló Sales</t>
  </si>
  <si>
    <t>9783 Poplar Street</t>
  </si>
  <si>
    <t>(334) 788-2547</t>
  </si>
  <si>
    <t>drezet@msn.com</t>
  </si>
  <si>
    <t>C0885</t>
  </si>
  <si>
    <t>Abril Almazán Gargallo</t>
  </si>
  <si>
    <t>744 Coffee Ave.</t>
  </si>
  <si>
    <t>(355) 952-4381</t>
  </si>
  <si>
    <t>symbolic@mac.com</t>
  </si>
  <si>
    <t>C0886</t>
  </si>
  <si>
    <t>Sandalio Pinto Alcázar</t>
  </si>
  <si>
    <t>10 Rockwell Road</t>
  </si>
  <si>
    <t>(875) 650-4506</t>
  </si>
  <si>
    <t>melnik@mac.com</t>
  </si>
  <si>
    <t>C0887</t>
  </si>
  <si>
    <t>Urbano Rosselló Llabrés</t>
  </si>
  <si>
    <t>395 W. Coffee St.</t>
  </si>
  <si>
    <t>(650) 311-4823</t>
  </si>
  <si>
    <t>vertigo@optonline.net</t>
  </si>
  <si>
    <t>C0888</t>
  </si>
  <si>
    <t>Aurelio Ferreras Granados</t>
  </si>
  <si>
    <t>499 Second Dr.</t>
  </si>
  <si>
    <t>(944) 439-2624</t>
  </si>
  <si>
    <t>odlyzko@outlook.com</t>
  </si>
  <si>
    <t>C0889</t>
  </si>
  <si>
    <t>Aroa Pujol Belmonte</t>
  </si>
  <si>
    <t>56 Nut Swamp Circle</t>
  </si>
  <si>
    <t>(283) 827-0141</t>
  </si>
  <si>
    <t>nachbaur@yahoo.com</t>
  </si>
  <si>
    <t>C0890</t>
  </si>
  <si>
    <t>Calista de Abril</t>
  </si>
  <si>
    <t>943 Holly Ave.</t>
  </si>
  <si>
    <t>(975) 594-0844</t>
  </si>
  <si>
    <t>cumarana@att.net</t>
  </si>
  <si>
    <t>C0891</t>
  </si>
  <si>
    <t>Teófilo Contreras Téllez</t>
  </si>
  <si>
    <t>9752 Blackburn Dr.</t>
  </si>
  <si>
    <t>(990) 738-6040</t>
  </si>
  <si>
    <t>donev@outlook.com</t>
  </si>
  <si>
    <t>C0892</t>
  </si>
  <si>
    <t>Milagros Cabañas</t>
  </si>
  <si>
    <t>8821 Rockville Lane</t>
  </si>
  <si>
    <t>(770) 545-8863</t>
  </si>
  <si>
    <t>hutton@me.com</t>
  </si>
  <si>
    <t>C0893</t>
  </si>
  <si>
    <t>Gonzalo Sans Miró</t>
  </si>
  <si>
    <t>6 Newport Court</t>
  </si>
  <si>
    <t>(334) 305-7194</t>
  </si>
  <si>
    <t>corrada@mac.com</t>
  </si>
  <si>
    <t>C0894</t>
  </si>
  <si>
    <t>Sofía Bou Zamorano</t>
  </si>
  <si>
    <t>309 South Hill Field St.</t>
  </si>
  <si>
    <t>(602) 467-4837</t>
  </si>
  <si>
    <t>chinthaka@aol.com</t>
  </si>
  <si>
    <t>C0895</t>
  </si>
  <si>
    <t>Leandro Gabino Cruz Izaguirre</t>
  </si>
  <si>
    <t>7363 St Louis Street</t>
  </si>
  <si>
    <t>(939) 500-3265</t>
  </si>
  <si>
    <t>cgreuter@yahoo.com</t>
  </si>
  <si>
    <t>C0896</t>
  </si>
  <si>
    <t>Angelina Royo Canals</t>
  </si>
  <si>
    <t>8877 Selby Rd.</t>
  </si>
  <si>
    <t>(987) 536-2384</t>
  </si>
  <si>
    <t>ateniese@hotmail.com</t>
  </si>
  <si>
    <t>C0897</t>
  </si>
  <si>
    <t>Pío Fonseca-Granados</t>
  </si>
  <si>
    <t>35 Airport Street</t>
  </si>
  <si>
    <t>(730) 738-3338</t>
  </si>
  <si>
    <t>mcmillan@optonline.net</t>
  </si>
  <si>
    <t>C0898</t>
  </si>
  <si>
    <t>Luis Miguel Cuadrado Gual</t>
  </si>
  <si>
    <t>858 Primrose Lane</t>
  </si>
  <si>
    <t>(330) 201-7051</t>
  </si>
  <si>
    <t>gilmoure@yahoo.ca</t>
  </si>
  <si>
    <t>C0899</t>
  </si>
  <si>
    <t>Blanca Lucas Cortés</t>
  </si>
  <si>
    <t>824 Woodside Avenue</t>
  </si>
  <si>
    <t>(932) 338-3282</t>
  </si>
  <si>
    <t>mbrown@live.com</t>
  </si>
  <si>
    <t>C0900</t>
  </si>
  <si>
    <t>José Luis Arévalo</t>
  </si>
  <si>
    <t>917 NW. Leatherwood Court</t>
  </si>
  <si>
    <t>(878) 237-0878</t>
  </si>
  <si>
    <t>qmacro@verizon.net</t>
  </si>
  <si>
    <t>C0901</t>
  </si>
  <si>
    <t>Leonel Sierra Fajardo</t>
  </si>
  <si>
    <t>21 Creek Drive</t>
  </si>
  <si>
    <t>(403) 429-9891</t>
  </si>
  <si>
    <t>staikos@gmail.com</t>
  </si>
  <si>
    <t>C0902</t>
  </si>
  <si>
    <t>Calixto Palacio Casas</t>
  </si>
  <si>
    <t>39 Goldfield Rd.</t>
  </si>
  <si>
    <t>(705) 444-0556</t>
  </si>
  <si>
    <t>knorr@comcast.net</t>
  </si>
  <si>
    <t>C0903</t>
  </si>
  <si>
    <t>Eugenio Pla Alegre</t>
  </si>
  <si>
    <t>972 Stillwater St.</t>
  </si>
  <si>
    <t>(879) 591-2306</t>
  </si>
  <si>
    <t>gavinls@verizon.net</t>
  </si>
  <si>
    <t>C0904</t>
  </si>
  <si>
    <t>Daniela Arana</t>
  </si>
  <si>
    <t>86 Logan Dr.</t>
  </si>
  <si>
    <t>(467) 399-9709</t>
  </si>
  <si>
    <t>scarolan@aol.com</t>
  </si>
  <si>
    <t>C0905</t>
  </si>
  <si>
    <t>Amancio Casares Francisco</t>
  </si>
  <si>
    <t>88 Maple Circle</t>
  </si>
  <si>
    <t>(744) 598-1150</t>
  </si>
  <si>
    <t>hutton@comcast.net</t>
  </si>
  <si>
    <t>C0906</t>
  </si>
  <si>
    <t>Leopoldo Lamas Vilaplana</t>
  </si>
  <si>
    <t>31 Studebaker St.</t>
  </si>
  <si>
    <t>(857) 769-7335</t>
  </si>
  <si>
    <t>pizza@gmail.com</t>
  </si>
  <si>
    <t>C0907</t>
  </si>
  <si>
    <t>Pascual del Haro</t>
  </si>
  <si>
    <t>34 E. Lafayette Court</t>
  </si>
  <si>
    <t>(894) 916-8764</t>
  </si>
  <si>
    <t>mobileip@yahoo.ca</t>
  </si>
  <si>
    <t>C0908</t>
  </si>
  <si>
    <t>Dionisia Llamas</t>
  </si>
  <si>
    <t>2 Ridgeview Dr.</t>
  </si>
  <si>
    <t>(546) 437-8882</t>
  </si>
  <si>
    <t>horrocks@yahoo.com</t>
  </si>
  <si>
    <t>C0909</t>
  </si>
  <si>
    <t>Amada Falcó Llabrés</t>
  </si>
  <si>
    <t>75 Jefferson Lane</t>
  </si>
  <si>
    <t>(928) 743-6374</t>
  </si>
  <si>
    <t>sarahs@aol.com</t>
  </si>
  <si>
    <t>C0910</t>
  </si>
  <si>
    <t>Óscar Enríquez Acedo</t>
  </si>
  <si>
    <t>5 Circle Dr.</t>
  </si>
  <si>
    <t>(751) 725-0334</t>
  </si>
  <si>
    <t>fluffy@aol.com</t>
  </si>
  <si>
    <t>C0911</t>
  </si>
  <si>
    <t>Cecilio Bastida Seguí</t>
  </si>
  <si>
    <t>612 Silver Spear Dr.</t>
  </si>
  <si>
    <t>(453) 596-2200</t>
  </si>
  <si>
    <t>jeffcovey@optonline.net</t>
  </si>
  <si>
    <t>C0912</t>
  </si>
  <si>
    <t>Leocadia Aznar Revilla</t>
  </si>
  <si>
    <t>8627 Bayberry Street</t>
  </si>
  <si>
    <t>(623) 788-7862</t>
  </si>
  <si>
    <t>naoya@outlook.com</t>
  </si>
  <si>
    <t>C0913</t>
  </si>
  <si>
    <t>Anabel Iniesta Hierro</t>
  </si>
  <si>
    <t>4 Bank Dr.</t>
  </si>
  <si>
    <t>(920) 438-1880</t>
  </si>
  <si>
    <t>C0914</t>
  </si>
  <si>
    <t>Lilia Narváez Batalla</t>
  </si>
  <si>
    <t>8579 Greenview St.</t>
  </si>
  <si>
    <t>(752) 297-5212</t>
  </si>
  <si>
    <t>mrobshaw@me.com</t>
  </si>
  <si>
    <t>C0915</t>
  </si>
  <si>
    <t>Adriana Egea Luís</t>
  </si>
  <si>
    <t>8483 Sugar Ave.</t>
  </si>
  <si>
    <t>(693) 681-7202</t>
  </si>
  <si>
    <t>ajlitt@outlook.com</t>
  </si>
  <si>
    <t>C0916</t>
  </si>
  <si>
    <t>Pepita del Gallart</t>
  </si>
  <si>
    <t>8995 Rockledge Street</t>
  </si>
  <si>
    <t>(455) 437-3253</t>
  </si>
  <si>
    <t>dawnsong@icloud.com</t>
  </si>
  <si>
    <t>C0917</t>
  </si>
  <si>
    <t>Luis Ángel Téllez Conde</t>
  </si>
  <si>
    <t>9834 Pennington Ave.</t>
  </si>
  <si>
    <t>(212) 757-8062</t>
  </si>
  <si>
    <t>mirod@aol.com</t>
  </si>
  <si>
    <t>C0918</t>
  </si>
  <si>
    <t>Angelina Sanmiguel Gallo</t>
  </si>
  <si>
    <t>14 Charles Ave.</t>
  </si>
  <si>
    <t>(904) 210-8504</t>
  </si>
  <si>
    <t>uraeus@aol.com</t>
  </si>
  <si>
    <t>C0919</t>
  </si>
  <si>
    <t>Catalina Solé Porras</t>
  </si>
  <si>
    <t>178 Oakland Lane</t>
  </si>
  <si>
    <t>(203) 626-2113</t>
  </si>
  <si>
    <t>treeves@comcast.net</t>
  </si>
  <si>
    <t>C0920</t>
  </si>
  <si>
    <t>Manuela Benavides Gálvez</t>
  </si>
  <si>
    <t>7690 Glenridge Street</t>
  </si>
  <si>
    <t>(671) 220-0042</t>
  </si>
  <si>
    <t>gknauss@outlook.com</t>
  </si>
  <si>
    <t>C0921</t>
  </si>
  <si>
    <t>Teresa Lastra Serra</t>
  </si>
  <si>
    <t>9105 E. Bayberry Avenue</t>
  </si>
  <si>
    <t>(547) 966-8598</t>
  </si>
  <si>
    <t>duncand@mac.com</t>
  </si>
  <si>
    <t>C0922</t>
  </si>
  <si>
    <t>Marianela Jover Carballo</t>
  </si>
  <si>
    <t>8489 Colonial St.</t>
  </si>
  <si>
    <t>(623) 913-9558</t>
  </si>
  <si>
    <t>marioph@mac.com</t>
  </si>
  <si>
    <t>C0923</t>
  </si>
  <si>
    <t>Ainara Zaragoza Crespi</t>
  </si>
  <si>
    <t>7266 Shady Drive</t>
  </si>
  <si>
    <t>(715) 291-1286</t>
  </si>
  <si>
    <t>unreal@aol.com</t>
  </si>
  <si>
    <t>C0924</t>
  </si>
  <si>
    <t>Claudio Porfirio Francisco Múñiz</t>
  </si>
  <si>
    <t>493 Summer Avenue</t>
  </si>
  <si>
    <t>(354) 237-3268</t>
  </si>
  <si>
    <t>mdielmann@yahoo.ca</t>
  </si>
  <si>
    <t>C0925</t>
  </si>
  <si>
    <t>Andrés Felipe Cuevas</t>
  </si>
  <si>
    <t>254 Kingston Street</t>
  </si>
  <si>
    <t>(269) 935-1685</t>
  </si>
  <si>
    <t>kuparine@msn.com</t>
  </si>
  <si>
    <t>C0926</t>
  </si>
  <si>
    <t>Encarnación Fiol Domingo</t>
  </si>
  <si>
    <t>37 Garfield Dr.</t>
  </si>
  <si>
    <t>(646) 203-3225</t>
  </si>
  <si>
    <t>pfitza@live.com</t>
  </si>
  <si>
    <t>C0927</t>
  </si>
  <si>
    <t>Fátima de Cisneros</t>
  </si>
  <si>
    <t>92 Peg Shop Rd.</t>
  </si>
  <si>
    <t>(806) 938-4587</t>
  </si>
  <si>
    <t>comdig@yahoo.ca</t>
  </si>
  <si>
    <t>C0928</t>
  </si>
  <si>
    <t>Maximino Vigil Morante</t>
  </si>
  <si>
    <t>457 Orange Street</t>
  </si>
  <si>
    <t>(633) 955-6590</t>
  </si>
  <si>
    <t>sfoskett@verizon.net</t>
  </si>
  <si>
    <t>C0929</t>
  </si>
  <si>
    <t>María Luisa Antúnez Girón</t>
  </si>
  <si>
    <t>62 Swanson Dr.</t>
  </si>
  <si>
    <t>(987) 947-7889</t>
  </si>
  <si>
    <t>techie@gmail.com</t>
  </si>
  <si>
    <t>C0930</t>
  </si>
  <si>
    <t>Beatriz Bello Godoy</t>
  </si>
  <si>
    <t>269 Hartford St.</t>
  </si>
  <si>
    <t>(946) 604-6365</t>
  </si>
  <si>
    <t>kjetilk@live.com</t>
  </si>
  <si>
    <t>C0931</t>
  </si>
  <si>
    <t>Eloísa Rosalina Pont Madrigal</t>
  </si>
  <si>
    <t>15 East Richardson Drive</t>
  </si>
  <si>
    <t>(696) 763-2316</t>
  </si>
  <si>
    <t>kourai@me.com</t>
  </si>
  <si>
    <t>C0932</t>
  </si>
  <si>
    <t>Ibán Rios Calvet</t>
  </si>
  <si>
    <t>859 Foxrun Ave.</t>
  </si>
  <si>
    <t>(461) 831-9487</t>
  </si>
  <si>
    <t>kempsonc@aol.com</t>
  </si>
  <si>
    <t>C0933</t>
  </si>
  <si>
    <t>Rufino Mascaró-Borrell</t>
  </si>
  <si>
    <t>6 Monroe Ave.</t>
  </si>
  <si>
    <t>(695) 531-1875</t>
  </si>
  <si>
    <t>joglo@optonline.net</t>
  </si>
  <si>
    <t>C0934</t>
  </si>
  <si>
    <t>Félix Paredes Mulet</t>
  </si>
  <si>
    <t>7465 Rosewood Road</t>
  </si>
  <si>
    <t>(936) 854-3061</t>
  </si>
  <si>
    <t>pakaste@msn.com</t>
  </si>
  <si>
    <t>C0935</t>
  </si>
  <si>
    <t>Lucho Aznar</t>
  </si>
  <si>
    <t>85 Brewery Lane</t>
  </si>
  <si>
    <t>(691) 840-0840</t>
  </si>
  <si>
    <t>facet@gmail.com</t>
  </si>
  <si>
    <t>C0936</t>
  </si>
  <si>
    <t>Encarnacion del Aguiló</t>
  </si>
  <si>
    <t>8987 Tunnel Court</t>
  </si>
  <si>
    <t>(810) 733-6823</t>
  </si>
  <si>
    <t>lstaf@me.com</t>
  </si>
  <si>
    <t>C0937</t>
  </si>
  <si>
    <t>Juan Bautista de Campos</t>
  </si>
  <si>
    <t>618 North Park Drive</t>
  </si>
  <si>
    <t>(392) 721-3723</t>
  </si>
  <si>
    <t>vganesh@hotmail.com</t>
  </si>
  <si>
    <t>C0938</t>
  </si>
  <si>
    <t>Leonor Ugarte Salas</t>
  </si>
  <si>
    <t>749 Honey Creek St.</t>
  </si>
  <si>
    <t>(244) 975-9008</t>
  </si>
  <si>
    <t>seebs@gmail.com</t>
  </si>
  <si>
    <t>C0939</t>
  </si>
  <si>
    <t>Hermenegildo de Tolosa</t>
  </si>
  <si>
    <t>401 Arcadia St.</t>
  </si>
  <si>
    <t>(574) 310-1480</t>
  </si>
  <si>
    <t>baveja@msn.com</t>
  </si>
  <si>
    <t>C0940</t>
  </si>
  <si>
    <t>Lisandro Benavides Barba</t>
  </si>
  <si>
    <t>61 Aspen Street</t>
  </si>
  <si>
    <t>(562) 687-6697</t>
  </si>
  <si>
    <t>jdhedden@me.com</t>
  </si>
  <si>
    <t>C0941</t>
  </si>
  <si>
    <t>Zacarías Milla Fernandez</t>
  </si>
  <si>
    <t>8842 Albany Dr.</t>
  </si>
  <si>
    <t>(362) 958-3945</t>
  </si>
  <si>
    <t>nimaclea@mac.com</t>
  </si>
  <si>
    <t>C0942</t>
  </si>
  <si>
    <t>Leyre Ponce-Quintana</t>
  </si>
  <si>
    <t>7761 Glenridge St.</t>
  </si>
  <si>
    <t>(425) 692-2477</t>
  </si>
  <si>
    <t>wikinerd@msn.com</t>
  </si>
  <si>
    <t>C0943</t>
  </si>
  <si>
    <t>Palmira Moreno Manzanares</t>
  </si>
  <si>
    <t>7542 Logan Ave.</t>
  </si>
  <si>
    <t>(844) 204-7819</t>
  </si>
  <si>
    <t>suresh@sbcglobal.net</t>
  </si>
  <si>
    <t>C0944</t>
  </si>
  <si>
    <t>Amancio Bermúdez Flor</t>
  </si>
  <si>
    <t>906 North Marshall Drive</t>
  </si>
  <si>
    <t>(707) 398-6865</t>
  </si>
  <si>
    <t>mhassel@outlook.com</t>
  </si>
  <si>
    <t>C0945</t>
  </si>
  <si>
    <t>Baltasar Téllez Vargas</t>
  </si>
  <si>
    <t>566 Old Windsor Street</t>
  </si>
  <si>
    <t>(469) 519-2773</t>
  </si>
  <si>
    <t>mcsporran@hotmail.com</t>
  </si>
  <si>
    <t>C0946</t>
  </si>
  <si>
    <t>María Fernanda Delia Rovira Taboada</t>
  </si>
  <si>
    <t>363 Carson Lane</t>
  </si>
  <si>
    <t>(592) 732-7144</t>
  </si>
  <si>
    <t>lcheng@outlook.com</t>
  </si>
  <si>
    <t>C0947</t>
  </si>
  <si>
    <t>Héctor Galván</t>
  </si>
  <si>
    <t>8046 Clay Street</t>
  </si>
  <si>
    <t>(602) 356-3808</t>
  </si>
  <si>
    <t>weidai@att.net</t>
  </si>
  <si>
    <t>C0948</t>
  </si>
  <si>
    <t>Matías Rincón-Roldan</t>
  </si>
  <si>
    <t>36 South Lake Forest Lane</t>
  </si>
  <si>
    <t>(640) 568-0785</t>
  </si>
  <si>
    <t>jpflip@hotmail.com</t>
  </si>
  <si>
    <t>C0949</t>
  </si>
  <si>
    <t>Benigno Folch Villaverde</t>
  </si>
  <si>
    <t>437 Jockey Hollow Dr.</t>
  </si>
  <si>
    <t>(400) 512-4755</t>
  </si>
  <si>
    <t>C0950</t>
  </si>
  <si>
    <t>Ariel Bejarano Gimenez</t>
  </si>
  <si>
    <t>135 Airport Ave.</t>
  </si>
  <si>
    <t>(415) 935-8378</t>
  </si>
  <si>
    <t>smpeters@gmail.com</t>
  </si>
  <si>
    <t>C0951</t>
  </si>
  <si>
    <t>Román Villa Marqués</t>
  </si>
  <si>
    <t>8857 Gonzales Street</t>
  </si>
  <si>
    <t>(664) 297-3908</t>
  </si>
  <si>
    <t>cosimo@live.com</t>
  </si>
  <si>
    <t>C0952</t>
  </si>
  <si>
    <t>Dimas Ibarra Domínguez</t>
  </si>
  <si>
    <t>9538 South Wall St.</t>
  </si>
  <si>
    <t>(843) 208-4225</t>
  </si>
  <si>
    <t>bdbrown@yahoo.ca</t>
  </si>
  <si>
    <t>C0953</t>
  </si>
  <si>
    <t>Íñigo Pavón Pol</t>
  </si>
  <si>
    <t>8478 Vernon Lane</t>
  </si>
  <si>
    <t>(336) 204-3889</t>
  </si>
  <si>
    <t>psharpe@me.com</t>
  </si>
  <si>
    <t>C0954</t>
  </si>
  <si>
    <t>Fernanda Olivé Garmendia</t>
  </si>
  <si>
    <t>7133 E. West St.</t>
  </si>
  <si>
    <t>(911) 488-1913</t>
  </si>
  <si>
    <t>moxfulder@sbcglobal.net</t>
  </si>
  <si>
    <t>C0955</t>
  </si>
  <si>
    <t>Norberto Chucho Raya Saldaña</t>
  </si>
  <si>
    <t>26 Sycamore Street</t>
  </si>
  <si>
    <t>(535) 815-9607</t>
  </si>
  <si>
    <t>tattooman@comcast.net</t>
  </si>
  <si>
    <t>C0956</t>
  </si>
  <si>
    <t>Clementina Salcedo Valenzuela</t>
  </si>
  <si>
    <t>746 Marsh Ave.</t>
  </si>
  <si>
    <t>(295) 730-6919</t>
  </si>
  <si>
    <t>scottzed@live.com</t>
  </si>
  <si>
    <t>C0957</t>
  </si>
  <si>
    <t>Brunilda Paredes Vilar</t>
  </si>
  <si>
    <t>53 Cedarwood St.</t>
  </si>
  <si>
    <t>(743) 483-8112</t>
  </si>
  <si>
    <t>hampton@me.com</t>
  </si>
  <si>
    <t>C0958</t>
  </si>
  <si>
    <t>Ester Gras Talavera</t>
  </si>
  <si>
    <t>86 N. Poor House Ave.</t>
  </si>
  <si>
    <t>(831) 249-5449</t>
  </si>
  <si>
    <t>clkao@yahoo.com</t>
  </si>
  <si>
    <t>C0959</t>
  </si>
  <si>
    <t>Jonatan del Guzman</t>
  </si>
  <si>
    <t>7017 Walt Whitman Street</t>
  </si>
  <si>
    <t>(960) 905-6170</t>
  </si>
  <si>
    <t>amaranth@mac.com</t>
  </si>
  <si>
    <t>C0960</t>
  </si>
  <si>
    <t>Susanita Polo Pons</t>
  </si>
  <si>
    <t>7952 Durham St.</t>
  </si>
  <si>
    <t>(214) 703-7189</t>
  </si>
  <si>
    <t>pemungkah@verizon.net</t>
  </si>
  <si>
    <t>C0961</t>
  </si>
  <si>
    <t>Emiliano Galván Madrigal</t>
  </si>
  <si>
    <t>7788 S. Princeton Court</t>
  </si>
  <si>
    <t>(944) 933-0069</t>
  </si>
  <si>
    <t>joehall@gmail.com</t>
  </si>
  <si>
    <t>C0962</t>
  </si>
  <si>
    <t>Palmira Téllez Rosales</t>
  </si>
  <si>
    <t>7707 Beech Ave.</t>
  </si>
  <si>
    <t>(429) 932-6260</t>
  </si>
  <si>
    <t>C0963</t>
  </si>
  <si>
    <t>Gracia José Puente Belmonte</t>
  </si>
  <si>
    <t>9307 Riverside Dr.</t>
  </si>
  <si>
    <t>(922) 644-8881</t>
  </si>
  <si>
    <t>C0964</t>
  </si>
  <si>
    <t>Ariel Alejo Blázquez Castells</t>
  </si>
  <si>
    <t>954 S. Nichols Rd.</t>
  </si>
  <si>
    <t>(405) 986-6020</t>
  </si>
  <si>
    <t>ntegrity@hotmail.com</t>
  </si>
  <si>
    <t>C0965</t>
  </si>
  <si>
    <t>Juan Antonio Solana-Torrijos</t>
  </si>
  <si>
    <t>584 Pumpkin Hill Dr.</t>
  </si>
  <si>
    <t>(890) 409-6135</t>
  </si>
  <si>
    <t>kawasaki@att.net</t>
  </si>
  <si>
    <t>C0966</t>
  </si>
  <si>
    <t>Guiomar Jáuregui Ochoa</t>
  </si>
  <si>
    <t>9799 E. Pumpkin Hill Lane</t>
  </si>
  <si>
    <t>(252) 913-1668</t>
  </si>
  <si>
    <t>library@yahoo.com</t>
  </si>
  <si>
    <t>C0967</t>
  </si>
  <si>
    <t>Mayte Luz Bolaños</t>
  </si>
  <si>
    <t>60 Thatcher Court</t>
  </si>
  <si>
    <t>(622) 688-5821</t>
  </si>
  <si>
    <t>kramulous@yahoo.ca</t>
  </si>
  <si>
    <t>C0968</t>
  </si>
  <si>
    <t>Florencio López Diez</t>
  </si>
  <si>
    <t>8606 Edgewood Lane</t>
  </si>
  <si>
    <t>(255) 804-7439</t>
  </si>
  <si>
    <t>neonatus@comcast.net</t>
  </si>
  <si>
    <t>C0969</t>
  </si>
  <si>
    <t>Pepito Sedano Pou</t>
  </si>
  <si>
    <t>8408 Broad Ave.</t>
  </si>
  <si>
    <t>(815) 908-2066</t>
  </si>
  <si>
    <t>jpflip@aol.com</t>
  </si>
  <si>
    <t>C0970</t>
  </si>
  <si>
    <t>Aitana Gelabert Guardiola</t>
  </si>
  <si>
    <t>417 Nut Swamp Lane</t>
  </si>
  <si>
    <t>(601) 823-1097</t>
  </si>
  <si>
    <t>jnolan@att.net</t>
  </si>
  <si>
    <t>C0971</t>
  </si>
  <si>
    <t>Luis Pellicer Fábregas</t>
  </si>
  <si>
    <t>638 Jennings Street</t>
  </si>
  <si>
    <t>(297) 326-4044</t>
  </si>
  <si>
    <t>snunez@optonline.net</t>
  </si>
  <si>
    <t>C0972</t>
  </si>
  <si>
    <t>Herminio Pereira Redondo</t>
  </si>
  <si>
    <t>307 Fairview Avenue</t>
  </si>
  <si>
    <t>(952) 610-9397</t>
  </si>
  <si>
    <t>sarahs@mac.com</t>
  </si>
  <si>
    <t>C0973</t>
  </si>
  <si>
    <t>Primitiva Quintero Sacristán</t>
  </si>
  <si>
    <t>9182 Market St.</t>
  </si>
  <si>
    <t>(773) 942-8792</t>
  </si>
  <si>
    <t>mosses@yahoo.ca</t>
  </si>
  <si>
    <t>C0974</t>
  </si>
  <si>
    <t>Evangelina Esparza Mariscal</t>
  </si>
  <si>
    <t>55 Lake Forest Drive</t>
  </si>
  <si>
    <t>(516) 557-3412</t>
  </si>
  <si>
    <t>parkes@att.net</t>
  </si>
  <si>
    <t>C0975</t>
  </si>
  <si>
    <t>Celia Aguiló Duran</t>
  </si>
  <si>
    <t>1 Plymouth St.</t>
  </si>
  <si>
    <t>(921) 425-7436</t>
  </si>
  <si>
    <t>rgiersig@outlook.com</t>
  </si>
  <si>
    <t>C0976</t>
  </si>
  <si>
    <t>Olivia del Grau</t>
  </si>
  <si>
    <t>8279 Main Street</t>
  </si>
  <si>
    <t>(689) 655-6058</t>
  </si>
  <si>
    <t>kevinm@me.com</t>
  </si>
  <si>
    <t>C0977</t>
  </si>
  <si>
    <t>Juan Bautista Valderrama Méndez</t>
  </si>
  <si>
    <t>918 Fordham St.</t>
  </si>
  <si>
    <t>(671) 524-5360</t>
  </si>
  <si>
    <t>notaprguy@outlook.com</t>
  </si>
  <si>
    <t>C0978</t>
  </si>
  <si>
    <t>Carina Cañete Alcolea</t>
  </si>
  <si>
    <t>508 Cypress St.</t>
  </si>
  <si>
    <t>(910) 903-9965</t>
  </si>
  <si>
    <t>johnh@gmail.com</t>
  </si>
  <si>
    <t>C0979</t>
  </si>
  <si>
    <t>Ambrosio Calatayud Revilla</t>
  </si>
  <si>
    <t>24 Railroad Court</t>
  </si>
  <si>
    <t>(904) 731-9687</t>
  </si>
  <si>
    <t>erynf@mac.com</t>
  </si>
  <si>
    <t>C0980</t>
  </si>
  <si>
    <t>Ildefonso de Fajardo</t>
  </si>
  <si>
    <t>634 Rockaway St.</t>
  </si>
  <si>
    <t>(455) 701-2540</t>
  </si>
  <si>
    <t>jginspace@optonline.net</t>
  </si>
  <si>
    <t>C0981</t>
  </si>
  <si>
    <t>Edelmira Baeza-Rodriguez</t>
  </si>
  <si>
    <t>957 South Arcadia Street</t>
  </si>
  <si>
    <t>(864) 567-3221</t>
  </si>
  <si>
    <t>terjesa@att.net</t>
  </si>
  <si>
    <t>C0982</t>
  </si>
  <si>
    <t>Socorro Castro Agustí</t>
  </si>
  <si>
    <t>750 Vernon Ave.</t>
  </si>
  <si>
    <t>(241) 803-9393</t>
  </si>
  <si>
    <t>hermes@optonline.net</t>
  </si>
  <si>
    <t>C0983</t>
  </si>
  <si>
    <t>Calixto Ávila Pintor</t>
  </si>
  <si>
    <t>35 Miller St.</t>
  </si>
  <si>
    <t>(237) 839-2784</t>
  </si>
  <si>
    <t>C0984</t>
  </si>
  <si>
    <t>Severiano de Morán</t>
  </si>
  <si>
    <t>7545 Yukon Street</t>
  </si>
  <si>
    <t>(362) 504-0521</t>
  </si>
  <si>
    <t>jguyer@icloud.com</t>
  </si>
  <si>
    <t>C0985</t>
  </si>
  <si>
    <t>Olimpia Valls Calvet</t>
  </si>
  <si>
    <t>75 Victoria St.</t>
  </si>
  <si>
    <t>(205) 311-7938</t>
  </si>
  <si>
    <t>C0986</t>
  </si>
  <si>
    <t>Vito del Lara</t>
  </si>
  <si>
    <t>7654 Creek St.</t>
  </si>
  <si>
    <t>(459) 473-8039</t>
  </si>
  <si>
    <t>wkrebs@icloud.com</t>
  </si>
  <si>
    <t>C0987</t>
  </si>
  <si>
    <t>Teodosio Arteaga Nicolau</t>
  </si>
  <si>
    <t>829 Devonshire Street</t>
  </si>
  <si>
    <t>(956) 901-0189</t>
  </si>
  <si>
    <t>msherr@mac.com</t>
  </si>
  <si>
    <t>C0988</t>
  </si>
  <si>
    <t>Juan Luis Amorós Calvet</t>
  </si>
  <si>
    <t>48 North Arch St.</t>
  </si>
  <si>
    <t>(289) 371-6935</t>
  </si>
  <si>
    <t>evans@hotmail.com</t>
  </si>
  <si>
    <t>C0989</t>
  </si>
  <si>
    <t>Olivia del Martí</t>
  </si>
  <si>
    <t>818 North Ridge St.</t>
  </si>
  <si>
    <t>(534) 741-5424</t>
  </si>
  <si>
    <t>dgriffith@sbcglobal.net</t>
  </si>
  <si>
    <t>C0990</t>
  </si>
  <si>
    <t>Nicanor Peña Tudela</t>
  </si>
  <si>
    <t>7 Hill Field St.</t>
  </si>
  <si>
    <t>(562) 803-1918</t>
  </si>
  <si>
    <t>sakusha@me.com</t>
  </si>
  <si>
    <t>C0991</t>
  </si>
  <si>
    <t>Elena Torre Blazquez</t>
  </si>
  <si>
    <t>13 4th Rd.</t>
  </si>
  <si>
    <t>(703) 578-2309</t>
  </si>
  <si>
    <t>starstuff@live.com</t>
  </si>
  <si>
    <t>C0992</t>
  </si>
  <si>
    <t>Adriana Zabala</t>
  </si>
  <si>
    <t>308 Elmwood Ave.</t>
  </si>
  <si>
    <t>(394) 282-3814</t>
  </si>
  <si>
    <t>zeller@yahoo.com</t>
  </si>
  <si>
    <t>C0993</t>
  </si>
  <si>
    <t>Yésica Carnero</t>
  </si>
  <si>
    <t>37 Sunbeam Lane</t>
  </si>
  <si>
    <t>(733) 346-2538</t>
  </si>
  <si>
    <t>parasite@comcast.net</t>
  </si>
  <si>
    <t>C0994</t>
  </si>
  <si>
    <t>Luis Miguel Gutierrez Llabrés</t>
  </si>
  <si>
    <t>679 Philmont St.</t>
  </si>
  <si>
    <t>(350) 800-2197</t>
  </si>
  <si>
    <t>sherzodr@aol.com</t>
  </si>
  <si>
    <t>C0995</t>
  </si>
  <si>
    <t>Josué Salom González</t>
  </si>
  <si>
    <t>324 Augusta St.</t>
  </si>
  <si>
    <t>(853) 698-8173</t>
  </si>
  <si>
    <t>ajohnson@comcast.net</t>
  </si>
  <si>
    <t>C0996</t>
  </si>
  <si>
    <t>Montserrat Tomé</t>
  </si>
  <si>
    <t>7606 Alderwood Rd.</t>
  </si>
  <si>
    <t>(946) 694-2288</t>
  </si>
  <si>
    <t>hmbrand@optonline.net</t>
  </si>
  <si>
    <t>C0997</t>
  </si>
  <si>
    <t>Berta Izaguirre-Coll</t>
  </si>
  <si>
    <t>8672 S. Mechanic Dr.</t>
  </si>
  <si>
    <t>(718) 641-6619</t>
  </si>
  <si>
    <t>clkao@optonline.net</t>
  </si>
  <si>
    <t>C0998</t>
  </si>
  <si>
    <t>Asunción Arnaiz Castellanos</t>
  </si>
  <si>
    <t>20 Marvon Rd.</t>
  </si>
  <si>
    <t>(352) 826-4955</t>
  </si>
  <si>
    <t>kingma@mac.com</t>
  </si>
  <si>
    <t>C0999</t>
  </si>
  <si>
    <t>Nilo Porras Casas</t>
  </si>
  <si>
    <t>116 Division Lane</t>
  </si>
  <si>
    <t>(473) 640-7258</t>
  </si>
  <si>
    <t>mahbub@mac.com</t>
  </si>
  <si>
    <t>Fila vacía</t>
  </si>
  <si>
    <t>Campos vacíos (nulos)</t>
  </si>
  <si>
    <t>ID duplicado</t>
  </si>
  <si>
    <t>Correo duplicado</t>
  </si>
  <si>
    <t>Correo con formato inválido</t>
  </si>
  <si>
    <t>Teléfono con formato inválido</t>
  </si>
  <si>
    <t>Fecha nacimiento posterior a alta</t>
  </si>
  <si>
    <t>Dirección sin número (posible error)</t>
  </si>
  <si>
    <t>REVISAR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</si>
</sst>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/d/yyyy\ h:mm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i/>
      <sz val="9"/>
      <name val="Arial"/>
      <family val="2"/>
    </font>
    <font>
      <b/>
      <sz val="11"/>
      <color theme="1"/>
      <name val="Calibri"/>
      <family val="2"/>
      <charset val="1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6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0.6640625" defaultRowHeight="14.4" x14ac:dyDescent="0.3"/>
  <cols>
    <col min="1" max="1" width="6.109375" customWidth="1"/>
    <col min="2" max="2" width="32.6640625" customWidth="1"/>
    <col min="3" max="3" width="21.6640625" customWidth="1"/>
    <col min="4" max="4" width="27.33203125" customWidth="1"/>
    <col min="5" max="5" width="30.109375" customWidth="1"/>
    <col min="6" max="6" width="13.5546875" customWidth="1"/>
    <col min="7" max="7" width="25.88671875" customWidth="1"/>
    <col min="8" max="8" width="15.6640625" customWidth="1"/>
    <col min="9" max="9" width="21.44140625" style="7" customWidth="1"/>
  </cols>
  <sheetData>
    <row r="1" spans="1:9" s="8" customFormat="1" ht="15" customHeight="1" x14ac:dyDescent="0.3">
      <c r="A1" s="8" t="s">
        <v>11</v>
      </c>
      <c r="B1" s="8" t="s">
        <v>12</v>
      </c>
      <c r="C1" s="8" t="s">
        <v>13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  <c r="I1" s="9" t="s">
        <v>19</v>
      </c>
    </row>
    <row r="2" spans="1:9" ht="15" customHeight="1" x14ac:dyDescent="0.3">
      <c r="A2" t="s">
        <v>20</v>
      </c>
      <c r="B2" t="s">
        <v>21</v>
      </c>
      <c r="C2" s="10">
        <v>31024</v>
      </c>
      <c r="D2" t="s">
        <v>22</v>
      </c>
      <c r="E2" t="s">
        <v>23</v>
      </c>
      <c r="F2" t="s">
        <v>24</v>
      </c>
      <c r="G2" t="s">
        <v>25</v>
      </c>
      <c r="H2" s="11">
        <v>40927.605914351901</v>
      </c>
      <c r="I2" s="7" t="s">
        <v>26</v>
      </c>
    </row>
    <row r="3" spans="1:9" ht="15" customHeight="1" x14ac:dyDescent="0.3">
      <c r="A3" t="s">
        <v>27</v>
      </c>
      <c r="B3" t="s">
        <v>28</v>
      </c>
      <c r="C3" s="10">
        <v>31636</v>
      </c>
      <c r="D3" t="s">
        <v>29</v>
      </c>
      <c r="E3" t="s">
        <v>30</v>
      </c>
      <c r="F3" t="s">
        <v>31</v>
      </c>
      <c r="G3" t="s">
        <v>32</v>
      </c>
      <c r="H3" s="11">
        <v>38433.654305555603</v>
      </c>
      <c r="I3" s="7" t="s">
        <v>33</v>
      </c>
    </row>
    <row r="4" spans="1:9" ht="15" customHeight="1" x14ac:dyDescent="0.3">
      <c r="A4" t="s">
        <v>34</v>
      </c>
      <c r="B4" t="s">
        <v>35</v>
      </c>
      <c r="C4" s="10">
        <v>32979</v>
      </c>
      <c r="D4" t="s">
        <v>36</v>
      </c>
      <c r="E4" t="s">
        <v>37</v>
      </c>
      <c r="F4" t="s">
        <v>38</v>
      </c>
      <c r="G4" t="s">
        <v>39</v>
      </c>
      <c r="H4" s="11">
        <v>39340.125821759299</v>
      </c>
      <c r="I4" s="7" t="s">
        <v>33</v>
      </c>
    </row>
    <row r="5" spans="1:9" ht="15" customHeight="1" x14ac:dyDescent="0.3">
      <c r="A5" t="s">
        <v>40</v>
      </c>
      <c r="B5" t="s">
        <v>41</v>
      </c>
      <c r="C5" s="10">
        <v>35401</v>
      </c>
      <c r="D5" t="s">
        <v>42</v>
      </c>
      <c r="E5" t="s">
        <v>43</v>
      </c>
      <c r="F5" t="s">
        <v>44</v>
      </c>
      <c r="G5" t="s">
        <v>45</v>
      </c>
      <c r="H5" s="11">
        <v>40884.640856481499</v>
      </c>
      <c r="I5" s="7" t="s">
        <v>33</v>
      </c>
    </row>
    <row r="6" spans="1:9" ht="15" customHeight="1" x14ac:dyDescent="0.3">
      <c r="A6" t="s">
        <v>46</v>
      </c>
      <c r="B6" t="s">
        <v>47</v>
      </c>
      <c r="C6" s="10">
        <v>30816</v>
      </c>
      <c r="D6" t="s">
        <v>48</v>
      </c>
      <c r="E6" t="s">
        <v>49</v>
      </c>
      <c r="F6" t="s">
        <v>50</v>
      </c>
      <c r="G6" t="s">
        <v>51</v>
      </c>
      <c r="H6" s="11">
        <v>39627.290347222202</v>
      </c>
      <c r="I6" s="7" t="s">
        <v>52</v>
      </c>
    </row>
    <row r="7" spans="1:9" ht="15" customHeight="1" x14ac:dyDescent="0.3">
      <c r="A7" t="s">
        <v>53</v>
      </c>
      <c r="B7" t="s">
        <v>54</v>
      </c>
      <c r="C7" s="10">
        <v>31885</v>
      </c>
      <c r="D7" t="s">
        <v>55</v>
      </c>
      <c r="E7" t="s">
        <v>56</v>
      </c>
      <c r="F7" t="s">
        <v>57</v>
      </c>
      <c r="G7" t="s">
        <v>58</v>
      </c>
      <c r="H7" s="11">
        <v>39564.845960648199</v>
      </c>
      <c r="I7" s="7" t="s">
        <v>33</v>
      </c>
    </row>
    <row r="8" spans="1:9" ht="15" customHeight="1" x14ac:dyDescent="0.3">
      <c r="A8" t="s">
        <v>59</v>
      </c>
      <c r="B8" t="s">
        <v>60</v>
      </c>
      <c r="C8" s="10">
        <v>33204</v>
      </c>
      <c r="D8" t="s">
        <v>61</v>
      </c>
      <c r="E8" t="s">
        <v>62</v>
      </c>
      <c r="F8" t="s">
        <v>63</v>
      </c>
      <c r="G8" t="s">
        <v>64</v>
      </c>
      <c r="H8" s="11">
        <v>43746.6699421296</v>
      </c>
      <c r="I8" s="7" t="s">
        <v>26</v>
      </c>
    </row>
    <row r="9" spans="1:9" ht="15" customHeight="1" x14ac:dyDescent="0.3">
      <c r="A9" t="s">
        <v>65</v>
      </c>
      <c r="B9" t="s">
        <v>66</v>
      </c>
      <c r="C9" s="10">
        <v>29651</v>
      </c>
      <c r="D9" t="s">
        <v>67</v>
      </c>
      <c r="E9" t="s">
        <v>68</v>
      </c>
      <c r="F9" t="s">
        <v>69</v>
      </c>
      <c r="G9" t="s">
        <v>70</v>
      </c>
      <c r="H9" s="11">
        <v>40041.359224537002</v>
      </c>
      <c r="I9" s="7" t="s">
        <v>71</v>
      </c>
    </row>
    <row r="10" spans="1:9" ht="15" customHeight="1" x14ac:dyDescent="0.3">
      <c r="A10" t="s">
        <v>72</v>
      </c>
      <c r="B10" t="s">
        <v>73</v>
      </c>
      <c r="C10" s="10">
        <v>29339</v>
      </c>
      <c r="D10" t="s">
        <v>74</v>
      </c>
      <c r="E10" t="s">
        <v>75</v>
      </c>
      <c r="F10" t="s">
        <v>76</v>
      </c>
      <c r="G10" t="s">
        <v>77</v>
      </c>
      <c r="H10" s="11">
        <v>41279.909618055601</v>
      </c>
      <c r="I10" s="7" t="s">
        <v>78</v>
      </c>
    </row>
    <row r="11" spans="1:9" ht="15" customHeight="1" x14ac:dyDescent="0.3">
      <c r="A11" t="s">
        <v>79</v>
      </c>
      <c r="B11" t="s">
        <v>80</v>
      </c>
      <c r="C11" s="10">
        <v>31781</v>
      </c>
      <c r="D11" t="s">
        <v>81</v>
      </c>
      <c r="E11" t="s">
        <v>82</v>
      </c>
      <c r="F11" t="s">
        <v>83</v>
      </c>
      <c r="G11" t="s">
        <v>84</v>
      </c>
      <c r="H11" s="11">
        <v>39445.145254629599</v>
      </c>
      <c r="I11" s="7" t="s">
        <v>33</v>
      </c>
    </row>
    <row r="12" spans="1:9" ht="15" customHeight="1" x14ac:dyDescent="0.3">
      <c r="A12" t="s">
        <v>85</v>
      </c>
      <c r="B12" t="s">
        <v>86</v>
      </c>
      <c r="C12" s="10">
        <v>33211</v>
      </c>
      <c r="D12" t="s">
        <v>87</v>
      </c>
      <c r="E12" t="s">
        <v>88</v>
      </c>
      <c r="F12" t="s">
        <v>89</v>
      </c>
      <c r="G12" t="s">
        <v>90</v>
      </c>
      <c r="H12" s="11">
        <v>41513.763252314799</v>
      </c>
      <c r="I12" s="7" t="s">
        <v>78</v>
      </c>
    </row>
    <row r="13" spans="1:9" ht="15" customHeight="1" x14ac:dyDescent="0.3">
      <c r="A13" t="s">
        <v>91</v>
      </c>
      <c r="B13" t="s">
        <v>92</v>
      </c>
      <c r="C13" s="10">
        <v>28418</v>
      </c>
      <c r="D13" t="s">
        <v>93</v>
      </c>
      <c r="E13" t="s">
        <v>94</v>
      </c>
      <c r="F13" t="s">
        <v>95</v>
      </c>
      <c r="G13" t="s">
        <v>96</v>
      </c>
      <c r="H13" s="11">
        <v>40963.0319212963</v>
      </c>
      <c r="I13" s="7" t="s">
        <v>71</v>
      </c>
    </row>
    <row r="14" spans="1:9" ht="15" customHeight="1" x14ac:dyDescent="0.3">
      <c r="A14" t="s">
        <v>97</v>
      </c>
      <c r="B14" t="s">
        <v>98</v>
      </c>
      <c r="C14" s="10">
        <v>36577</v>
      </c>
      <c r="D14" t="s">
        <v>99</v>
      </c>
      <c r="E14" t="s">
        <v>100</v>
      </c>
      <c r="F14" t="s">
        <v>101</v>
      </c>
      <c r="G14" t="s">
        <v>102</v>
      </c>
      <c r="H14" s="11">
        <v>41997.460277777798</v>
      </c>
      <c r="I14" s="7" t="s">
        <v>52</v>
      </c>
    </row>
    <row r="15" spans="1:9" ht="15" customHeight="1" x14ac:dyDescent="0.3">
      <c r="A15" t="s">
        <v>103</v>
      </c>
      <c r="B15" t="s">
        <v>104</v>
      </c>
      <c r="C15" s="10">
        <v>36296</v>
      </c>
      <c r="D15" t="s">
        <v>105</v>
      </c>
      <c r="E15" t="s">
        <v>106</v>
      </c>
      <c r="F15" t="s">
        <v>107</v>
      </c>
      <c r="G15" t="s">
        <v>108</v>
      </c>
      <c r="H15" s="11">
        <v>42672.280694444496</v>
      </c>
      <c r="I15" s="7" t="s">
        <v>71</v>
      </c>
    </row>
    <row r="16" spans="1:9" ht="15" customHeight="1" x14ac:dyDescent="0.3">
      <c r="A16" t="s">
        <v>109</v>
      </c>
      <c r="B16" t="s">
        <v>110</v>
      </c>
      <c r="C16" s="10">
        <v>34406</v>
      </c>
      <c r="D16" t="s">
        <v>111</v>
      </c>
      <c r="E16" t="s">
        <v>112</v>
      </c>
      <c r="F16" t="s">
        <v>113</v>
      </c>
      <c r="G16" t="s">
        <v>114</v>
      </c>
      <c r="H16" s="11">
        <v>39178.261030092603</v>
      </c>
      <c r="I16" s="7" t="s">
        <v>52</v>
      </c>
    </row>
    <row r="17" spans="1:9" ht="15" customHeight="1" x14ac:dyDescent="0.3">
      <c r="A17" t="s">
        <v>115</v>
      </c>
      <c r="B17" t="s">
        <v>116</v>
      </c>
      <c r="C17" s="10">
        <v>29329</v>
      </c>
      <c r="D17" t="s">
        <v>117</v>
      </c>
      <c r="E17" t="s">
        <v>118</v>
      </c>
      <c r="F17" t="s">
        <v>119</v>
      </c>
      <c r="G17" t="s">
        <v>120</v>
      </c>
      <c r="H17" s="11">
        <v>43779.048159722202</v>
      </c>
      <c r="I17" s="7" t="s">
        <v>78</v>
      </c>
    </row>
    <row r="18" spans="1:9" ht="15" customHeight="1" x14ac:dyDescent="0.3">
      <c r="A18" t="s">
        <v>121</v>
      </c>
      <c r="B18" t="s">
        <v>122</v>
      </c>
      <c r="C18" s="10">
        <v>29283</v>
      </c>
      <c r="D18" t="s">
        <v>123</v>
      </c>
      <c r="E18" t="s">
        <v>124</v>
      </c>
      <c r="F18" t="s">
        <v>125</v>
      </c>
      <c r="G18" t="s">
        <v>126</v>
      </c>
      <c r="H18" s="11">
        <v>42753.587488425903</v>
      </c>
      <c r="I18" s="7" t="s">
        <v>71</v>
      </c>
    </row>
    <row r="19" spans="1:9" ht="15" customHeight="1" x14ac:dyDescent="0.3">
      <c r="A19" t="s">
        <v>127</v>
      </c>
      <c r="B19" t="s">
        <v>128</v>
      </c>
      <c r="C19" s="10">
        <v>29680</v>
      </c>
      <c r="D19" t="s">
        <v>129</v>
      </c>
      <c r="E19" t="s">
        <v>130</v>
      </c>
      <c r="F19" t="s">
        <v>131</v>
      </c>
      <c r="G19" t="s">
        <v>132</v>
      </c>
      <c r="H19" s="11">
        <v>40310.165034722202</v>
      </c>
      <c r="I19" s="7" t="s">
        <v>71</v>
      </c>
    </row>
    <row r="20" spans="1:9" ht="15" customHeight="1" x14ac:dyDescent="0.3">
      <c r="A20" t="s">
        <v>133</v>
      </c>
      <c r="B20" t="s">
        <v>134</v>
      </c>
      <c r="C20" s="10">
        <v>32306</v>
      </c>
      <c r="D20" t="s">
        <v>135</v>
      </c>
      <c r="E20" t="s">
        <v>136</v>
      </c>
      <c r="F20" t="s">
        <v>137</v>
      </c>
      <c r="G20" t="s">
        <v>138</v>
      </c>
      <c r="H20" s="11">
        <v>40963.3187847222</v>
      </c>
      <c r="I20" s="7" t="s">
        <v>26</v>
      </c>
    </row>
    <row r="21" spans="1:9" ht="15" customHeight="1" x14ac:dyDescent="0.3">
      <c r="A21" t="s">
        <v>139</v>
      </c>
      <c r="B21" t="s">
        <v>140</v>
      </c>
      <c r="C21" s="10">
        <v>34355</v>
      </c>
      <c r="D21" t="s">
        <v>141</v>
      </c>
      <c r="E21" t="s">
        <v>142</v>
      </c>
      <c r="F21" t="s">
        <v>143</v>
      </c>
      <c r="G21" t="s">
        <v>144</v>
      </c>
      <c r="H21" s="11">
        <v>42506.381319444401</v>
      </c>
      <c r="I21" s="7" t="s">
        <v>52</v>
      </c>
    </row>
    <row r="22" spans="1:9" ht="15" customHeight="1" x14ac:dyDescent="0.3">
      <c r="A22" t="s">
        <v>145</v>
      </c>
      <c r="B22" t="s">
        <v>146</v>
      </c>
      <c r="C22" s="10">
        <v>29037</v>
      </c>
      <c r="D22" t="s">
        <v>147</v>
      </c>
      <c r="E22" t="s">
        <v>148</v>
      </c>
      <c r="F22" t="s">
        <v>149</v>
      </c>
      <c r="G22" t="s">
        <v>150</v>
      </c>
      <c r="H22" s="11">
        <v>43147.552847222199</v>
      </c>
      <c r="I22" s="7" t="s">
        <v>52</v>
      </c>
    </row>
    <row r="23" spans="1:9" ht="15" customHeight="1" x14ac:dyDescent="0.3">
      <c r="A23" t="s">
        <v>151</v>
      </c>
      <c r="B23" t="s">
        <v>152</v>
      </c>
      <c r="C23" s="10">
        <v>27741</v>
      </c>
      <c r="D23" t="s">
        <v>153</v>
      </c>
      <c r="E23" t="s">
        <v>154</v>
      </c>
      <c r="F23" t="s">
        <v>155</v>
      </c>
      <c r="G23" t="s">
        <v>156</v>
      </c>
      <c r="H23" s="11">
        <v>43522.384548611102</v>
      </c>
      <c r="I23" s="7" t="s">
        <v>52</v>
      </c>
    </row>
    <row r="24" spans="1:9" ht="15" customHeight="1" x14ac:dyDescent="0.3">
      <c r="A24" t="s">
        <v>157</v>
      </c>
      <c r="B24" t="s">
        <v>158</v>
      </c>
      <c r="C24" s="10">
        <v>32080</v>
      </c>
      <c r="D24" t="s">
        <v>159</v>
      </c>
      <c r="E24" t="s">
        <v>160</v>
      </c>
      <c r="F24" t="s">
        <v>161</v>
      </c>
      <c r="G24" t="s">
        <v>162</v>
      </c>
      <c r="H24" s="11">
        <v>38402.098159722198</v>
      </c>
      <c r="I24" s="7" t="s">
        <v>26</v>
      </c>
    </row>
    <row r="25" spans="1:9" ht="15" customHeight="1" x14ac:dyDescent="0.3">
      <c r="A25" t="s">
        <v>163</v>
      </c>
      <c r="B25" t="s">
        <v>164</v>
      </c>
      <c r="C25" s="10">
        <v>29038</v>
      </c>
      <c r="D25" t="s">
        <v>165</v>
      </c>
      <c r="E25" t="s">
        <v>166</v>
      </c>
      <c r="F25" t="s">
        <v>167</v>
      </c>
      <c r="G25" t="s">
        <v>168</v>
      </c>
      <c r="H25" s="11">
        <v>41731.770972222199</v>
      </c>
      <c r="I25" s="7" t="s">
        <v>33</v>
      </c>
    </row>
    <row r="26" spans="1:9" ht="15" customHeight="1" x14ac:dyDescent="0.3">
      <c r="A26" t="s">
        <v>169</v>
      </c>
      <c r="B26" t="s">
        <v>170</v>
      </c>
      <c r="C26" s="10">
        <v>31653</v>
      </c>
      <c r="D26" t="s">
        <v>171</v>
      </c>
      <c r="E26" t="s">
        <v>172</v>
      </c>
      <c r="F26" t="s">
        <v>173</v>
      </c>
      <c r="G26" t="s">
        <v>174</v>
      </c>
      <c r="H26" s="11">
        <v>41159.130150463003</v>
      </c>
      <c r="I26" s="7" t="s">
        <v>78</v>
      </c>
    </row>
    <row r="27" spans="1:9" ht="15" customHeight="1" x14ac:dyDescent="0.3">
      <c r="A27" t="s">
        <v>175</v>
      </c>
      <c r="B27" t="s">
        <v>176</v>
      </c>
      <c r="C27" s="10">
        <v>30954</v>
      </c>
      <c r="D27" t="s">
        <v>177</v>
      </c>
      <c r="E27" t="s">
        <v>178</v>
      </c>
      <c r="F27" t="s">
        <v>179</v>
      </c>
      <c r="G27" t="s">
        <v>180</v>
      </c>
      <c r="H27" s="11">
        <v>40361.629097222198</v>
      </c>
      <c r="I27" s="7" t="s">
        <v>26</v>
      </c>
    </row>
    <row r="28" spans="1:9" ht="15" customHeight="1" x14ac:dyDescent="0.3">
      <c r="A28" t="s">
        <v>181</v>
      </c>
      <c r="B28" t="s">
        <v>182</v>
      </c>
      <c r="C28" s="10">
        <v>32613</v>
      </c>
      <c r="D28" t="s">
        <v>183</v>
      </c>
      <c r="E28" t="s">
        <v>184</v>
      </c>
      <c r="F28" t="s">
        <v>185</v>
      </c>
      <c r="G28" t="s">
        <v>186</v>
      </c>
      <c r="H28" s="11">
        <v>43593.501203703701</v>
      </c>
      <c r="I28" s="7" t="s">
        <v>71</v>
      </c>
    </row>
    <row r="29" spans="1:9" ht="15" customHeight="1" x14ac:dyDescent="0.3">
      <c r="A29" t="s">
        <v>187</v>
      </c>
      <c r="B29" t="s">
        <v>188</v>
      </c>
      <c r="C29" s="10">
        <v>28575</v>
      </c>
      <c r="D29" t="s">
        <v>189</v>
      </c>
      <c r="E29" t="s">
        <v>190</v>
      </c>
      <c r="F29" t="s">
        <v>191</v>
      </c>
      <c r="G29" t="s">
        <v>192</v>
      </c>
      <c r="H29" s="11">
        <v>41598.835833333302</v>
      </c>
      <c r="I29" s="7" t="s">
        <v>71</v>
      </c>
    </row>
    <row r="30" spans="1:9" ht="15" customHeight="1" x14ac:dyDescent="0.3">
      <c r="A30" t="s">
        <v>193</v>
      </c>
      <c r="B30" t="s">
        <v>194</v>
      </c>
      <c r="C30" s="10">
        <v>31584</v>
      </c>
      <c r="D30" t="s">
        <v>195</v>
      </c>
      <c r="E30" t="s">
        <v>196</v>
      </c>
      <c r="F30" t="s">
        <v>197</v>
      </c>
      <c r="G30" t="s">
        <v>198</v>
      </c>
      <c r="H30" s="11">
        <v>42687.620150463001</v>
      </c>
      <c r="I30" s="7" t="s">
        <v>71</v>
      </c>
    </row>
    <row r="31" spans="1:9" ht="15" customHeight="1" x14ac:dyDescent="0.3">
      <c r="A31" t="s">
        <v>199</v>
      </c>
      <c r="B31" t="s">
        <v>200</v>
      </c>
      <c r="C31" s="10">
        <v>35503</v>
      </c>
      <c r="D31" t="s">
        <v>201</v>
      </c>
      <c r="E31" t="s">
        <v>202</v>
      </c>
      <c r="F31" t="s">
        <v>203</v>
      </c>
      <c r="G31" t="s">
        <v>204</v>
      </c>
      <c r="H31" s="11">
        <v>41422.539687500001</v>
      </c>
      <c r="I31" s="7" t="s">
        <v>78</v>
      </c>
    </row>
    <row r="32" spans="1:9" ht="15" customHeight="1" x14ac:dyDescent="0.3">
      <c r="A32" t="s">
        <v>205</v>
      </c>
      <c r="B32" t="s">
        <v>206</v>
      </c>
      <c r="C32" s="10">
        <v>34263</v>
      </c>
      <c r="D32" t="s">
        <v>207</v>
      </c>
      <c r="E32" t="s">
        <v>208</v>
      </c>
      <c r="F32" t="s">
        <v>209</v>
      </c>
      <c r="G32" t="s">
        <v>210</v>
      </c>
      <c r="H32" s="11">
        <v>38728.033819444398</v>
      </c>
      <c r="I32" s="7" t="s">
        <v>26</v>
      </c>
    </row>
    <row r="33" spans="1:9" ht="15" customHeight="1" x14ac:dyDescent="0.3">
      <c r="A33" t="s">
        <v>211</v>
      </c>
      <c r="B33" t="s">
        <v>212</v>
      </c>
      <c r="C33" s="10">
        <v>25839</v>
      </c>
      <c r="D33" t="s">
        <v>213</v>
      </c>
      <c r="E33" t="s">
        <v>214</v>
      </c>
      <c r="F33" t="s">
        <v>215</v>
      </c>
      <c r="G33" t="s">
        <v>216</v>
      </c>
      <c r="H33" s="11">
        <v>42824.7655324074</v>
      </c>
      <c r="I33" s="7" t="s">
        <v>78</v>
      </c>
    </row>
    <row r="34" spans="1:9" ht="15" customHeight="1" x14ac:dyDescent="0.3">
      <c r="A34" t="s">
        <v>217</v>
      </c>
      <c r="B34" t="s">
        <v>218</v>
      </c>
      <c r="C34" s="10">
        <v>32650</v>
      </c>
      <c r="D34" t="s">
        <v>219</v>
      </c>
      <c r="E34" t="s">
        <v>220</v>
      </c>
      <c r="F34" t="s">
        <v>221</v>
      </c>
      <c r="G34" t="s">
        <v>222</v>
      </c>
      <c r="H34" s="11">
        <v>42754.807673611103</v>
      </c>
      <c r="I34" s="7" t="s">
        <v>52</v>
      </c>
    </row>
    <row r="35" spans="1:9" ht="15" customHeight="1" x14ac:dyDescent="0.3">
      <c r="A35" t="s">
        <v>223</v>
      </c>
      <c r="B35" t="s">
        <v>224</v>
      </c>
      <c r="C35" s="10">
        <v>34301</v>
      </c>
      <c r="D35" t="s">
        <v>225</v>
      </c>
      <c r="E35" t="s">
        <v>226</v>
      </c>
      <c r="F35" t="s">
        <v>227</v>
      </c>
      <c r="G35" t="s">
        <v>228</v>
      </c>
      <c r="H35" s="11">
        <v>42042.795358796298</v>
      </c>
      <c r="I35" s="7" t="s">
        <v>78</v>
      </c>
    </row>
    <row r="36" spans="1:9" ht="15" customHeight="1" x14ac:dyDescent="0.3">
      <c r="A36" t="s">
        <v>229</v>
      </c>
      <c r="B36" t="s">
        <v>230</v>
      </c>
      <c r="C36" s="10">
        <v>25830</v>
      </c>
      <c r="D36" t="s">
        <v>231</v>
      </c>
      <c r="E36" t="s">
        <v>232</v>
      </c>
      <c r="F36" t="s">
        <v>233</v>
      </c>
      <c r="G36" t="s">
        <v>234</v>
      </c>
      <c r="H36" s="11">
        <v>39093.650601851899</v>
      </c>
      <c r="I36" s="7" t="s">
        <v>52</v>
      </c>
    </row>
    <row r="37" spans="1:9" ht="15" customHeight="1" x14ac:dyDescent="0.3">
      <c r="A37" t="s">
        <v>235</v>
      </c>
      <c r="B37" t="s">
        <v>236</v>
      </c>
      <c r="C37" s="10">
        <v>30715</v>
      </c>
      <c r="D37" t="s">
        <v>237</v>
      </c>
      <c r="E37" t="s">
        <v>238</v>
      </c>
      <c r="F37" t="s">
        <v>239</v>
      </c>
      <c r="G37" t="s">
        <v>240</v>
      </c>
      <c r="H37" s="11">
        <v>38946.4070601852</v>
      </c>
      <c r="I37" s="7" t="s">
        <v>78</v>
      </c>
    </row>
    <row r="38" spans="1:9" ht="15" customHeight="1" x14ac:dyDescent="0.3">
      <c r="A38" t="s">
        <v>241</v>
      </c>
      <c r="B38" t="s">
        <v>242</v>
      </c>
      <c r="C38" s="10">
        <v>29565</v>
      </c>
      <c r="D38" t="s">
        <v>243</v>
      </c>
      <c r="E38" t="s">
        <v>244</v>
      </c>
      <c r="F38" t="s">
        <v>245</v>
      </c>
      <c r="G38" t="s">
        <v>246</v>
      </c>
      <c r="H38" s="11">
        <v>44278.575787037</v>
      </c>
      <c r="I38" s="7" t="s">
        <v>33</v>
      </c>
    </row>
    <row r="39" spans="1:9" ht="15" customHeight="1" x14ac:dyDescent="0.3">
      <c r="A39" t="s">
        <v>247</v>
      </c>
      <c r="B39" t="s">
        <v>248</v>
      </c>
      <c r="C39" s="10">
        <v>32471</v>
      </c>
      <c r="D39" t="s">
        <v>249</v>
      </c>
      <c r="E39" t="s">
        <v>250</v>
      </c>
      <c r="F39" t="s">
        <v>251</v>
      </c>
      <c r="G39" t="s">
        <v>252</v>
      </c>
      <c r="H39" s="11">
        <v>40063.243634259299</v>
      </c>
      <c r="I39" s="7" t="s">
        <v>78</v>
      </c>
    </row>
    <row r="40" spans="1:9" ht="15" customHeight="1" x14ac:dyDescent="0.3">
      <c r="A40" t="s">
        <v>253</v>
      </c>
      <c r="B40" t="s">
        <v>254</v>
      </c>
      <c r="C40" s="10">
        <v>29692</v>
      </c>
      <c r="D40" t="s">
        <v>255</v>
      </c>
      <c r="E40" t="s">
        <v>256</v>
      </c>
      <c r="F40" t="s">
        <v>257</v>
      </c>
      <c r="G40" t="s">
        <v>258</v>
      </c>
      <c r="H40" s="11">
        <v>40677.360057870399</v>
      </c>
      <c r="I40" s="7" t="s">
        <v>33</v>
      </c>
    </row>
    <row r="41" spans="1:9" ht="15" customHeight="1" x14ac:dyDescent="0.3">
      <c r="A41" t="s">
        <v>259</v>
      </c>
      <c r="B41" t="s">
        <v>260</v>
      </c>
      <c r="C41" s="10">
        <v>36289</v>
      </c>
      <c r="D41" t="s">
        <v>261</v>
      </c>
      <c r="E41" t="s">
        <v>262</v>
      </c>
      <c r="F41" t="s">
        <v>263</v>
      </c>
      <c r="G41" t="s">
        <v>264</v>
      </c>
      <c r="H41" s="11">
        <v>39818.013310185197</v>
      </c>
      <c r="I41" s="7" t="s">
        <v>71</v>
      </c>
    </row>
    <row r="42" spans="1:9" ht="15" customHeight="1" x14ac:dyDescent="0.3">
      <c r="A42" t="s">
        <v>265</v>
      </c>
      <c r="B42" t="s">
        <v>266</v>
      </c>
      <c r="C42" s="10">
        <v>31587</v>
      </c>
      <c r="D42" t="s">
        <v>267</v>
      </c>
      <c r="E42" t="s">
        <v>268</v>
      </c>
      <c r="F42" t="s">
        <v>269</v>
      </c>
      <c r="G42" t="s">
        <v>270</v>
      </c>
      <c r="H42" s="11">
        <v>40534.303321759297</v>
      </c>
      <c r="I42" s="7" t="s">
        <v>52</v>
      </c>
    </row>
    <row r="43" spans="1:9" ht="15" customHeight="1" x14ac:dyDescent="0.3">
      <c r="A43" t="s">
        <v>271</v>
      </c>
      <c r="B43" t="s">
        <v>272</v>
      </c>
      <c r="C43" s="10">
        <v>31131</v>
      </c>
      <c r="D43" t="s">
        <v>273</v>
      </c>
      <c r="E43" t="s">
        <v>274</v>
      </c>
      <c r="F43" t="s">
        <v>275</v>
      </c>
      <c r="G43" t="s">
        <v>276</v>
      </c>
      <c r="H43" s="11">
        <v>44141.284236111103</v>
      </c>
      <c r="I43" s="7" t="s">
        <v>71</v>
      </c>
    </row>
    <row r="44" spans="1:9" ht="15" customHeight="1" x14ac:dyDescent="0.3">
      <c r="A44" t="s">
        <v>277</v>
      </c>
      <c r="B44" t="s">
        <v>278</v>
      </c>
      <c r="C44" s="10">
        <v>33507</v>
      </c>
      <c r="D44" t="s">
        <v>279</v>
      </c>
      <c r="E44" t="s">
        <v>280</v>
      </c>
      <c r="F44" t="s">
        <v>281</v>
      </c>
      <c r="G44" t="s">
        <v>282</v>
      </c>
      <c r="H44" s="11">
        <v>41834.066597222198</v>
      </c>
      <c r="I44" s="7" t="s">
        <v>52</v>
      </c>
    </row>
    <row r="45" spans="1:9" ht="15" customHeight="1" x14ac:dyDescent="0.3">
      <c r="A45" t="s">
        <v>283</v>
      </c>
      <c r="B45" t="s">
        <v>284</v>
      </c>
      <c r="C45" s="10">
        <v>31210</v>
      </c>
      <c r="D45" t="s">
        <v>285</v>
      </c>
      <c r="E45" t="s">
        <v>286</v>
      </c>
      <c r="F45" t="s">
        <v>287</v>
      </c>
      <c r="G45" t="s">
        <v>288</v>
      </c>
      <c r="H45" s="11">
        <v>41294.174965277802</v>
      </c>
      <c r="I45" s="7" t="s">
        <v>71</v>
      </c>
    </row>
    <row r="46" spans="1:9" ht="15" customHeight="1" x14ac:dyDescent="0.3">
      <c r="A46" t="s">
        <v>289</v>
      </c>
      <c r="B46" t="s">
        <v>290</v>
      </c>
      <c r="C46" s="10">
        <v>28423</v>
      </c>
      <c r="D46" t="s">
        <v>291</v>
      </c>
      <c r="E46" t="s">
        <v>292</v>
      </c>
      <c r="F46" t="s">
        <v>293</v>
      </c>
      <c r="G46" t="s">
        <v>294</v>
      </c>
      <c r="H46" s="11">
        <v>38806.385925925897</v>
      </c>
      <c r="I46" s="7" t="s">
        <v>52</v>
      </c>
    </row>
    <row r="47" spans="1:9" ht="15" customHeight="1" x14ac:dyDescent="0.3">
      <c r="A47" t="s">
        <v>295</v>
      </c>
      <c r="B47" t="s">
        <v>296</v>
      </c>
      <c r="C47" s="10">
        <v>36594</v>
      </c>
      <c r="D47" t="s">
        <v>297</v>
      </c>
      <c r="E47" t="s">
        <v>298</v>
      </c>
      <c r="F47" t="s">
        <v>299</v>
      </c>
      <c r="G47" t="s">
        <v>300</v>
      </c>
      <c r="H47" s="11">
        <v>42987.803449074097</v>
      </c>
      <c r="I47" s="7" t="s">
        <v>71</v>
      </c>
    </row>
    <row r="48" spans="1:9" ht="15" customHeight="1" x14ac:dyDescent="0.3">
      <c r="A48" t="s">
        <v>301</v>
      </c>
      <c r="B48" t="s">
        <v>302</v>
      </c>
      <c r="C48" s="10">
        <v>28587</v>
      </c>
      <c r="D48" t="s">
        <v>303</v>
      </c>
      <c r="E48" t="s">
        <v>304</v>
      </c>
      <c r="F48" t="s">
        <v>305</v>
      </c>
      <c r="G48" t="s">
        <v>306</v>
      </c>
      <c r="H48" s="11">
        <v>38933.363912036999</v>
      </c>
      <c r="I48" s="7" t="s">
        <v>71</v>
      </c>
    </row>
    <row r="49" spans="1:9" ht="15" customHeight="1" x14ac:dyDescent="0.3">
      <c r="A49" t="s">
        <v>307</v>
      </c>
      <c r="B49" t="s">
        <v>308</v>
      </c>
      <c r="C49" s="10">
        <v>28102</v>
      </c>
      <c r="D49" t="s">
        <v>309</v>
      </c>
      <c r="E49" t="s">
        <v>310</v>
      </c>
      <c r="F49" t="s">
        <v>311</v>
      </c>
      <c r="G49" t="s">
        <v>312</v>
      </c>
      <c r="H49" s="11">
        <v>39359.736932870401</v>
      </c>
      <c r="I49" s="7" t="s">
        <v>33</v>
      </c>
    </row>
    <row r="50" spans="1:9" ht="15" customHeight="1" x14ac:dyDescent="0.3">
      <c r="A50" t="s">
        <v>313</v>
      </c>
      <c r="B50" t="s">
        <v>314</v>
      </c>
      <c r="C50" s="10">
        <v>28874</v>
      </c>
      <c r="D50" t="s">
        <v>315</v>
      </c>
      <c r="E50" t="s">
        <v>316</v>
      </c>
      <c r="F50" t="s">
        <v>317</v>
      </c>
      <c r="G50" t="s">
        <v>318</v>
      </c>
      <c r="H50" s="11">
        <v>40874.840925925899</v>
      </c>
      <c r="I50" s="7" t="s">
        <v>26</v>
      </c>
    </row>
    <row r="51" spans="1:9" ht="15" customHeight="1" x14ac:dyDescent="0.3">
      <c r="A51" t="s">
        <v>319</v>
      </c>
      <c r="B51" t="s">
        <v>320</v>
      </c>
      <c r="C51" s="10">
        <v>27279</v>
      </c>
      <c r="D51" t="s">
        <v>321</v>
      </c>
      <c r="E51" t="s">
        <v>322</v>
      </c>
      <c r="F51" t="s">
        <v>323</v>
      </c>
      <c r="G51" t="s">
        <v>324</v>
      </c>
      <c r="H51" s="11">
        <v>39982.265509259298</v>
      </c>
      <c r="I51" s="7" t="s">
        <v>26</v>
      </c>
    </row>
    <row r="52" spans="1:9" ht="15" customHeight="1" x14ac:dyDescent="0.3">
      <c r="A52" t="s">
        <v>325</v>
      </c>
      <c r="B52" t="s">
        <v>326</v>
      </c>
      <c r="C52" s="10">
        <v>27862</v>
      </c>
      <c r="D52" t="s">
        <v>327</v>
      </c>
      <c r="E52" t="s">
        <v>328</v>
      </c>
      <c r="F52" t="s">
        <v>329</v>
      </c>
      <c r="G52" t="s">
        <v>330</v>
      </c>
      <c r="H52" s="11">
        <v>40307.522407407399</v>
      </c>
      <c r="I52" s="7" t="s">
        <v>33</v>
      </c>
    </row>
    <row r="53" spans="1:9" ht="15" customHeight="1" x14ac:dyDescent="0.3">
      <c r="A53" t="s">
        <v>331</v>
      </c>
      <c r="B53" t="s">
        <v>332</v>
      </c>
      <c r="C53" s="10">
        <v>36116</v>
      </c>
      <c r="D53" t="s">
        <v>333</v>
      </c>
      <c r="E53" t="s">
        <v>334</v>
      </c>
      <c r="F53" t="s">
        <v>335</v>
      </c>
      <c r="G53" t="s">
        <v>336</v>
      </c>
      <c r="H53" s="11">
        <v>44010.445555555598</v>
      </c>
      <c r="I53" s="7" t="s">
        <v>71</v>
      </c>
    </row>
    <row r="54" spans="1:9" ht="15" customHeight="1" x14ac:dyDescent="0.3">
      <c r="A54" t="s">
        <v>337</v>
      </c>
      <c r="B54" t="s">
        <v>338</v>
      </c>
      <c r="C54" s="10">
        <v>26192</v>
      </c>
      <c r="D54" t="s">
        <v>339</v>
      </c>
      <c r="E54" t="s">
        <v>340</v>
      </c>
      <c r="F54" t="s">
        <v>341</v>
      </c>
      <c r="G54" t="s">
        <v>342</v>
      </c>
      <c r="H54" s="11">
        <v>42521.074236111097</v>
      </c>
      <c r="I54" s="7" t="s">
        <v>26</v>
      </c>
    </row>
    <row r="55" spans="1:9" ht="15" customHeight="1" x14ac:dyDescent="0.3">
      <c r="A55" t="s">
        <v>343</v>
      </c>
      <c r="B55" t="s">
        <v>344</v>
      </c>
      <c r="C55" s="10">
        <v>33770</v>
      </c>
      <c r="D55" t="s">
        <v>345</v>
      </c>
      <c r="E55" t="s">
        <v>346</v>
      </c>
      <c r="F55" t="s">
        <v>347</v>
      </c>
      <c r="G55" t="s">
        <v>348</v>
      </c>
      <c r="H55" s="11">
        <v>42977.750335648198</v>
      </c>
      <c r="I55" s="7" t="s">
        <v>78</v>
      </c>
    </row>
    <row r="56" spans="1:9" ht="15" customHeight="1" x14ac:dyDescent="0.3">
      <c r="A56" t="s">
        <v>349</v>
      </c>
      <c r="B56" t="s">
        <v>350</v>
      </c>
      <c r="C56" s="10">
        <v>26904</v>
      </c>
      <c r="D56" t="s">
        <v>351</v>
      </c>
      <c r="E56" t="s">
        <v>352</v>
      </c>
      <c r="F56" t="s">
        <v>353</v>
      </c>
      <c r="G56" t="s">
        <v>354</v>
      </c>
      <c r="H56" s="11">
        <v>44126.775763888902</v>
      </c>
      <c r="I56" s="7" t="s">
        <v>33</v>
      </c>
    </row>
    <row r="57" spans="1:9" ht="15" customHeight="1" x14ac:dyDescent="0.3">
      <c r="A57" t="s">
        <v>355</v>
      </c>
      <c r="B57" t="s">
        <v>356</v>
      </c>
      <c r="C57" s="10">
        <v>25827</v>
      </c>
      <c r="D57" t="s">
        <v>357</v>
      </c>
      <c r="E57" t="s">
        <v>358</v>
      </c>
      <c r="F57" t="s">
        <v>359</v>
      </c>
      <c r="G57" t="s">
        <v>360</v>
      </c>
      <c r="H57" s="11">
        <v>39893.562847222202</v>
      </c>
      <c r="I57" s="7" t="s">
        <v>33</v>
      </c>
    </row>
    <row r="58" spans="1:9" ht="15" customHeight="1" x14ac:dyDescent="0.3">
      <c r="A58" t="s">
        <v>361</v>
      </c>
      <c r="B58" t="s">
        <v>362</v>
      </c>
      <c r="C58" s="10">
        <v>32865</v>
      </c>
      <c r="D58" t="s">
        <v>363</v>
      </c>
      <c r="E58" t="s">
        <v>364</v>
      </c>
      <c r="F58" t="s">
        <v>365</v>
      </c>
      <c r="G58" t="s">
        <v>366</v>
      </c>
      <c r="H58" s="11">
        <v>41651.195277777799</v>
      </c>
      <c r="I58" s="7" t="s">
        <v>26</v>
      </c>
    </row>
    <row r="59" spans="1:9" ht="15" customHeight="1" x14ac:dyDescent="0.3">
      <c r="A59" t="s">
        <v>367</v>
      </c>
      <c r="B59" t="s">
        <v>368</v>
      </c>
      <c r="C59" s="10">
        <v>31253</v>
      </c>
      <c r="D59" t="s">
        <v>369</v>
      </c>
      <c r="E59" t="s">
        <v>370</v>
      </c>
      <c r="F59" t="s">
        <v>371</v>
      </c>
      <c r="G59" t="s">
        <v>372</v>
      </c>
      <c r="H59" s="11">
        <v>41924.948495370401</v>
      </c>
      <c r="I59" s="7" t="s">
        <v>78</v>
      </c>
    </row>
    <row r="60" spans="1:9" ht="15" customHeight="1" x14ac:dyDescent="0.3">
      <c r="A60" t="s">
        <v>373</v>
      </c>
      <c r="B60" t="s">
        <v>374</v>
      </c>
      <c r="C60" s="10">
        <v>31885</v>
      </c>
      <c r="D60" t="s">
        <v>375</v>
      </c>
      <c r="E60" t="s">
        <v>376</v>
      </c>
      <c r="F60" t="s">
        <v>377</v>
      </c>
      <c r="G60" t="s">
        <v>378</v>
      </c>
      <c r="H60" s="11">
        <v>43461.374131944503</v>
      </c>
      <c r="I60" s="7" t="s">
        <v>52</v>
      </c>
    </row>
    <row r="61" spans="1:9" ht="15" customHeight="1" x14ac:dyDescent="0.3">
      <c r="A61" t="s">
        <v>379</v>
      </c>
      <c r="B61" t="s">
        <v>380</v>
      </c>
      <c r="C61" s="10">
        <v>36212</v>
      </c>
      <c r="D61" t="s">
        <v>381</v>
      </c>
      <c r="E61" t="s">
        <v>382</v>
      </c>
      <c r="F61" t="s">
        <v>383</v>
      </c>
      <c r="G61" t="s">
        <v>384</v>
      </c>
      <c r="H61" s="11">
        <v>39528.279918981498</v>
      </c>
      <c r="I61" s="7" t="s">
        <v>33</v>
      </c>
    </row>
    <row r="62" spans="1:9" ht="15" customHeight="1" x14ac:dyDescent="0.3">
      <c r="A62" t="s">
        <v>385</v>
      </c>
      <c r="B62" t="s">
        <v>386</v>
      </c>
      <c r="C62" s="10">
        <v>27835</v>
      </c>
      <c r="D62" t="s">
        <v>387</v>
      </c>
      <c r="E62" t="s">
        <v>388</v>
      </c>
      <c r="F62" t="s">
        <v>389</v>
      </c>
      <c r="G62" t="s">
        <v>390</v>
      </c>
      <c r="H62" s="11">
        <v>43170.143125000002</v>
      </c>
      <c r="I62" s="7" t="s">
        <v>33</v>
      </c>
    </row>
    <row r="63" spans="1:9" ht="15" customHeight="1" x14ac:dyDescent="0.3">
      <c r="A63" t="s">
        <v>391</v>
      </c>
      <c r="B63" t="s">
        <v>392</v>
      </c>
      <c r="C63" s="10">
        <v>33379</v>
      </c>
      <c r="D63" t="s">
        <v>393</v>
      </c>
      <c r="E63" t="s">
        <v>394</v>
      </c>
      <c r="F63" t="s">
        <v>395</v>
      </c>
      <c r="G63" t="s">
        <v>396</v>
      </c>
      <c r="H63" s="11">
        <v>41759.0936574074</v>
      </c>
      <c r="I63" s="7" t="s">
        <v>52</v>
      </c>
    </row>
    <row r="64" spans="1:9" ht="15" customHeight="1" x14ac:dyDescent="0.3">
      <c r="A64" t="s">
        <v>397</v>
      </c>
      <c r="B64" t="s">
        <v>398</v>
      </c>
      <c r="C64" s="10">
        <v>26064</v>
      </c>
      <c r="D64" t="s">
        <v>399</v>
      </c>
      <c r="E64" t="s">
        <v>400</v>
      </c>
      <c r="F64" t="s">
        <v>401</v>
      </c>
      <c r="G64" t="s">
        <v>402</v>
      </c>
      <c r="H64" s="11">
        <v>40462.8895023148</v>
      </c>
      <c r="I64" s="7" t="s">
        <v>52</v>
      </c>
    </row>
    <row r="65" spans="1:9" ht="15" customHeight="1" x14ac:dyDescent="0.3">
      <c r="A65" t="s">
        <v>403</v>
      </c>
      <c r="B65" t="s">
        <v>404</v>
      </c>
      <c r="C65" s="10">
        <v>28225</v>
      </c>
      <c r="D65" t="s">
        <v>405</v>
      </c>
      <c r="E65" t="s">
        <v>406</v>
      </c>
      <c r="F65" t="s">
        <v>407</v>
      </c>
      <c r="G65" t="s">
        <v>408</v>
      </c>
      <c r="H65" s="11">
        <v>38993.321284722202</v>
      </c>
      <c r="I65" s="7" t="s">
        <v>78</v>
      </c>
    </row>
    <row r="66" spans="1:9" ht="15" customHeight="1" x14ac:dyDescent="0.3">
      <c r="A66" t="s">
        <v>409</v>
      </c>
      <c r="B66" t="s">
        <v>410</v>
      </c>
      <c r="C66" s="10">
        <v>28736</v>
      </c>
      <c r="D66" t="s">
        <v>411</v>
      </c>
      <c r="E66" t="s">
        <v>412</v>
      </c>
      <c r="F66" t="s">
        <v>413</v>
      </c>
      <c r="G66" t="s">
        <v>414</v>
      </c>
      <c r="H66" s="11">
        <v>42120.501435185201</v>
      </c>
      <c r="I66" s="7" t="s">
        <v>71</v>
      </c>
    </row>
    <row r="67" spans="1:9" ht="15" customHeight="1" x14ac:dyDescent="0.3">
      <c r="A67" t="s">
        <v>415</v>
      </c>
      <c r="B67" t="s">
        <v>416</v>
      </c>
      <c r="C67" s="10">
        <v>29414</v>
      </c>
      <c r="D67" t="s">
        <v>417</v>
      </c>
      <c r="E67" t="s">
        <v>418</v>
      </c>
      <c r="F67" t="s">
        <v>419</v>
      </c>
      <c r="G67" t="s">
        <v>420</v>
      </c>
      <c r="H67" s="11">
        <v>39865.150231481501</v>
      </c>
      <c r="I67" s="7" t="s">
        <v>71</v>
      </c>
    </row>
    <row r="68" spans="1:9" ht="15" customHeight="1" x14ac:dyDescent="0.3">
      <c r="A68" t="s">
        <v>421</v>
      </c>
      <c r="B68" t="s">
        <v>422</v>
      </c>
      <c r="C68" s="10">
        <v>33957</v>
      </c>
      <c r="D68" t="s">
        <v>423</v>
      </c>
      <c r="E68" t="s">
        <v>424</v>
      </c>
      <c r="F68" t="s">
        <v>425</v>
      </c>
      <c r="G68" t="s">
        <v>426</v>
      </c>
      <c r="H68" s="11">
        <v>42931.600185185198</v>
      </c>
      <c r="I68" s="7" t="s">
        <v>52</v>
      </c>
    </row>
    <row r="69" spans="1:9" ht="15" customHeight="1" x14ac:dyDescent="0.3">
      <c r="A69" t="s">
        <v>427</v>
      </c>
      <c r="B69" t="s">
        <v>428</v>
      </c>
      <c r="C69" s="10">
        <v>28438</v>
      </c>
      <c r="D69" t="s">
        <v>429</v>
      </c>
      <c r="E69" t="s">
        <v>430</v>
      </c>
      <c r="F69" t="s">
        <v>431</v>
      </c>
      <c r="G69" t="s">
        <v>432</v>
      </c>
      <c r="H69" s="11">
        <v>39018.031458333302</v>
      </c>
      <c r="I69" s="7" t="s">
        <v>26</v>
      </c>
    </row>
    <row r="70" spans="1:9" ht="15" customHeight="1" x14ac:dyDescent="0.3">
      <c r="A70" t="s">
        <v>433</v>
      </c>
      <c r="B70" t="s">
        <v>434</v>
      </c>
      <c r="C70" s="10">
        <v>29260</v>
      </c>
      <c r="D70" t="s">
        <v>435</v>
      </c>
      <c r="E70" t="s">
        <v>436</v>
      </c>
      <c r="F70" t="s">
        <v>437</v>
      </c>
      <c r="G70" t="s">
        <v>438</v>
      </c>
      <c r="H70" s="11">
        <v>38760.850405092599</v>
      </c>
      <c r="I70" s="7" t="s">
        <v>52</v>
      </c>
    </row>
    <row r="71" spans="1:9" ht="15" customHeight="1" x14ac:dyDescent="0.3">
      <c r="A71" t="s">
        <v>439</v>
      </c>
      <c r="B71" t="s">
        <v>440</v>
      </c>
      <c r="C71" s="10">
        <v>33899</v>
      </c>
      <c r="D71" t="s">
        <v>441</v>
      </c>
      <c r="E71" t="s">
        <v>442</v>
      </c>
      <c r="F71" t="s">
        <v>443</v>
      </c>
      <c r="G71" t="s">
        <v>444</v>
      </c>
      <c r="H71" s="11">
        <v>41777.592349537001</v>
      </c>
      <c r="I71" s="7" t="s">
        <v>78</v>
      </c>
    </row>
    <row r="72" spans="1:9" ht="15" customHeight="1" x14ac:dyDescent="0.3">
      <c r="A72" t="s">
        <v>445</v>
      </c>
      <c r="B72" t="s">
        <v>446</v>
      </c>
      <c r="C72" s="10">
        <v>28021</v>
      </c>
      <c r="D72" t="s">
        <v>447</v>
      </c>
      <c r="E72" t="s">
        <v>448</v>
      </c>
      <c r="F72" t="s">
        <v>449</v>
      </c>
      <c r="G72" t="s">
        <v>450</v>
      </c>
      <c r="H72" s="11">
        <v>39442.242962962999</v>
      </c>
      <c r="I72" s="7" t="s">
        <v>26</v>
      </c>
    </row>
    <row r="73" spans="1:9" ht="15" customHeight="1" x14ac:dyDescent="0.3">
      <c r="A73" t="s">
        <v>451</v>
      </c>
      <c r="B73" t="s">
        <v>452</v>
      </c>
      <c r="C73" s="10">
        <v>26751</v>
      </c>
      <c r="D73" t="s">
        <v>453</v>
      </c>
      <c r="E73" t="s">
        <v>454</v>
      </c>
      <c r="F73" t="s">
        <v>455</v>
      </c>
      <c r="G73" t="s">
        <v>456</v>
      </c>
      <c r="H73" s="11">
        <v>38535.210057870398</v>
      </c>
      <c r="I73" s="7" t="s">
        <v>78</v>
      </c>
    </row>
    <row r="74" spans="1:9" ht="15" customHeight="1" x14ac:dyDescent="0.3">
      <c r="A74" t="s">
        <v>457</v>
      </c>
      <c r="B74" t="s">
        <v>458</v>
      </c>
      <c r="C74" s="10">
        <v>36628</v>
      </c>
      <c r="D74" t="s">
        <v>459</v>
      </c>
      <c r="E74" t="s">
        <v>460</v>
      </c>
      <c r="F74" t="s">
        <v>461</v>
      </c>
      <c r="G74" t="s">
        <v>462</v>
      </c>
      <c r="H74" s="11">
        <v>41175.7345138889</v>
      </c>
      <c r="I74" s="7" t="s">
        <v>71</v>
      </c>
    </row>
    <row r="75" spans="1:9" ht="15" customHeight="1" x14ac:dyDescent="0.3">
      <c r="A75" t="s">
        <v>463</v>
      </c>
      <c r="B75" t="s">
        <v>464</v>
      </c>
      <c r="C75" s="10">
        <v>26346</v>
      </c>
      <c r="D75" t="s">
        <v>465</v>
      </c>
      <c r="E75" t="s">
        <v>466</v>
      </c>
      <c r="F75" t="s">
        <v>467</v>
      </c>
      <c r="G75" t="s">
        <v>468</v>
      </c>
      <c r="H75" s="11">
        <v>42268.358124999999</v>
      </c>
      <c r="I75" s="7" t="s">
        <v>71</v>
      </c>
    </row>
    <row r="76" spans="1:9" ht="15" customHeight="1" x14ac:dyDescent="0.3">
      <c r="A76" t="s">
        <v>469</v>
      </c>
      <c r="B76" t="s">
        <v>470</v>
      </c>
      <c r="C76" s="10">
        <v>33469</v>
      </c>
      <c r="D76" t="s">
        <v>471</v>
      </c>
      <c r="E76" t="s">
        <v>472</v>
      </c>
      <c r="F76" t="s">
        <v>473</v>
      </c>
      <c r="G76" t="s">
        <v>474</v>
      </c>
      <c r="H76" s="11">
        <v>42234.621712963002</v>
      </c>
      <c r="I76" s="7" t="s">
        <v>71</v>
      </c>
    </row>
    <row r="77" spans="1:9" ht="15" customHeight="1" x14ac:dyDescent="0.3">
      <c r="A77" t="s">
        <v>475</v>
      </c>
      <c r="B77" t="s">
        <v>476</v>
      </c>
      <c r="C77" s="10">
        <v>30170</v>
      </c>
      <c r="D77" t="s">
        <v>477</v>
      </c>
      <c r="E77" t="s">
        <v>478</v>
      </c>
      <c r="F77" t="s">
        <v>479</v>
      </c>
      <c r="G77" t="s">
        <v>480</v>
      </c>
      <c r="H77" s="11">
        <v>39561.8512962963</v>
      </c>
      <c r="I77" s="7" t="s">
        <v>78</v>
      </c>
    </row>
    <row r="78" spans="1:9" ht="15" customHeight="1" x14ac:dyDescent="0.3">
      <c r="A78" t="s">
        <v>481</v>
      </c>
      <c r="B78" t="s">
        <v>482</v>
      </c>
      <c r="C78" s="10">
        <v>31024</v>
      </c>
      <c r="D78" t="s">
        <v>483</v>
      </c>
      <c r="E78" t="s">
        <v>484</v>
      </c>
      <c r="F78" t="s">
        <v>485</v>
      </c>
      <c r="G78" t="s">
        <v>486</v>
      </c>
      <c r="H78" s="11">
        <v>43588.045694444401</v>
      </c>
      <c r="I78" s="7" t="s">
        <v>71</v>
      </c>
    </row>
    <row r="79" spans="1:9" ht="15" customHeight="1" x14ac:dyDescent="0.3">
      <c r="A79" t="s">
        <v>487</v>
      </c>
      <c r="B79" t="s">
        <v>488</v>
      </c>
      <c r="C79" s="10">
        <v>32694</v>
      </c>
      <c r="D79" t="s">
        <v>489</v>
      </c>
      <c r="E79" t="s">
        <v>490</v>
      </c>
      <c r="F79" t="s">
        <v>491</v>
      </c>
      <c r="G79" t="s">
        <v>492</v>
      </c>
      <c r="H79" s="11">
        <v>40549.198252314804</v>
      </c>
      <c r="I79" s="7" t="s">
        <v>33</v>
      </c>
    </row>
    <row r="80" spans="1:9" ht="15" customHeight="1" x14ac:dyDescent="0.3">
      <c r="A80" t="s">
        <v>493</v>
      </c>
      <c r="B80" t="s">
        <v>494</v>
      </c>
      <c r="C80" s="10">
        <v>27063</v>
      </c>
      <c r="D80" t="s">
        <v>495</v>
      </c>
      <c r="E80" t="s">
        <v>496</v>
      </c>
      <c r="F80" t="s">
        <v>497</v>
      </c>
      <c r="G80" t="s">
        <v>498</v>
      </c>
      <c r="H80" s="11">
        <v>44185.448807870402</v>
      </c>
      <c r="I80" s="7" t="s">
        <v>78</v>
      </c>
    </row>
    <row r="81" spans="1:9" ht="15" customHeight="1" x14ac:dyDescent="0.3">
      <c r="A81" t="s">
        <v>499</v>
      </c>
      <c r="B81" t="s">
        <v>500</v>
      </c>
      <c r="C81" s="10">
        <v>34433</v>
      </c>
      <c r="D81" t="s">
        <v>501</v>
      </c>
      <c r="E81" t="s">
        <v>502</v>
      </c>
      <c r="F81" t="s">
        <v>503</v>
      </c>
      <c r="G81" t="s">
        <v>504</v>
      </c>
      <c r="H81" s="11">
        <v>39817.5090277778</v>
      </c>
      <c r="I81" s="7" t="s">
        <v>26</v>
      </c>
    </row>
    <row r="82" spans="1:9" ht="15" customHeight="1" x14ac:dyDescent="0.3">
      <c r="A82" t="s">
        <v>505</v>
      </c>
      <c r="B82" t="s">
        <v>506</v>
      </c>
      <c r="C82" s="10">
        <v>35890</v>
      </c>
      <c r="D82" t="s">
        <v>507</v>
      </c>
      <c r="E82" t="s">
        <v>508</v>
      </c>
      <c r="F82" t="s">
        <v>509</v>
      </c>
      <c r="G82" t="s">
        <v>510</v>
      </c>
      <c r="H82" s="11">
        <v>41643.007754629602</v>
      </c>
      <c r="I82" s="7" t="s">
        <v>78</v>
      </c>
    </row>
    <row r="83" spans="1:9" ht="15" customHeight="1" x14ac:dyDescent="0.3">
      <c r="A83" t="s">
        <v>511</v>
      </c>
      <c r="B83" t="s">
        <v>512</v>
      </c>
      <c r="C83" s="10">
        <v>31273</v>
      </c>
      <c r="D83" t="s">
        <v>513</v>
      </c>
      <c r="E83" t="s">
        <v>514</v>
      </c>
      <c r="F83" t="s">
        <v>515</v>
      </c>
      <c r="G83" t="s">
        <v>516</v>
      </c>
      <c r="H83" s="11">
        <v>41403.3504398148</v>
      </c>
      <c r="I83" s="7" t="s">
        <v>26</v>
      </c>
    </row>
    <row r="84" spans="1:9" ht="15" customHeight="1" x14ac:dyDescent="0.3">
      <c r="A84" t="s">
        <v>517</v>
      </c>
      <c r="B84" t="s">
        <v>518</v>
      </c>
      <c r="C84" s="10">
        <v>33040</v>
      </c>
      <c r="D84" t="s">
        <v>519</v>
      </c>
      <c r="E84" t="s">
        <v>520</v>
      </c>
      <c r="F84" t="s">
        <v>521</v>
      </c>
      <c r="G84" t="s">
        <v>522</v>
      </c>
      <c r="H84" s="11">
        <v>40251.064270833303</v>
      </c>
      <c r="I84" s="7" t="s">
        <v>71</v>
      </c>
    </row>
    <row r="85" spans="1:9" ht="15" customHeight="1" x14ac:dyDescent="0.3">
      <c r="A85" t="s">
        <v>523</v>
      </c>
      <c r="B85" t="s">
        <v>524</v>
      </c>
      <c r="C85" s="10">
        <v>34050</v>
      </c>
      <c r="D85" t="s">
        <v>525</v>
      </c>
      <c r="E85" t="s">
        <v>526</v>
      </c>
      <c r="F85" t="s">
        <v>527</v>
      </c>
      <c r="G85" t="s">
        <v>528</v>
      </c>
      <c r="H85" s="11">
        <v>40933.466793981497</v>
      </c>
      <c r="I85" s="7" t="s">
        <v>26</v>
      </c>
    </row>
    <row r="86" spans="1:9" ht="15" customHeight="1" x14ac:dyDescent="0.3">
      <c r="A86" t="s">
        <v>529</v>
      </c>
      <c r="B86" t="s">
        <v>530</v>
      </c>
      <c r="C86" s="10">
        <v>35432</v>
      </c>
      <c r="D86" t="s">
        <v>531</v>
      </c>
      <c r="E86" t="s">
        <v>532</v>
      </c>
      <c r="F86" t="s">
        <v>533</v>
      </c>
      <c r="G86" t="s">
        <v>534</v>
      </c>
      <c r="H86" s="11">
        <v>42938.151666666701</v>
      </c>
      <c r="I86" s="7" t="s">
        <v>52</v>
      </c>
    </row>
    <row r="87" spans="1:9" ht="15" customHeight="1" x14ac:dyDescent="0.3">
      <c r="A87" t="s">
        <v>535</v>
      </c>
      <c r="B87" t="s">
        <v>536</v>
      </c>
      <c r="C87" s="10">
        <v>25991</v>
      </c>
      <c r="D87" t="s">
        <v>537</v>
      </c>
      <c r="E87" t="s">
        <v>538</v>
      </c>
      <c r="F87" t="s">
        <v>539</v>
      </c>
      <c r="G87" t="s">
        <v>540</v>
      </c>
      <c r="H87" s="11">
        <v>41851.903888888897</v>
      </c>
      <c r="I87" s="7" t="s">
        <v>26</v>
      </c>
    </row>
    <row r="88" spans="1:9" ht="15" customHeight="1" x14ac:dyDescent="0.3">
      <c r="A88" t="s">
        <v>541</v>
      </c>
      <c r="B88" t="s">
        <v>542</v>
      </c>
      <c r="C88" s="10">
        <v>31588</v>
      </c>
      <c r="D88" t="s">
        <v>543</v>
      </c>
      <c r="E88" t="s">
        <v>544</v>
      </c>
      <c r="F88" t="s">
        <v>545</v>
      </c>
      <c r="G88" t="s">
        <v>546</v>
      </c>
      <c r="H88" s="11">
        <v>42630.124942129602</v>
      </c>
      <c r="I88" s="7" t="s">
        <v>26</v>
      </c>
    </row>
    <row r="89" spans="1:9" ht="15" customHeight="1" x14ac:dyDescent="0.3">
      <c r="A89" t="s">
        <v>547</v>
      </c>
      <c r="B89" t="s">
        <v>548</v>
      </c>
      <c r="C89" s="10">
        <v>27148</v>
      </c>
      <c r="D89" t="s">
        <v>549</v>
      </c>
      <c r="E89" t="s">
        <v>550</v>
      </c>
      <c r="F89" t="s">
        <v>551</v>
      </c>
      <c r="G89" t="s">
        <v>552</v>
      </c>
      <c r="H89" s="11">
        <v>40308.601817129602</v>
      </c>
      <c r="I89" s="7" t="s">
        <v>71</v>
      </c>
    </row>
    <row r="90" spans="1:9" ht="15" customHeight="1" x14ac:dyDescent="0.3">
      <c r="A90" t="s">
        <v>553</v>
      </c>
      <c r="B90" t="s">
        <v>554</v>
      </c>
      <c r="C90" s="10">
        <v>33060</v>
      </c>
      <c r="D90" t="s">
        <v>555</v>
      </c>
      <c r="E90" t="s">
        <v>556</v>
      </c>
      <c r="F90" t="s">
        <v>557</v>
      </c>
      <c r="G90" t="s">
        <v>558</v>
      </c>
      <c r="H90" s="11">
        <v>42624.166006944499</v>
      </c>
      <c r="I90" s="7" t="s">
        <v>33</v>
      </c>
    </row>
    <row r="91" spans="1:9" ht="15" customHeight="1" x14ac:dyDescent="0.3">
      <c r="A91" t="s">
        <v>559</v>
      </c>
      <c r="B91" t="s">
        <v>560</v>
      </c>
      <c r="C91" s="10">
        <v>30162</v>
      </c>
      <c r="D91" t="s">
        <v>561</v>
      </c>
      <c r="E91" t="s">
        <v>562</v>
      </c>
      <c r="F91" t="s">
        <v>563</v>
      </c>
      <c r="G91" t="s">
        <v>564</v>
      </c>
      <c r="H91" s="11">
        <v>40490.906631944497</v>
      </c>
      <c r="I91" s="7" t="s">
        <v>26</v>
      </c>
    </row>
    <row r="92" spans="1:9" ht="15" customHeight="1" x14ac:dyDescent="0.3">
      <c r="A92" t="s">
        <v>565</v>
      </c>
      <c r="B92" t="s">
        <v>566</v>
      </c>
      <c r="C92" s="10">
        <v>34715</v>
      </c>
      <c r="D92" t="s">
        <v>567</v>
      </c>
      <c r="E92" t="s">
        <v>568</v>
      </c>
      <c r="F92" t="s">
        <v>569</v>
      </c>
      <c r="G92" t="s">
        <v>570</v>
      </c>
      <c r="H92" s="11">
        <v>42343.866747685199</v>
      </c>
      <c r="I92" s="7" t="s">
        <v>78</v>
      </c>
    </row>
    <row r="93" spans="1:9" ht="15" customHeight="1" x14ac:dyDescent="0.3">
      <c r="A93" t="s">
        <v>571</v>
      </c>
      <c r="B93" t="s">
        <v>572</v>
      </c>
      <c r="C93" s="10">
        <v>34167</v>
      </c>
      <c r="D93" t="s">
        <v>573</v>
      </c>
      <c r="E93" t="s">
        <v>574</v>
      </c>
      <c r="F93" t="s">
        <v>575</v>
      </c>
      <c r="G93" t="s">
        <v>576</v>
      </c>
      <c r="H93" s="11">
        <v>38417.753819444399</v>
      </c>
      <c r="I93" s="7" t="s">
        <v>52</v>
      </c>
    </row>
    <row r="94" spans="1:9" ht="15" customHeight="1" x14ac:dyDescent="0.3">
      <c r="A94" t="s">
        <v>577</v>
      </c>
      <c r="B94" t="s">
        <v>578</v>
      </c>
      <c r="C94" s="10">
        <v>25821</v>
      </c>
      <c r="D94" t="s">
        <v>579</v>
      </c>
      <c r="E94" t="s">
        <v>580</v>
      </c>
      <c r="F94" t="s">
        <v>581</v>
      </c>
      <c r="G94" t="s">
        <v>582</v>
      </c>
      <c r="H94" s="11">
        <v>39039.910115740699</v>
      </c>
      <c r="I94" s="7" t="s">
        <v>26</v>
      </c>
    </row>
    <row r="95" spans="1:9" ht="15" customHeight="1" x14ac:dyDescent="0.3">
      <c r="A95" t="s">
        <v>583</v>
      </c>
      <c r="B95" t="s">
        <v>584</v>
      </c>
      <c r="C95" s="10">
        <v>34743</v>
      </c>
      <c r="D95" t="s">
        <v>585</v>
      </c>
      <c r="E95" t="s">
        <v>586</v>
      </c>
      <c r="F95" t="s">
        <v>587</v>
      </c>
      <c r="G95" t="s">
        <v>588</v>
      </c>
      <c r="H95" s="11">
        <v>42393.100879629601</v>
      </c>
      <c r="I95" s="7" t="s">
        <v>33</v>
      </c>
    </row>
    <row r="96" spans="1:9" ht="15" customHeight="1" x14ac:dyDescent="0.3">
      <c r="A96" t="s">
        <v>589</v>
      </c>
      <c r="B96" t="s">
        <v>590</v>
      </c>
      <c r="C96" s="10">
        <v>35166</v>
      </c>
      <c r="D96" t="s">
        <v>591</v>
      </c>
      <c r="E96" t="s">
        <v>592</v>
      </c>
      <c r="F96" t="s">
        <v>593</v>
      </c>
      <c r="G96" t="s">
        <v>594</v>
      </c>
      <c r="H96" s="11">
        <v>38527.384803240697</v>
      </c>
      <c r="I96" s="7" t="s">
        <v>52</v>
      </c>
    </row>
    <row r="97" spans="1:9" ht="15" customHeight="1" x14ac:dyDescent="0.3">
      <c r="A97" t="s">
        <v>595</v>
      </c>
      <c r="B97" t="s">
        <v>596</v>
      </c>
      <c r="C97" s="10">
        <v>34774</v>
      </c>
      <c r="D97" t="s">
        <v>597</v>
      </c>
      <c r="E97" t="s">
        <v>598</v>
      </c>
      <c r="F97" t="s">
        <v>599</v>
      </c>
      <c r="G97" t="s">
        <v>600</v>
      </c>
      <c r="H97" s="11">
        <v>40048.343599537002</v>
      </c>
      <c r="I97" s="7" t="s">
        <v>71</v>
      </c>
    </row>
    <row r="98" spans="1:9" ht="15" customHeight="1" x14ac:dyDescent="0.3">
      <c r="A98" t="s">
        <v>601</v>
      </c>
      <c r="B98" t="s">
        <v>602</v>
      </c>
      <c r="C98" s="10">
        <v>32023</v>
      </c>
      <c r="D98" t="s">
        <v>603</v>
      </c>
      <c r="E98" t="s">
        <v>604</v>
      </c>
      <c r="F98" t="s">
        <v>605</v>
      </c>
      <c r="G98" t="s">
        <v>606</v>
      </c>
      <c r="H98" s="11">
        <v>42370.476793981499</v>
      </c>
      <c r="I98" s="7" t="s">
        <v>78</v>
      </c>
    </row>
    <row r="99" spans="1:9" ht="15" customHeight="1" x14ac:dyDescent="0.3">
      <c r="A99" t="s">
        <v>607</v>
      </c>
      <c r="B99" t="s">
        <v>608</v>
      </c>
      <c r="C99" s="10">
        <v>32148</v>
      </c>
      <c r="D99" t="s">
        <v>609</v>
      </c>
      <c r="E99" t="s">
        <v>610</v>
      </c>
      <c r="F99" t="s">
        <v>611</v>
      </c>
      <c r="G99" t="s">
        <v>612</v>
      </c>
      <c r="H99" s="11">
        <v>44258.098425925898</v>
      </c>
      <c r="I99" s="7" t="s">
        <v>26</v>
      </c>
    </row>
    <row r="100" spans="1:9" ht="15" customHeight="1" x14ac:dyDescent="0.3">
      <c r="A100" t="s">
        <v>613</v>
      </c>
      <c r="B100" t="s">
        <v>614</v>
      </c>
      <c r="C100" s="10">
        <v>28363</v>
      </c>
      <c r="D100" t="s">
        <v>615</v>
      </c>
      <c r="E100" t="s">
        <v>616</v>
      </c>
      <c r="F100" t="s">
        <v>617</v>
      </c>
      <c r="G100" t="s">
        <v>618</v>
      </c>
      <c r="H100" s="11">
        <v>39815.474768518499</v>
      </c>
      <c r="I100" s="7" t="s">
        <v>52</v>
      </c>
    </row>
    <row r="101" spans="1:9" ht="15" customHeight="1" x14ac:dyDescent="0.3">
      <c r="A101" t="s">
        <v>619</v>
      </c>
      <c r="B101" t="s">
        <v>620</v>
      </c>
      <c r="C101" s="10">
        <v>26882</v>
      </c>
      <c r="D101" t="s">
        <v>621</v>
      </c>
      <c r="E101" t="s">
        <v>622</v>
      </c>
      <c r="F101" t="s">
        <v>623</v>
      </c>
      <c r="G101" t="s">
        <v>624</v>
      </c>
      <c r="H101" s="11">
        <v>39333.156354166698</v>
      </c>
      <c r="I101" s="7" t="s">
        <v>26</v>
      </c>
    </row>
    <row r="102" spans="1:9" ht="15" customHeight="1" x14ac:dyDescent="0.3">
      <c r="A102" t="s">
        <v>625</v>
      </c>
      <c r="B102" t="s">
        <v>626</v>
      </c>
      <c r="C102" s="10">
        <v>30189</v>
      </c>
      <c r="D102" t="s">
        <v>627</v>
      </c>
      <c r="E102" t="s">
        <v>628</v>
      </c>
      <c r="F102" t="s">
        <v>629</v>
      </c>
      <c r="G102" t="s">
        <v>630</v>
      </c>
      <c r="H102" s="11">
        <v>42178.660520833299</v>
      </c>
      <c r="I102" s="7" t="s">
        <v>33</v>
      </c>
    </row>
    <row r="103" spans="1:9" ht="15" customHeight="1" x14ac:dyDescent="0.3">
      <c r="A103" t="s">
        <v>631</v>
      </c>
      <c r="B103" t="s">
        <v>632</v>
      </c>
      <c r="C103" s="10">
        <v>31963</v>
      </c>
      <c r="D103" t="s">
        <v>633</v>
      </c>
      <c r="E103" t="s">
        <v>634</v>
      </c>
      <c r="F103" t="s">
        <v>635</v>
      </c>
      <c r="G103" t="s">
        <v>636</v>
      </c>
      <c r="H103" s="11">
        <v>40774.870972222197</v>
      </c>
      <c r="I103" s="7" t="s">
        <v>78</v>
      </c>
    </row>
    <row r="104" spans="1:9" ht="15" customHeight="1" x14ac:dyDescent="0.3">
      <c r="A104" t="s">
        <v>637</v>
      </c>
      <c r="B104" t="s">
        <v>638</v>
      </c>
      <c r="C104" s="10">
        <v>32884</v>
      </c>
      <c r="D104" t="s">
        <v>639</v>
      </c>
      <c r="E104" t="s">
        <v>640</v>
      </c>
      <c r="F104" t="s">
        <v>641</v>
      </c>
      <c r="G104" t="s">
        <v>642</v>
      </c>
      <c r="H104" s="11">
        <v>41535.754872685196</v>
      </c>
      <c r="I104" s="7" t="s">
        <v>52</v>
      </c>
    </row>
    <row r="105" spans="1:9" ht="15" customHeight="1" x14ac:dyDescent="0.3">
      <c r="A105" t="s">
        <v>643</v>
      </c>
      <c r="B105" t="s">
        <v>644</v>
      </c>
      <c r="C105" s="10">
        <v>29851</v>
      </c>
      <c r="D105" t="s">
        <v>645</v>
      </c>
      <c r="E105" t="s">
        <v>646</v>
      </c>
      <c r="F105" t="s">
        <v>647</v>
      </c>
      <c r="G105" t="s">
        <v>648</v>
      </c>
      <c r="H105" s="11">
        <v>40947.090393518498</v>
      </c>
      <c r="I105" s="7" t="s">
        <v>71</v>
      </c>
    </row>
    <row r="106" spans="1:9" ht="15" customHeight="1" x14ac:dyDescent="0.3">
      <c r="A106" t="s">
        <v>649</v>
      </c>
      <c r="B106" t="s">
        <v>650</v>
      </c>
      <c r="C106" s="10">
        <v>31236</v>
      </c>
      <c r="D106" t="s">
        <v>651</v>
      </c>
      <c r="E106" t="s">
        <v>652</v>
      </c>
      <c r="F106" t="s">
        <v>653</v>
      </c>
      <c r="G106" t="s">
        <v>654</v>
      </c>
      <c r="H106" s="11">
        <v>41472.4622453704</v>
      </c>
      <c r="I106" s="7" t="s">
        <v>26</v>
      </c>
    </row>
    <row r="107" spans="1:9" ht="15" customHeight="1" x14ac:dyDescent="0.3">
      <c r="A107" t="s">
        <v>655</v>
      </c>
      <c r="B107" t="s">
        <v>656</v>
      </c>
      <c r="C107" s="10">
        <v>32906</v>
      </c>
      <c r="D107" t="s">
        <v>657</v>
      </c>
      <c r="E107" t="s">
        <v>658</v>
      </c>
      <c r="F107" t="s">
        <v>659</v>
      </c>
      <c r="G107" t="s">
        <v>660</v>
      </c>
      <c r="H107" s="11">
        <v>42062.179050925901</v>
      </c>
      <c r="I107" s="7" t="s">
        <v>33</v>
      </c>
    </row>
    <row r="108" spans="1:9" ht="15" customHeight="1" x14ac:dyDescent="0.3">
      <c r="A108" t="s">
        <v>661</v>
      </c>
      <c r="B108" t="s">
        <v>662</v>
      </c>
      <c r="C108" s="10">
        <v>30250</v>
      </c>
      <c r="D108" t="s">
        <v>663</v>
      </c>
      <c r="E108" t="s">
        <v>664</v>
      </c>
      <c r="F108" t="s">
        <v>665</v>
      </c>
      <c r="G108" t="s">
        <v>666</v>
      </c>
      <c r="H108" s="11">
        <v>41565.198287036997</v>
      </c>
      <c r="I108" s="7" t="s">
        <v>52</v>
      </c>
    </row>
    <row r="109" spans="1:9" ht="15" customHeight="1" x14ac:dyDescent="0.3">
      <c r="A109" t="s">
        <v>667</v>
      </c>
      <c r="B109" t="s">
        <v>668</v>
      </c>
      <c r="C109" s="10">
        <v>28945</v>
      </c>
      <c r="D109" t="s">
        <v>669</v>
      </c>
      <c r="E109" t="s">
        <v>670</v>
      </c>
      <c r="F109" t="s">
        <v>671</v>
      </c>
      <c r="G109" t="s">
        <v>672</v>
      </c>
      <c r="H109" s="11">
        <v>40625.545520833301</v>
      </c>
      <c r="I109" s="7" t="s">
        <v>33</v>
      </c>
    </row>
    <row r="110" spans="1:9" ht="15" customHeight="1" x14ac:dyDescent="0.3">
      <c r="A110" t="s">
        <v>673</v>
      </c>
      <c r="B110" t="s">
        <v>674</v>
      </c>
      <c r="C110" s="10">
        <v>33363</v>
      </c>
      <c r="D110" t="s">
        <v>675</v>
      </c>
      <c r="E110" t="s">
        <v>676</v>
      </c>
      <c r="F110" t="s">
        <v>677</v>
      </c>
      <c r="G110" t="s">
        <v>678</v>
      </c>
      <c r="H110" s="11">
        <v>43651.827893518501</v>
      </c>
      <c r="I110" s="7" t="s">
        <v>52</v>
      </c>
    </row>
    <row r="111" spans="1:9" ht="15" customHeight="1" x14ac:dyDescent="0.3">
      <c r="A111" t="s">
        <v>679</v>
      </c>
      <c r="B111" t="s">
        <v>680</v>
      </c>
      <c r="C111" s="10">
        <v>36328</v>
      </c>
      <c r="D111" t="s">
        <v>681</v>
      </c>
      <c r="E111" t="s">
        <v>682</v>
      </c>
      <c r="F111" t="s">
        <v>683</v>
      </c>
      <c r="G111" t="s">
        <v>684</v>
      </c>
      <c r="H111" s="11">
        <v>43889.649027777799</v>
      </c>
      <c r="I111" s="7" t="s">
        <v>33</v>
      </c>
    </row>
    <row r="112" spans="1:9" ht="15" customHeight="1" x14ac:dyDescent="0.3">
      <c r="A112" t="s">
        <v>685</v>
      </c>
      <c r="B112" t="s">
        <v>686</v>
      </c>
      <c r="C112" s="10">
        <v>25591</v>
      </c>
      <c r="D112" t="s">
        <v>687</v>
      </c>
      <c r="E112" t="s">
        <v>688</v>
      </c>
      <c r="F112" t="s">
        <v>689</v>
      </c>
      <c r="G112" t="s">
        <v>690</v>
      </c>
      <c r="H112" s="11">
        <v>43441.407743055599</v>
      </c>
      <c r="I112" s="7" t="s">
        <v>52</v>
      </c>
    </row>
    <row r="113" spans="1:9" ht="15" customHeight="1" x14ac:dyDescent="0.3">
      <c r="A113" t="s">
        <v>691</v>
      </c>
      <c r="B113" t="s">
        <v>692</v>
      </c>
      <c r="C113" s="10">
        <v>29394</v>
      </c>
      <c r="D113" t="s">
        <v>693</v>
      </c>
      <c r="E113" t="s">
        <v>694</v>
      </c>
      <c r="F113" t="s">
        <v>695</v>
      </c>
      <c r="G113" t="s">
        <v>696</v>
      </c>
      <c r="H113" s="11">
        <v>41832.124166666697</v>
      </c>
      <c r="I113" s="7" t="s">
        <v>78</v>
      </c>
    </row>
    <row r="114" spans="1:9" ht="15" customHeight="1" x14ac:dyDescent="0.3">
      <c r="A114" t="s">
        <v>697</v>
      </c>
      <c r="B114" t="s">
        <v>698</v>
      </c>
      <c r="C114" s="10">
        <v>27233</v>
      </c>
      <c r="D114" t="s">
        <v>699</v>
      </c>
      <c r="E114" t="s">
        <v>700</v>
      </c>
      <c r="F114" t="s">
        <v>701</v>
      </c>
      <c r="G114" t="s">
        <v>702</v>
      </c>
      <c r="H114" s="11">
        <v>40716.7509027778</v>
      </c>
      <c r="I114" s="7" t="s">
        <v>26</v>
      </c>
    </row>
    <row r="115" spans="1:9" ht="15" customHeight="1" x14ac:dyDescent="0.3">
      <c r="A115" t="s">
        <v>703</v>
      </c>
      <c r="B115" t="s">
        <v>704</v>
      </c>
      <c r="C115" s="10">
        <v>34000</v>
      </c>
      <c r="D115" t="s">
        <v>705</v>
      </c>
      <c r="E115" t="s">
        <v>706</v>
      </c>
      <c r="F115" t="s">
        <v>707</v>
      </c>
      <c r="G115" t="s">
        <v>708</v>
      </c>
      <c r="H115" s="11">
        <v>39559.834571759297</v>
      </c>
      <c r="I115" s="7" t="s">
        <v>33</v>
      </c>
    </row>
    <row r="116" spans="1:9" ht="15" customHeight="1" x14ac:dyDescent="0.3">
      <c r="A116" t="s">
        <v>709</v>
      </c>
      <c r="B116" t="s">
        <v>710</v>
      </c>
      <c r="C116" s="10">
        <v>34730</v>
      </c>
      <c r="D116" t="s">
        <v>711</v>
      </c>
      <c r="E116" t="s">
        <v>712</v>
      </c>
      <c r="F116" t="s">
        <v>713</v>
      </c>
      <c r="G116" t="s">
        <v>714</v>
      </c>
      <c r="H116" s="11">
        <v>41503.104224536997</v>
      </c>
      <c r="I116" s="7" t="s">
        <v>71</v>
      </c>
    </row>
    <row r="117" spans="1:9" ht="15" customHeight="1" x14ac:dyDescent="0.3">
      <c r="A117" t="s">
        <v>715</v>
      </c>
      <c r="B117" t="s">
        <v>716</v>
      </c>
      <c r="C117" s="10">
        <v>33094</v>
      </c>
      <c r="D117" t="s">
        <v>717</v>
      </c>
      <c r="E117" t="s">
        <v>718</v>
      </c>
      <c r="F117" t="s">
        <v>719</v>
      </c>
      <c r="G117" t="s">
        <v>720</v>
      </c>
      <c r="H117" s="11">
        <v>39984.321550925903</v>
      </c>
      <c r="I117" s="7" t="s">
        <v>52</v>
      </c>
    </row>
    <row r="118" spans="1:9" ht="15" customHeight="1" x14ac:dyDescent="0.3">
      <c r="A118" t="s">
        <v>721</v>
      </c>
      <c r="B118" t="s">
        <v>722</v>
      </c>
      <c r="C118" s="10">
        <v>30547</v>
      </c>
      <c r="D118" t="s">
        <v>723</v>
      </c>
      <c r="E118" t="s">
        <v>724</v>
      </c>
      <c r="F118" t="s">
        <v>725</v>
      </c>
      <c r="G118" t="s">
        <v>726</v>
      </c>
      <c r="H118" s="11">
        <v>43932.415821759299</v>
      </c>
      <c r="I118" s="7" t="s">
        <v>33</v>
      </c>
    </row>
    <row r="119" spans="1:9" ht="15" customHeight="1" x14ac:dyDescent="0.3">
      <c r="A119" t="s">
        <v>727</v>
      </c>
      <c r="B119" t="s">
        <v>728</v>
      </c>
      <c r="C119" s="10">
        <v>30407</v>
      </c>
      <c r="D119" t="s">
        <v>729</v>
      </c>
      <c r="E119" t="s">
        <v>730</v>
      </c>
      <c r="F119" t="s">
        <v>731</v>
      </c>
      <c r="G119" t="s">
        <v>732</v>
      </c>
      <c r="H119" s="11">
        <v>44155.691666666702</v>
      </c>
      <c r="I119" s="7" t="s">
        <v>52</v>
      </c>
    </row>
    <row r="120" spans="1:9" ht="15" customHeight="1" x14ac:dyDescent="0.3">
      <c r="A120" t="s">
        <v>733</v>
      </c>
      <c r="B120" t="s">
        <v>734</v>
      </c>
      <c r="C120" s="10">
        <v>32259</v>
      </c>
      <c r="D120" t="s">
        <v>735</v>
      </c>
      <c r="E120" t="s">
        <v>736</v>
      </c>
      <c r="F120" t="s">
        <v>737</v>
      </c>
      <c r="G120" t="s">
        <v>738</v>
      </c>
      <c r="H120" s="11">
        <v>40643.893692129597</v>
      </c>
      <c r="I120" s="7" t="s">
        <v>26</v>
      </c>
    </row>
    <row r="121" spans="1:9" ht="15" customHeight="1" x14ac:dyDescent="0.3">
      <c r="A121" t="s">
        <v>739</v>
      </c>
      <c r="B121" t="s">
        <v>740</v>
      </c>
      <c r="C121" s="10">
        <v>28705</v>
      </c>
      <c r="D121" t="s">
        <v>741</v>
      </c>
      <c r="E121" t="s">
        <v>742</v>
      </c>
      <c r="F121" t="s">
        <v>743</v>
      </c>
      <c r="G121" t="s">
        <v>744</v>
      </c>
      <c r="H121" s="11">
        <v>40969.213125000002</v>
      </c>
      <c r="I121" s="7" t="s">
        <v>78</v>
      </c>
    </row>
    <row r="122" spans="1:9" ht="15" customHeight="1" x14ac:dyDescent="0.3">
      <c r="A122" t="s">
        <v>745</v>
      </c>
      <c r="B122" t="s">
        <v>746</v>
      </c>
      <c r="C122" s="10">
        <v>32838</v>
      </c>
      <c r="D122" t="s">
        <v>747</v>
      </c>
      <c r="E122" t="s">
        <v>748</v>
      </c>
      <c r="F122" t="s">
        <v>749</v>
      </c>
      <c r="G122" t="s">
        <v>750</v>
      </c>
      <c r="H122" s="11">
        <v>44059.2790046296</v>
      </c>
      <c r="I122" s="7" t="s">
        <v>26</v>
      </c>
    </row>
    <row r="123" spans="1:9" ht="15" customHeight="1" x14ac:dyDescent="0.3">
      <c r="A123" t="s">
        <v>751</v>
      </c>
      <c r="B123" t="s">
        <v>752</v>
      </c>
      <c r="C123" s="10">
        <v>34191</v>
      </c>
      <c r="D123" t="s">
        <v>753</v>
      </c>
      <c r="E123" t="s">
        <v>754</v>
      </c>
      <c r="F123" t="s">
        <v>755</v>
      </c>
      <c r="G123" t="s">
        <v>756</v>
      </c>
      <c r="H123" s="11">
        <v>40916.961412037002</v>
      </c>
      <c r="I123" s="7" t="s">
        <v>52</v>
      </c>
    </row>
    <row r="124" spans="1:9" ht="15" customHeight="1" x14ac:dyDescent="0.3">
      <c r="A124" t="s">
        <v>757</v>
      </c>
      <c r="B124" t="s">
        <v>758</v>
      </c>
      <c r="C124" s="10">
        <v>26082</v>
      </c>
      <c r="D124" t="s">
        <v>759</v>
      </c>
      <c r="E124" t="s">
        <v>760</v>
      </c>
      <c r="F124" t="s">
        <v>761</v>
      </c>
      <c r="G124" t="s">
        <v>762</v>
      </c>
      <c r="H124" s="11">
        <v>38685.293888888897</v>
      </c>
      <c r="I124" s="7" t="s">
        <v>71</v>
      </c>
    </row>
    <row r="125" spans="1:9" ht="15" customHeight="1" x14ac:dyDescent="0.3">
      <c r="A125" t="s">
        <v>763</v>
      </c>
      <c r="B125" t="s">
        <v>764</v>
      </c>
      <c r="C125" s="10">
        <v>35017</v>
      </c>
      <c r="D125" t="s">
        <v>765</v>
      </c>
      <c r="E125" t="s">
        <v>766</v>
      </c>
      <c r="F125" t="s">
        <v>767</v>
      </c>
      <c r="G125" t="s">
        <v>768</v>
      </c>
      <c r="H125" s="11">
        <v>39537.497766203698</v>
      </c>
      <c r="I125" s="7" t="s">
        <v>33</v>
      </c>
    </row>
    <row r="126" spans="1:9" ht="15" customHeight="1" x14ac:dyDescent="0.3">
      <c r="A126" t="s">
        <v>769</v>
      </c>
      <c r="B126" t="s">
        <v>770</v>
      </c>
      <c r="C126" s="10">
        <v>26564</v>
      </c>
      <c r="D126" t="s">
        <v>771</v>
      </c>
      <c r="E126" t="s">
        <v>772</v>
      </c>
      <c r="F126" t="s">
        <v>773</v>
      </c>
      <c r="G126" t="s">
        <v>774</v>
      </c>
      <c r="H126" s="11">
        <v>42352.512395833299</v>
      </c>
      <c r="I126" s="7" t="s">
        <v>78</v>
      </c>
    </row>
    <row r="127" spans="1:9" ht="15" customHeight="1" x14ac:dyDescent="0.3">
      <c r="A127" t="s">
        <v>775</v>
      </c>
      <c r="B127" t="s">
        <v>776</v>
      </c>
      <c r="C127" s="10">
        <v>28836</v>
      </c>
      <c r="D127" t="s">
        <v>777</v>
      </c>
      <c r="E127" t="s">
        <v>778</v>
      </c>
      <c r="F127" t="s">
        <v>779</v>
      </c>
      <c r="G127" t="s">
        <v>780</v>
      </c>
      <c r="H127" s="11">
        <v>40826.105636574102</v>
      </c>
      <c r="I127" s="7" t="s">
        <v>26</v>
      </c>
    </row>
    <row r="128" spans="1:9" ht="15" customHeight="1" x14ac:dyDescent="0.3">
      <c r="A128" t="s">
        <v>781</v>
      </c>
      <c r="B128" t="s">
        <v>782</v>
      </c>
      <c r="C128" s="10">
        <v>36448</v>
      </c>
      <c r="D128" t="s">
        <v>783</v>
      </c>
      <c r="E128" t="s">
        <v>784</v>
      </c>
      <c r="F128" t="s">
        <v>785</v>
      </c>
      <c r="G128" t="s">
        <v>786</v>
      </c>
      <c r="H128" s="11">
        <v>40865.513912037</v>
      </c>
      <c r="I128" s="7" t="s">
        <v>71</v>
      </c>
    </row>
    <row r="129" spans="1:9" ht="15" customHeight="1" x14ac:dyDescent="0.3">
      <c r="A129" t="s">
        <v>787</v>
      </c>
      <c r="B129" t="s">
        <v>788</v>
      </c>
      <c r="C129" s="10">
        <v>36425</v>
      </c>
      <c r="D129" t="s">
        <v>789</v>
      </c>
      <c r="E129" t="s">
        <v>790</v>
      </c>
      <c r="F129" t="s">
        <v>791</v>
      </c>
      <c r="G129" t="s">
        <v>792</v>
      </c>
      <c r="H129" s="11">
        <v>39259.242337962998</v>
      </c>
      <c r="I129" s="7" t="s">
        <v>52</v>
      </c>
    </row>
    <row r="130" spans="1:9" ht="15" customHeight="1" x14ac:dyDescent="0.3">
      <c r="A130" t="s">
        <v>793</v>
      </c>
      <c r="B130" t="s">
        <v>794</v>
      </c>
      <c r="C130" s="10">
        <v>27626</v>
      </c>
      <c r="D130" t="s">
        <v>795</v>
      </c>
      <c r="E130" t="s">
        <v>796</v>
      </c>
      <c r="F130" t="s">
        <v>797</v>
      </c>
      <c r="G130" t="s">
        <v>798</v>
      </c>
      <c r="H130" s="11">
        <v>44146.606388888897</v>
      </c>
      <c r="I130" s="7" t="s">
        <v>71</v>
      </c>
    </row>
    <row r="131" spans="1:9" ht="15" customHeight="1" x14ac:dyDescent="0.3">
      <c r="A131" t="s">
        <v>799</v>
      </c>
      <c r="B131" t="s">
        <v>800</v>
      </c>
      <c r="C131" s="10">
        <v>26910</v>
      </c>
      <c r="D131" t="s">
        <v>801</v>
      </c>
      <c r="E131" t="s">
        <v>802</v>
      </c>
      <c r="F131" t="s">
        <v>803</v>
      </c>
      <c r="G131" t="s">
        <v>804</v>
      </c>
      <c r="H131" s="11">
        <v>39837.372164351902</v>
      </c>
      <c r="I131" s="7" t="s">
        <v>33</v>
      </c>
    </row>
    <row r="132" spans="1:9" ht="15" customHeight="1" x14ac:dyDescent="0.3">
      <c r="A132" t="s">
        <v>805</v>
      </c>
      <c r="B132" t="s">
        <v>806</v>
      </c>
      <c r="C132" s="10">
        <v>35507</v>
      </c>
      <c r="D132" t="s">
        <v>807</v>
      </c>
      <c r="E132" t="s">
        <v>808</v>
      </c>
      <c r="F132" t="s">
        <v>809</v>
      </c>
      <c r="G132" t="s">
        <v>810</v>
      </c>
      <c r="H132" s="11">
        <v>41626.338495370401</v>
      </c>
      <c r="I132" s="7" t="s">
        <v>71</v>
      </c>
    </row>
    <row r="133" spans="1:9" ht="15" customHeight="1" x14ac:dyDescent="0.3">
      <c r="A133" t="s">
        <v>811</v>
      </c>
      <c r="B133" t="s">
        <v>812</v>
      </c>
      <c r="C133" s="10">
        <v>27105</v>
      </c>
      <c r="D133" t="s">
        <v>813</v>
      </c>
      <c r="E133" t="s">
        <v>814</v>
      </c>
      <c r="F133" t="s">
        <v>815</v>
      </c>
      <c r="G133" t="s">
        <v>816</v>
      </c>
      <c r="H133" s="11">
        <v>43256.849687499998</v>
      </c>
      <c r="I133" s="7" t="s">
        <v>33</v>
      </c>
    </row>
    <row r="134" spans="1:9" ht="15" customHeight="1" x14ac:dyDescent="0.3">
      <c r="A134" t="s">
        <v>817</v>
      </c>
      <c r="B134" t="s">
        <v>818</v>
      </c>
      <c r="C134" s="10">
        <v>31782</v>
      </c>
      <c r="D134" t="s">
        <v>819</v>
      </c>
      <c r="E134" t="s">
        <v>820</v>
      </c>
      <c r="F134" t="s">
        <v>821</v>
      </c>
      <c r="G134" t="s">
        <v>822</v>
      </c>
      <c r="H134" s="11">
        <v>40420.2804398148</v>
      </c>
      <c r="I134" s="7" t="s">
        <v>26</v>
      </c>
    </row>
    <row r="135" spans="1:9" ht="15" customHeight="1" x14ac:dyDescent="0.3">
      <c r="A135" t="s">
        <v>823</v>
      </c>
      <c r="B135" t="s">
        <v>824</v>
      </c>
      <c r="C135" s="10">
        <v>25628</v>
      </c>
      <c r="D135" t="s">
        <v>825</v>
      </c>
      <c r="E135" t="s">
        <v>826</v>
      </c>
      <c r="F135" t="s">
        <v>827</v>
      </c>
      <c r="G135" t="s">
        <v>828</v>
      </c>
      <c r="H135" s="11">
        <v>39347.689259259299</v>
      </c>
      <c r="I135" s="7" t="s">
        <v>52</v>
      </c>
    </row>
    <row r="136" spans="1:9" ht="15" customHeight="1" x14ac:dyDescent="0.3">
      <c r="A136" t="s">
        <v>829</v>
      </c>
      <c r="B136" t="s">
        <v>830</v>
      </c>
      <c r="C136" s="10">
        <v>35792</v>
      </c>
      <c r="D136" t="s">
        <v>831</v>
      </c>
      <c r="E136" t="s">
        <v>832</v>
      </c>
      <c r="F136" t="s">
        <v>833</v>
      </c>
      <c r="G136" t="s">
        <v>834</v>
      </c>
      <c r="H136" s="11">
        <v>40130.216215277796</v>
      </c>
      <c r="I136" s="7" t="s">
        <v>52</v>
      </c>
    </row>
    <row r="137" spans="1:9" ht="15" customHeight="1" x14ac:dyDescent="0.3">
      <c r="A137" t="s">
        <v>835</v>
      </c>
      <c r="B137" t="s">
        <v>836</v>
      </c>
      <c r="C137" s="10">
        <v>26278</v>
      </c>
      <c r="D137" t="s">
        <v>837</v>
      </c>
      <c r="E137" t="s">
        <v>838</v>
      </c>
      <c r="F137" t="s">
        <v>839</v>
      </c>
      <c r="G137" t="s">
        <v>840</v>
      </c>
      <c r="H137" s="11">
        <v>40705.1038541667</v>
      </c>
      <c r="I137" s="7" t="s">
        <v>33</v>
      </c>
    </row>
    <row r="138" spans="1:9" ht="15" customHeight="1" x14ac:dyDescent="0.3">
      <c r="A138" t="s">
        <v>841</v>
      </c>
      <c r="B138" t="s">
        <v>842</v>
      </c>
      <c r="C138" s="10">
        <v>28963</v>
      </c>
      <c r="D138" t="s">
        <v>843</v>
      </c>
      <c r="E138" t="s">
        <v>844</v>
      </c>
      <c r="F138" t="s">
        <v>845</v>
      </c>
      <c r="G138" t="s">
        <v>846</v>
      </c>
      <c r="H138" s="11">
        <v>39299.2055555556</v>
      </c>
      <c r="I138" s="7" t="s">
        <v>52</v>
      </c>
    </row>
    <row r="139" spans="1:9" ht="15" customHeight="1" x14ac:dyDescent="0.3">
      <c r="A139" t="s">
        <v>847</v>
      </c>
      <c r="B139" t="s">
        <v>848</v>
      </c>
      <c r="C139" s="10">
        <v>26658</v>
      </c>
      <c r="D139" t="s">
        <v>849</v>
      </c>
      <c r="E139" t="s">
        <v>850</v>
      </c>
      <c r="F139" t="s">
        <v>851</v>
      </c>
      <c r="G139" t="s">
        <v>852</v>
      </c>
      <c r="H139" s="11">
        <v>41193.278321759302</v>
      </c>
      <c r="I139" s="7" t="s">
        <v>26</v>
      </c>
    </row>
    <row r="140" spans="1:9" ht="15" customHeight="1" x14ac:dyDescent="0.3">
      <c r="A140" t="s">
        <v>853</v>
      </c>
      <c r="B140" t="s">
        <v>854</v>
      </c>
      <c r="C140" s="10">
        <v>28246</v>
      </c>
      <c r="D140" t="s">
        <v>855</v>
      </c>
      <c r="E140" t="s">
        <v>856</v>
      </c>
      <c r="F140" t="s">
        <v>857</v>
      </c>
      <c r="G140" t="s">
        <v>858</v>
      </c>
      <c r="H140" s="11">
        <v>43584.448067129597</v>
      </c>
      <c r="I140" s="7" t="s">
        <v>26</v>
      </c>
    </row>
    <row r="141" spans="1:9" ht="15" customHeight="1" x14ac:dyDescent="0.3">
      <c r="A141" t="s">
        <v>859</v>
      </c>
      <c r="B141" t="s">
        <v>860</v>
      </c>
      <c r="C141" s="10">
        <v>36166</v>
      </c>
      <c r="D141" t="s">
        <v>861</v>
      </c>
      <c r="E141" t="s">
        <v>862</v>
      </c>
      <c r="F141" t="s">
        <v>863</v>
      </c>
      <c r="G141" t="s">
        <v>864</v>
      </c>
      <c r="H141" s="11">
        <v>39633.076018518499</v>
      </c>
      <c r="I141" s="7" t="s">
        <v>71</v>
      </c>
    </row>
    <row r="142" spans="1:9" ht="15" customHeight="1" x14ac:dyDescent="0.3">
      <c r="A142" t="s">
        <v>865</v>
      </c>
      <c r="B142" t="s">
        <v>866</v>
      </c>
      <c r="C142" s="10">
        <v>27018</v>
      </c>
      <c r="D142" t="s">
        <v>867</v>
      </c>
      <c r="E142" t="s">
        <v>868</v>
      </c>
      <c r="F142" t="s">
        <v>869</v>
      </c>
      <c r="G142" t="s">
        <v>870</v>
      </c>
      <c r="H142" s="11">
        <v>43604.0144097222</v>
      </c>
      <c r="I142" s="7" t="s">
        <v>26</v>
      </c>
    </row>
    <row r="143" spans="1:9" ht="15" customHeight="1" x14ac:dyDescent="0.3">
      <c r="A143" t="s">
        <v>871</v>
      </c>
      <c r="B143" t="s">
        <v>872</v>
      </c>
      <c r="C143" s="10">
        <v>31683</v>
      </c>
      <c r="D143" t="s">
        <v>873</v>
      </c>
      <c r="E143" t="s">
        <v>874</v>
      </c>
      <c r="F143" t="s">
        <v>875</v>
      </c>
      <c r="G143" t="s">
        <v>876</v>
      </c>
      <c r="H143" s="11">
        <v>42341.846238425896</v>
      </c>
      <c r="I143" s="7" t="s">
        <v>33</v>
      </c>
    </row>
    <row r="144" spans="1:9" ht="15" customHeight="1" x14ac:dyDescent="0.3">
      <c r="A144" t="s">
        <v>877</v>
      </c>
      <c r="B144" t="s">
        <v>878</v>
      </c>
      <c r="C144" s="10">
        <v>34635</v>
      </c>
      <c r="D144" t="s">
        <v>879</v>
      </c>
      <c r="E144" t="s">
        <v>880</v>
      </c>
      <c r="F144" t="s">
        <v>881</v>
      </c>
      <c r="G144" t="s">
        <v>882</v>
      </c>
      <c r="H144" s="11">
        <v>41826.708715277797</v>
      </c>
      <c r="I144" s="7" t="s">
        <v>33</v>
      </c>
    </row>
    <row r="145" spans="1:9" ht="15" customHeight="1" x14ac:dyDescent="0.3">
      <c r="A145" t="s">
        <v>883</v>
      </c>
      <c r="B145" t="s">
        <v>884</v>
      </c>
      <c r="C145" s="10">
        <v>32084</v>
      </c>
      <c r="D145" t="s">
        <v>885</v>
      </c>
      <c r="E145" t="s">
        <v>886</v>
      </c>
      <c r="F145" t="s">
        <v>887</v>
      </c>
      <c r="G145" t="s">
        <v>888</v>
      </c>
      <c r="H145" s="11">
        <v>41536.276851851901</v>
      </c>
      <c r="I145" s="7" t="s">
        <v>26</v>
      </c>
    </row>
    <row r="146" spans="1:9" ht="15" customHeight="1" x14ac:dyDescent="0.3">
      <c r="A146" t="s">
        <v>889</v>
      </c>
      <c r="B146" t="s">
        <v>890</v>
      </c>
      <c r="C146" s="10">
        <v>27254</v>
      </c>
      <c r="D146" t="s">
        <v>891</v>
      </c>
      <c r="E146" t="s">
        <v>892</v>
      </c>
      <c r="F146" t="s">
        <v>893</v>
      </c>
      <c r="G146" t="s">
        <v>894</v>
      </c>
      <c r="H146" s="11">
        <v>38401.3390856482</v>
      </c>
      <c r="I146" s="7" t="s">
        <v>78</v>
      </c>
    </row>
    <row r="147" spans="1:9" ht="15" customHeight="1" x14ac:dyDescent="0.3">
      <c r="A147" t="s">
        <v>895</v>
      </c>
      <c r="B147" t="s">
        <v>896</v>
      </c>
      <c r="C147" s="10">
        <v>33667</v>
      </c>
      <c r="D147" t="s">
        <v>897</v>
      </c>
      <c r="E147" t="s">
        <v>898</v>
      </c>
      <c r="F147" t="s">
        <v>899</v>
      </c>
      <c r="G147" t="s">
        <v>900</v>
      </c>
      <c r="H147" s="11">
        <v>38886.761562500003</v>
      </c>
      <c r="I147" s="7" t="s">
        <v>78</v>
      </c>
    </row>
    <row r="148" spans="1:9" ht="15" customHeight="1" x14ac:dyDescent="0.3">
      <c r="A148" t="s">
        <v>901</v>
      </c>
      <c r="B148" t="s">
        <v>902</v>
      </c>
      <c r="C148" s="10">
        <v>29348</v>
      </c>
      <c r="D148" t="s">
        <v>903</v>
      </c>
      <c r="E148" t="s">
        <v>904</v>
      </c>
      <c r="F148" t="s">
        <v>905</v>
      </c>
      <c r="G148" t="s">
        <v>906</v>
      </c>
      <c r="H148" s="11">
        <v>43981.745844907397</v>
      </c>
      <c r="I148" s="7" t="s">
        <v>33</v>
      </c>
    </row>
    <row r="149" spans="1:9" ht="15" customHeight="1" x14ac:dyDescent="0.3">
      <c r="A149" t="s">
        <v>907</v>
      </c>
      <c r="B149" t="s">
        <v>908</v>
      </c>
      <c r="C149" s="10">
        <v>31850</v>
      </c>
      <c r="D149" t="s">
        <v>909</v>
      </c>
      <c r="E149" t="s">
        <v>910</v>
      </c>
      <c r="F149" t="s">
        <v>911</v>
      </c>
      <c r="G149" t="s">
        <v>912</v>
      </c>
      <c r="H149" s="11">
        <v>41027.199699074103</v>
      </c>
      <c r="I149" s="7" t="s">
        <v>33</v>
      </c>
    </row>
    <row r="150" spans="1:9" ht="15" customHeight="1" x14ac:dyDescent="0.3">
      <c r="A150" t="s">
        <v>913</v>
      </c>
      <c r="B150" t="s">
        <v>914</v>
      </c>
      <c r="C150" s="10">
        <v>35454</v>
      </c>
      <c r="D150" t="s">
        <v>915</v>
      </c>
      <c r="E150" t="s">
        <v>916</v>
      </c>
      <c r="F150" t="s">
        <v>917</v>
      </c>
      <c r="G150" t="s">
        <v>918</v>
      </c>
      <c r="H150" s="11">
        <v>43819.494085648199</v>
      </c>
      <c r="I150" s="7" t="s">
        <v>78</v>
      </c>
    </row>
    <row r="151" spans="1:9" ht="15" customHeight="1" x14ac:dyDescent="0.3">
      <c r="A151" t="s">
        <v>919</v>
      </c>
      <c r="B151" t="s">
        <v>920</v>
      </c>
      <c r="C151" s="10">
        <v>26181</v>
      </c>
      <c r="D151" t="s">
        <v>921</v>
      </c>
      <c r="E151" t="s">
        <v>922</v>
      </c>
      <c r="F151" t="s">
        <v>923</v>
      </c>
      <c r="G151" t="s">
        <v>924</v>
      </c>
      <c r="H151" s="11">
        <v>41331.643263888902</v>
      </c>
      <c r="I151" s="7" t="s">
        <v>78</v>
      </c>
    </row>
    <row r="152" spans="1:9" ht="15" customHeight="1" x14ac:dyDescent="0.3">
      <c r="A152" t="s">
        <v>925</v>
      </c>
      <c r="B152" t="s">
        <v>926</v>
      </c>
      <c r="C152" s="10">
        <v>32357</v>
      </c>
      <c r="D152" t="s">
        <v>927</v>
      </c>
      <c r="E152" t="s">
        <v>928</v>
      </c>
      <c r="F152" t="s">
        <v>929</v>
      </c>
      <c r="G152" t="s">
        <v>930</v>
      </c>
      <c r="H152" s="11">
        <v>44193.150995370401</v>
      </c>
      <c r="I152" s="7" t="s">
        <v>26</v>
      </c>
    </row>
    <row r="153" spans="1:9" ht="15" customHeight="1" x14ac:dyDescent="0.3">
      <c r="A153" t="s">
        <v>931</v>
      </c>
      <c r="B153" t="s">
        <v>932</v>
      </c>
      <c r="C153" s="10">
        <v>25837</v>
      </c>
      <c r="D153" t="s">
        <v>933</v>
      </c>
      <c r="E153" t="s">
        <v>934</v>
      </c>
      <c r="F153" t="s">
        <v>935</v>
      </c>
      <c r="G153" t="s">
        <v>936</v>
      </c>
      <c r="H153" s="11">
        <v>40759.222280092603</v>
      </c>
      <c r="I153" s="7" t="s">
        <v>71</v>
      </c>
    </row>
    <row r="154" spans="1:9" ht="15" customHeight="1" x14ac:dyDescent="0.3">
      <c r="A154" t="s">
        <v>937</v>
      </c>
      <c r="B154" t="s">
        <v>938</v>
      </c>
      <c r="C154" s="10">
        <v>32122</v>
      </c>
      <c r="D154" t="s">
        <v>939</v>
      </c>
      <c r="E154" t="s">
        <v>940</v>
      </c>
      <c r="F154" t="s">
        <v>941</v>
      </c>
      <c r="G154" t="s">
        <v>942</v>
      </c>
      <c r="H154" s="11">
        <v>40217.169687499998</v>
      </c>
      <c r="I154" s="7" t="s">
        <v>33</v>
      </c>
    </row>
    <row r="155" spans="1:9" ht="15" customHeight="1" x14ac:dyDescent="0.3">
      <c r="A155" t="s">
        <v>943</v>
      </c>
      <c r="B155" t="s">
        <v>944</v>
      </c>
      <c r="C155" s="10">
        <v>35586</v>
      </c>
      <c r="D155" t="s">
        <v>945</v>
      </c>
      <c r="E155" t="s">
        <v>946</v>
      </c>
      <c r="F155" t="s">
        <v>947</v>
      </c>
      <c r="G155" t="s">
        <v>948</v>
      </c>
      <c r="H155" s="11">
        <v>38418.201203703698</v>
      </c>
      <c r="I155" s="7" t="s">
        <v>78</v>
      </c>
    </row>
    <row r="156" spans="1:9" ht="15" customHeight="1" x14ac:dyDescent="0.3">
      <c r="A156" t="s">
        <v>949</v>
      </c>
      <c r="B156" t="s">
        <v>950</v>
      </c>
      <c r="C156" s="10">
        <v>35826</v>
      </c>
      <c r="D156" t="s">
        <v>951</v>
      </c>
      <c r="E156" t="s">
        <v>952</v>
      </c>
      <c r="F156" t="s">
        <v>953</v>
      </c>
      <c r="G156" t="s">
        <v>954</v>
      </c>
      <c r="H156" s="11">
        <v>41343.786608796298</v>
      </c>
      <c r="I156" s="7" t="s">
        <v>78</v>
      </c>
    </row>
    <row r="157" spans="1:9" ht="15" customHeight="1" x14ac:dyDescent="0.3">
      <c r="A157" t="s">
        <v>955</v>
      </c>
      <c r="B157" t="s">
        <v>956</v>
      </c>
      <c r="C157" s="10">
        <v>35951</v>
      </c>
      <c r="D157" t="s">
        <v>957</v>
      </c>
      <c r="E157" t="s">
        <v>958</v>
      </c>
      <c r="F157" t="s">
        <v>959</v>
      </c>
      <c r="G157" t="s">
        <v>960</v>
      </c>
      <c r="H157" s="11">
        <v>38755.7485185185</v>
      </c>
      <c r="I157" s="7" t="s">
        <v>33</v>
      </c>
    </row>
    <row r="158" spans="1:9" ht="15" customHeight="1" x14ac:dyDescent="0.3">
      <c r="A158" t="s">
        <v>961</v>
      </c>
      <c r="B158" t="s">
        <v>962</v>
      </c>
      <c r="C158" s="10">
        <v>35349</v>
      </c>
      <c r="D158" t="s">
        <v>963</v>
      </c>
      <c r="E158" t="s">
        <v>964</v>
      </c>
      <c r="F158" t="s">
        <v>965</v>
      </c>
      <c r="G158" t="s">
        <v>966</v>
      </c>
      <c r="H158" s="11">
        <v>40794.801296296297</v>
      </c>
      <c r="I158" s="7" t="s">
        <v>78</v>
      </c>
    </row>
    <row r="159" spans="1:9" ht="15" customHeight="1" x14ac:dyDescent="0.3">
      <c r="A159" t="s">
        <v>967</v>
      </c>
      <c r="B159" t="s">
        <v>968</v>
      </c>
      <c r="C159" s="10">
        <v>29493</v>
      </c>
      <c r="D159" t="s">
        <v>969</v>
      </c>
      <c r="E159" t="s">
        <v>970</v>
      </c>
      <c r="F159" t="s">
        <v>971</v>
      </c>
      <c r="G159" t="s">
        <v>972</v>
      </c>
      <c r="H159" s="11">
        <v>40683.351354166698</v>
      </c>
      <c r="I159" s="7" t="s">
        <v>78</v>
      </c>
    </row>
    <row r="160" spans="1:9" ht="15" customHeight="1" x14ac:dyDescent="0.3">
      <c r="A160" t="s">
        <v>973</v>
      </c>
      <c r="B160" t="s">
        <v>974</v>
      </c>
      <c r="C160" s="10">
        <v>35093</v>
      </c>
      <c r="D160" t="s">
        <v>975</v>
      </c>
      <c r="E160" t="s">
        <v>976</v>
      </c>
      <c r="F160" t="s">
        <v>977</v>
      </c>
      <c r="G160" t="s">
        <v>978</v>
      </c>
      <c r="H160" s="11">
        <v>39796.815173611103</v>
      </c>
      <c r="I160" s="7" t="s">
        <v>33</v>
      </c>
    </row>
    <row r="161" spans="1:9" ht="15" customHeight="1" x14ac:dyDescent="0.3">
      <c r="A161" t="s">
        <v>979</v>
      </c>
      <c r="B161" t="s">
        <v>980</v>
      </c>
      <c r="C161" s="10">
        <v>35038</v>
      </c>
      <c r="D161" t="s">
        <v>981</v>
      </c>
      <c r="E161" t="s">
        <v>982</v>
      </c>
      <c r="F161" t="s">
        <v>983</v>
      </c>
      <c r="G161" t="s">
        <v>984</v>
      </c>
      <c r="H161" s="11">
        <v>42835.193252314799</v>
      </c>
      <c r="I161" s="7" t="s">
        <v>52</v>
      </c>
    </row>
    <row r="162" spans="1:9" ht="15" customHeight="1" x14ac:dyDescent="0.3">
      <c r="A162" t="s">
        <v>985</v>
      </c>
      <c r="B162" t="s">
        <v>986</v>
      </c>
      <c r="C162" s="10">
        <v>36252</v>
      </c>
      <c r="D162" t="s">
        <v>987</v>
      </c>
      <c r="E162" t="s">
        <v>988</v>
      </c>
      <c r="F162" t="s">
        <v>989</v>
      </c>
      <c r="G162" t="s">
        <v>990</v>
      </c>
      <c r="H162" s="11">
        <v>43468.345856481501</v>
      </c>
      <c r="I162" s="7" t="s">
        <v>71</v>
      </c>
    </row>
    <row r="163" spans="1:9" ht="15" customHeight="1" x14ac:dyDescent="0.3">
      <c r="A163" t="s">
        <v>991</v>
      </c>
      <c r="B163" t="s">
        <v>992</v>
      </c>
      <c r="C163" s="10">
        <v>33555</v>
      </c>
      <c r="D163" t="s">
        <v>993</v>
      </c>
      <c r="E163" t="s">
        <v>994</v>
      </c>
      <c r="F163" t="s">
        <v>995</v>
      </c>
      <c r="G163" t="s">
        <v>996</v>
      </c>
      <c r="H163" s="11">
        <v>43458.449756944399</v>
      </c>
      <c r="I163" s="7" t="s">
        <v>52</v>
      </c>
    </row>
    <row r="164" spans="1:9" ht="15" customHeight="1" x14ac:dyDescent="0.3">
      <c r="A164" t="s">
        <v>997</v>
      </c>
      <c r="B164" t="s">
        <v>998</v>
      </c>
      <c r="C164" s="10">
        <v>34599</v>
      </c>
      <c r="D164" t="s">
        <v>999</v>
      </c>
      <c r="E164" t="s">
        <v>1000</v>
      </c>
      <c r="F164" t="s">
        <v>1001</v>
      </c>
      <c r="G164" t="s">
        <v>438</v>
      </c>
      <c r="H164" s="11">
        <v>42218.085104166697</v>
      </c>
      <c r="I164" s="7" t="s">
        <v>26</v>
      </c>
    </row>
    <row r="165" spans="1:9" ht="15" customHeight="1" x14ac:dyDescent="0.3">
      <c r="A165" t="s">
        <v>1002</v>
      </c>
      <c r="B165" t="s">
        <v>1003</v>
      </c>
      <c r="C165" s="10">
        <v>33725</v>
      </c>
      <c r="D165" t="s">
        <v>1004</v>
      </c>
      <c r="E165" t="s">
        <v>1005</v>
      </c>
      <c r="F165" t="s">
        <v>1006</v>
      </c>
      <c r="G165" t="s">
        <v>1007</v>
      </c>
      <c r="H165" s="11">
        <v>42824.387442129599</v>
      </c>
      <c r="I165" s="7" t="s">
        <v>33</v>
      </c>
    </row>
    <row r="166" spans="1:9" ht="15" customHeight="1" x14ac:dyDescent="0.3">
      <c r="A166" t="s">
        <v>1008</v>
      </c>
      <c r="B166" t="s">
        <v>1009</v>
      </c>
      <c r="C166" s="10">
        <v>36285</v>
      </c>
      <c r="D166" t="s">
        <v>1010</v>
      </c>
      <c r="E166" t="s">
        <v>1011</v>
      </c>
      <c r="F166" t="s">
        <v>1012</v>
      </c>
      <c r="G166" t="s">
        <v>1013</v>
      </c>
      <c r="H166" s="11">
        <v>43258.849386574097</v>
      </c>
      <c r="I166" s="7" t="s">
        <v>52</v>
      </c>
    </row>
    <row r="167" spans="1:9" ht="15" customHeight="1" x14ac:dyDescent="0.3">
      <c r="A167" t="s">
        <v>1014</v>
      </c>
      <c r="B167" t="s">
        <v>1015</v>
      </c>
      <c r="C167" s="10">
        <v>31596</v>
      </c>
      <c r="D167" t="s">
        <v>1016</v>
      </c>
      <c r="E167" t="s">
        <v>1017</v>
      </c>
      <c r="F167" t="s">
        <v>1018</v>
      </c>
      <c r="G167" t="s">
        <v>1019</v>
      </c>
      <c r="H167" s="11">
        <v>41661.019837963002</v>
      </c>
      <c r="I167" s="7" t="s">
        <v>78</v>
      </c>
    </row>
    <row r="168" spans="1:9" ht="15" customHeight="1" x14ac:dyDescent="0.3">
      <c r="A168" t="s">
        <v>1020</v>
      </c>
      <c r="B168" t="s">
        <v>1021</v>
      </c>
      <c r="C168" s="10">
        <v>36188</v>
      </c>
      <c r="D168" t="s">
        <v>1022</v>
      </c>
      <c r="E168" t="s">
        <v>1023</v>
      </c>
      <c r="F168" t="s">
        <v>1024</v>
      </c>
      <c r="G168" t="s">
        <v>1025</v>
      </c>
      <c r="H168" s="11">
        <v>39277.557569444398</v>
      </c>
      <c r="I168" s="7" t="s">
        <v>71</v>
      </c>
    </row>
    <row r="169" spans="1:9" ht="15" customHeight="1" x14ac:dyDescent="0.3">
      <c r="A169" t="s">
        <v>1026</v>
      </c>
      <c r="B169" t="s">
        <v>1027</v>
      </c>
      <c r="C169" s="10">
        <v>31722</v>
      </c>
      <c r="D169" t="s">
        <v>1028</v>
      </c>
      <c r="E169" t="s">
        <v>1029</v>
      </c>
      <c r="F169" t="s">
        <v>1030</v>
      </c>
      <c r="G169" t="s">
        <v>1031</v>
      </c>
      <c r="H169" s="11">
        <v>40265.3842939815</v>
      </c>
      <c r="I169" s="7" t="s">
        <v>33</v>
      </c>
    </row>
    <row r="170" spans="1:9" ht="15" customHeight="1" x14ac:dyDescent="0.3">
      <c r="A170" t="s">
        <v>1032</v>
      </c>
      <c r="B170" t="s">
        <v>1033</v>
      </c>
      <c r="C170" s="10">
        <v>28278</v>
      </c>
      <c r="D170" t="s">
        <v>1034</v>
      </c>
      <c r="E170" t="s">
        <v>1035</v>
      </c>
      <c r="F170" t="s">
        <v>1036</v>
      </c>
      <c r="G170" t="s">
        <v>1037</v>
      </c>
      <c r="H170" s="11">
        <v>39303.364722222199</v>
      </c>
      <c r="I170" s="7" t="s">
        <v>33</v>
      </c>
    </row>
    <row r="171" spans="1:9" ht="15" customHeight="1" x14ac:dyDescent="0.3">
      <c r="A171" t="s">
        <v>1038</v>
      </c>
      <c r="B171" t="s">
        <v>1039</v>
      </c>
      <c r="C171" s="10">
        <v>29942</v>
      </c>
      <c r="D171" t="s">
        <v>1040</v>
      </c>
      <c r="E171" t="s">
        <v>1041</v>
      </c>
      <c r="F171" t="s">
        <v>1042</v>
      </c>
      <c r="G171" t="s">
        <v>1043</v>
      </c>
      <c r="H171" s="11">
        <v>41048.3762615741</v>
      </c>
      <c r="I171" s="7" t="s">
        <v>52</v>
      </c>
    </row>
    <row r="172" spans="1:9" ht="15" customHeight="1" x14ac:dyDescent="0.3">
      <c r="A172" t="s">
        <v>1044</v>
      </c>
      <c r="B172" t="s">
        <v>1045</v>
      </c>
      <c r="C172" s="10">
        <v>34761</v>
      </c>
      <c r="D172" t="s">
        <v>1046</v>
      </c>
      <c r="E172" t="s">
        <v>1047</v>
      </c>
      <c r="F172" t="s">
        <v>1048</v>
      </c>
      <c r="G172" t="s">
        <v>1049</v>
      </c>
      <c r="H172" s="11">
        <v>40408.673796296302</v>
      </c>
      <c r="I172" s="7" t="s">
        <v>71</v>
      </c>
    </row>
    <row r="173" spans="1:9" ht="15" customHeight="1" x14ac:dyDescent="0.3">
      <c r="A173" t="s">
        <v>1050</v>
      </c>
      <c r="B173" t="s">
        <v>1051</v>
      </c>
      <c r="C173" s="10">
        <v>32249</v>
      </c>
      <c r="D173" t="s">
        <v>1052</v>
      </c>
      <c r="E173" t="s">
        <v>1053</v>
      </c>
      <c r="F173" t="s">
        <v>1054</v>
      </c>
      <c r="G173" t="s">
        <v>1055</v>
      </c>
      <c r="H173" s="11">
        <v>41141.281817129602</v>
      </c>
      <c r="I173" s="7" t="s">
        <v>78</v>
      </c>
    </row>
    <row r="174" spans="1:9" ht="15" customHeight="1" x14ac:dyDescent="0.3">
      <c r="A174" t="s">
        <v>1056</v>
      </c>
      <c r="B174" t="s">
        <v>1057</v>
      </c>
      <c r="C174" s="10">
        <v>29102</v>
      </c>
      <c r="D174" t="s">
        <v>1058</v>
      </c>
      <c r="E174" t="s">
        <v>1059</v>
      </c>
      <c r="F174" t="s">
        <v>1060</v>
      </c>
      <c r="G174" t="s">
        <v>864</v>
      </c>
      <c r="H174" s="11">
        <v>39809.3416782407</v>
      </c>
      <c r="I174" s="7" t="s">
        <v>26</v>
      </c>
    </row>
    <row r="175" spans="1:9" ht="15" customHeight="1" x14ac:dyDescent="0.3">
      <c r="A175" t="s">
        <v>1061</v>
      </c>
      <c r="B175" t="s">
        <v>1062</v>
      </c>
      <c r="C175" s="10">
        <v>30836</v>
      </c>
      <c r="D175" t="s">
        <v>1063</v>
      </c>
      <c r="E175" t="s">
        <v>1064</v>
      </c>
      <c r="F175" t="s">
        <v>1065</v>
      </c>
      <c r="G175" t="s">
        <v>1066</v>
      </c>
      <c r="H175" s="11">
        <v>43783.998252314799</v>
      </c>
      <c r="I175" s="7" t="s">
        <v>33</v>
      </c>
    </row>
    <row r="176" spans="1:9" ht="15" customHeight="1" x14ac:dyDescent="0.3">
      <c r="A176" t="s">
        <v>1067</v>
      </c>
      <c r="B176" t="s">
        <v>1068</v>
      </c>
      <c r="C176" s="10">
        <v>33334</v>
      </c>
      <c r="D176" t="s">
        <v>1069</v>
      </c>
      <c r="E176" t="s">
        <v>1070</v>
      </c>
      <c r="F176" t="s">
        <v>1071</v>
      </c>
      <c r="G176" t="s">
        <v>1072</v>
      </c>
      <c r="H176" s="11">
        <v>43944.822662036997</v>
      </c>
      <c r="I176" s="7" t="s">
        <v>33</v>
      </c>
    </row>
    <row r="177" spans="1:9" ht="15" customHeight="1" x14ac:dyDescent="0.3">
      <c r="A177" t="s">
        <v>1073</v>
      </c>
      <c r="B177" t="s">
        <v>1074</v>
      </c>
      <c r="C177" s="10">
        <v>35844</v>
      </c>
      <c r="D177" t="s">
        <v>1075</v>
      </c>
      <c r="E177" t="s">
        <v>1076</v>
      </c>
      <c r="F177" t="s">
        <v>1077</v>
      </c>
      <c r="G177" t="s">
        <v>1078</v>
      </c>
      <c r="H177" s="11">
        <v>40832.9617939815</v>
      </c>
      <c r="I177" s="7" t="s">
        <v>52</v>
      </c>
    </row>
    <row r="178" spans="1:9" ht="15" customHeight="1" x14ac:dyDescent="0.3">
      <c r="A178" t="s">
        <v>1079</v>
      </c>
      <c r="B178" t="s">
        <v>1080</v>
      </c>
      <c r="C178" s="10">
        <v>29223</v>
      </c>
      <c r="D178" t="s">
        <v>1081</v>
      </c>
      <c r="E178" t="s">
        <v>1082</v>
      </c>
      <c r="F178" t="s">
        <v>1083</v>
      </c>
      <c r="G178" t="s">
        <v>1084</v>
      </c>
      <c r="H178" s="11">
        <v>43008.955312500002</v>
      </c>
      <c r="I178" s="7" t="s">
        <v>33</v>
      </c>
    </row>
    <row r="179" spans="1:9" ht="15" customHeight="1" x14ac:dyDescent="0.3">
      <c r="A179" t="s">
        <v>1085</v>
      </c>
      <c r="B179" t="s">
        <v>1086</v>
      </c>
      <c r="C179" s="10">
        <v>26024</v>
      </c>
      <c r="D179" t="s">
        <v>1087</v>
      </c>
      <c r="E179" t="s">
        <v>1088</v>
      </c>
      <c r="F179" t="s">
        <v>1089</v>
      </c>
      <c r="G179" t="s">
        <v>1090</v>
      </c>
      <c r="H179" s="11">
        <v>41936.5493518519</v>
      </c>
      <c r="I179" s="7" t="s">
        <v>33</v>
      </c>
    </row>
    <row r="180" spans="1:9" ht="15" customHeight="1" x14ac:dyDescent="0.3">
      <c r="A180" t="s">
        <v>1091</v>
      </c>
      <c r="B180" t="s">
        <v>1092</v>
      </c>
      <c r="C180" s="10">
        <v>31696</v>
      </c>
      <c r="D180" t="s">
        <v>1093</v>
      </c>
      <c r="E180" t="s">
        <v>1094</v>
      </c>
      <c r="F180" t="s">
        <v>1095</v>
      </c>
      <c r="G180" t="s">
        <v>1096</v>
      </c>
      <c r="H180" s="11">
        <v>42563.7243171296</v>
      </c>
      <c r="I180" s="7" t="s">
        <v>33</v>
      </c>
    </row>
    <row r="181" spans="1:9" ht="15" customHeight="1" x14ac:dyDescent="0.3">
      <c r="A181" t="s">
        <v>1097</v>
      </c>
      <c r="B181" t="s">
        <v>1098</v>
      </c>
      <c r="C181" s="10">
        <v>34155</v>
      </c>
      <c r="D181" t="s">
        <v>1099</v>
      </c>
      <c r="E181" t="s">
        <v>1100</v>
      </c>
      <c r="F181" t="s">
        <v>1101</v>
      </c>
      <c r="G181" t="s">
        <v>1102</v>
      </c>
      <c r="H181" s="11">
        <v>40483.128506944398</v>
      </c>
      <c r="I181" s="7" t="s">
        <v>33</v>
      </c>
    </row>
    <row r="182" spans="1:9" ht="15" customHeight="1" x14ac:dyDescent="0.3">
      <c r="A182" t="s">
        <v>1103</v>
      </c>
      <c r="B182" t="s">
        <v>1104</v>
      </c>
      <c r="C182" s="10">
        <v>30023</v>
      </c>
      <c r="D182" t="s">
        <v>1105</v>
      </c>
      <c r="E182" t="s">
        <v>1106</v>
      </c>
      <c r="F182" t="s">
        <v>1107</v>
      </c>
      <c r="G182" t="s">
        <v>1108</v>
      </c>
      <c r="H182" s="11">
        <v>38610.065729166701</v>
      </c>
      <c r="I182" s="7" t="s">
        <v>71</v>
      </c>
    </row>
    <row r="183" spans="1:9" ht="15" customHeight="1" x14ac:dyDescent="0.3">
      <c r="A183" t="s">
        <v>1109</v>
      </c>
      <c r="B183" t="s">
        <v>1110</v>
      </c>
      <c r="C183" s="10">
        <v>28292</v>
      </c>
      <c r="D183" t="s">
        <v>1111</v>
      </c>
      <c r="E183" t="s">
        <v>1112</v>
      </c>
      <c r="F183" t="s">
        <v>1113</v>
      </c>
      <c r="G183" t="s">
        <v>1114</v>
      </c>
      <c r="H183" s="11">
        <v>40825.839340277802</v>
      </c>
      <c r="I183" s="7" t="s">
        <v>52</v>
      </c>
    </row>
    <row r="184" spans="1:9" ht="15" customHeight="1" x14ac:dyDescent="0.3">
      <c r="A184" t="s">
        <v>1115</v>
      </c>
      <c r="B184" t="s">
        <v>1116</v>
      </c>
      <c r="C184" s="10">
        <v>28155</v>
      </c>
      <c r="D184" t="s">
        <v>1117</v>
      </c>
      <c r="E184" t="s">
        <v>1118</v>
      </c>
      <c r="F184" t="s">
        <v>1119</v>
      </c>
      <c r="G184" t="s">
        <v>1120</v>
      </c>
      <c r="H184" s="11">
        <v>38560.905972222201</v>
      </c>
      <c r="I184" s="7" t="s">
        <v>71</v>
      </c>
    </row>
    <row r="185" spans="1:9" ht="15" customHeight="1" x14ac:dyDescent="0.3">
      <c r="A185" t="s">
        <v>1121</v>
      </c>
      <c r="B185" t="s">
        <v>1122</v>
      </c>
      <c r="C185" s="10">
        <v>36088</v>
      </c>
      <c r="D185" t="s">
        <v>1123</v>
      </c>
      <c r="E185" t="s">
        <v>1124</v>
      </c>
      <c r="F185" t="s">
        <v>1125</v>
      </c>
      <c r="G185" t="s">
        <v>1126</v>
      </c>
      <c r="H185" s="11">
        <v>40374.850636574098</v>
      </c>
      <c r="I185" s="7" t="s">
        <v>52</v>
      </c>
    </row>
    <row r="186" spans="1:9" ht="15" customHeight="1" x14ac:dyDescent="0.3">
      <c r="A186" t="s">
        <v>1127</v>
      </c>
      <c r="B186" t="s">
        <v>1128</v>
      </c>
      <c r="C186" s="10">
        <v>34328</v>
      </c>
      <c r="D186" t="s">
        <v>1129</v>
      </c>
      <c r="E186" t="s">
        <v>1130</v>
      </c>
      <c r="F186" t="s">
        <v>1131</v>
      </c>
      <c r="G186" t="s">
        <v>1132</v>
      </c>
      <c r="H186" s="11">
        <v>39312.835243055597</v>
      </c>
      <c r="I186" s="7" t="s">
        <v>52</v>
      </c>
    </row>
    <row r="187" spans="1:9" ht="15" customHeight="1" x14ac:dyDescent="0.3">
      <c r="A187" t="s">
        <v>1133</v>
      </c>
      <c r="B187" t="s">
        <v>1134</v>
      </c>
      <c r="C187" s="10">
        <v>31986</v>
      </c>
      <c r="D187" t="s">
        <v>1135</v>
      </c>
      <c r="E187" t="s">
        <v>1136</v>
      </c>
      <c r="F187" t="s">
        <v>1137</v>
      </c>
      <c r="G187" t="s">
        <v>1138</v>
      </c>
      <c r="H187" s="11">
        <v>42573.454733796301</v>
      </c>
      <c r="I187" s="7" t="s">
        <v>52</v>
      </c>
    </row>
    <row r="188" spans="1:9" ht="15" customHeight="1" x14ac:dyDescent="0.3">
      <c r="A188" t="s">
        <v>1139</v>
      </c>
      <c r="B188" t="s">
        <v>1140</v>
      </c>
      <c r="C188" s="10">
        <v>28373</v>
      </c>
      <c r="D188" t="s">
        <v>1141</v>
      </c>
      <c r="E188" t="s">
        <v>1142</v>
      </c>
      <c r="F188" t="s">
        <v>1143</v>
      </c>
      <c r="G188" t="s">
        <v>1144</v>
      </c>
      <c r="H188" s="11">
        <v>38607.7578125</v>
      </c>
      <c r="I188" s="7" t="s">
        <v>33</v>
      </c>
    </row>
    <row r="189" spans="1:9" ht="15" customHeight="1" x14ac:dyDescent="0.3">
      <c r="A189" t="s">
        <v>1145</v>
      </c>
      <c r="B189" t="s">
        <v>1146</v>
      </c>
      <c r="C189" s="10">
        <v>32429</v>
      </c>
      <c r="D189" t="s">
        <v>1147</v>
      </c>
      <c r="E189" t="s">
        <v>1148</v>
      </c>
      <c r="F189" t="s">
        <v>1149</v>
      </c>
      <c r="G189" t="s">
        <v>1150</v>
      </c>
      <c r="H189" s="11">
        <v>41507.680972222202</v>
      </c>
      <c r="I189" s="7" t="s">
        <v>33</v>
      </c>
    </row>
    <row r="190" spans="1:9" ht="15" customHeight="1" x14ac:dyDescent="0.3">
      <c r="A190" t="s">
        <v>1151</v>
      </c>
      <c r="B190" t="s">
        <v>1152</v>
      </c>
      <c r="C190" s="10">
        <v>28367</v>
      </c>
      <c r="D190" t="s">
        <v>1153</v>
      </c>
      <c r="E190" t="s">
        <v>1154</v>
      </c>
      <c r="F190" t="s">
        <v>1155</v>
      </c>
      <c r="G190" t="s">
        <v>1156</v>
      </c>
      <c r="H190" s="11">
        <v>39051.2338310185</v>
      </c>
      <c r="I190" s="7" t="s">
        <v>52</v>
      </c>
    </row>
    <row r="191" spans="1:9" ht="15" customHeight="1" x14ac:dyDescent="0.3">
      <c r="A191" t="s">
        <v>1157</v>
      </c>
      <c r="B191" t="s">
        <v>1158</v>
      </c>
      <c r="C191" s="10">
        <v>25720</v>
      </c>
      <c r="D191" t="s">
        <v>1159</v>
      </c>
      <c r="E191" t="s">
        <v>1160</v>
      </c>
      <c r="F191" t="s">
        <v>1161</v>
      </c>
      <c r="G191" t="s">
        <v>1162</v>
      </c>
      <c r="H191" s="11">
        <v>41318.354768518497</v>
      </c>
      <c r="I191" s="7" t="s">
        <v>71</v>
      </c>
    </row>
    <row r="192" spans="1:9" ht="15" customHeight="1" x14ac:dyDescent="0.3">
      <c r="A192" t="s">
        <v>1163</v>
      </c>
      <c r="B192" t="s">
        <v>1164</v>
      </c>
      <c r="C192" s="10">
        <v>27720</v>
      </c>
      <c r="D192" t="s">
        <v>1165</v>
      </c>
      <c r="E192" t="s">
        <v>1166</v>
      </c>
      <c r="F192" t="s">
        <v>1167</v>
      </c>
      <c r="G192" t="s">
        <v>1168</v>
      </c>
      <c r="H192" s="11">
        <v>43485.755324074104</v>
      </c>
      <c r="I192" s="7" t="s">
        <v>52</v>
      </c>
    </row>
    <row r="193" spans="1:9" ht="15" customHeight="1" x14ac:dyDescent="0.3">
      <c r="A193" t="s">
        <v>1169</v>
      </c>
      <c r="B193" t="s">
        <v>1170</v>
      </c>
      <c r="C193" s="10">
        <v>27517</v>
      </c>
      <c r="D193" t="s">
        <v>1171</v>
      </c>
      <c r="E193" t="s">
        <v>1172</v>
      </c>
      <c r="F193" t="s">
        <v>1173</v>
      </c>
      <c r="G193" t="s">
        <v>1174</v>
      </c>
      <c r="H193" s="11">
        <v>41841.380231481497</v>
      </c>
      <c r="I193" s="7" t="s">
        <v>33</v>
      </c>
    </row>
    <row r="194" spans="1:9" ht="15" customHeight="1" x14ac:dyDescent="0.3">
      <c r="A194" t="s">
        <v>1175</v>
      </c>
      <c r="B194" t="s">
        <v>1176</v>
      </c>
      <c r="C194" s="10">
        <v>35367</v>
      </c>
      <c r="D194" t="s">
        <v>1177</v>
      </c>
      <c r="E194" t="s">
        <v>1178</v>
      </c>
      <c r="F194" t="s">
        <v>1179</v>
      </c>
      <c r="G194" t="s">
        <v>1180</v>
      </c>
      <c r="H194" s="11">
        <v>39204.742627314801</v>
      </c>
      <c r="I194" s="7" t="s">
        <v>52</v>
      </c>
    </row>
    <row r="195" spans="1:9" ht="15" customHeight="1" x14ac:dyDescent="0.3">
      <c r="A195" t="s">
        <v>1181</v>
      </c>
      <c r="B195" t="s">
        <v>1182</v>
      </c>
      <c r="C195" s="10">
        <v>32776</v>
      </c>
      <c r="D195" t="s">
        <v>1183</v>
      </c>
      <c r="E195" t="s">
        <v>1184</v>
      </c>
      <c r="F195" t="s">
        <v>1185</v>
      </c>
      <c r="G195" t="s">
        <v>1186</v>
      </c>
      <c r="H195" s="11">
        <v>39180.475601851896</v>
      </c>
      <c r="I195" s="7" t="s">
        <v>52</v>
      </c>
    </row>
    <row r="196" spans="1:9" ht="15" customHeight="1" x14ac:dyDescent="0.3">
      <c r="A196" t="s">
        <v>1187</v>
      </c>
      <c r="B196" t="s">
        <v>1188</v>
      </c>
      <c r="C196" s="10">
        <v>34250</v>
      </c>
      <c r="D196" t="s">
        <v>1189</v>
      </c>
      <c r="E196" t="s">
        <v>1190</v>
      </c>
      <c r="F196" t="s">
        <v>1191</v>
      </c>
      <c r="G196" t="s">
        <v>1192</v>
      </c>
      <c r="H196" s="11">
        <v>38751.7487384259</v>
      </c>
      <c r="I196" s="7" t="s">
        <v>26</v>
      </c>
    </row>
    <row r="197" spans="1:9" ht="15" customHeight="1" x14ac:dyDescent="0.3">
      <c r="A197" t="s">
        <v>1193</v>
      </c>
      <c r="B197" t="s">
        <v>1194</v>
      </c>
      <c r="C197" s="10">
        <v>35916</v>
      </c>
      <c r="D197" t="s">
        <v>1195</v>
      </c>
      <c r="E197" t="s">
        <v>1196</v>
      </c>
      <c r="F197" t="s">
        <v>1197</v>
      </c>
      <c r="G197" t="s">
        <v>1198</v>
      </c>
      <c r="H197" s="11">
        <v>38468.927534722199</v>
      </c>
      <c r="I197" s="7" t="s">
        <v>52</v>
      </c>
    </row>
    <row r="198" spans="1:9" ht="15" customHeight="1" x14ac:dyDescent="0.3">
      <c r="A198" t="s">
        <v>1199</v>
      </c>
      <c r="B198" t="s">
        <v>1200</v>
      </c>
      <c r="C198" s="10">
        <v>34994</v>
      </c>
      <c r="D198" t="s">
        <v>1201</v>
      </c>
      <c r="E198" t="s">
        <v>1202</v>
      </c>
      <c r="F198" t="s">
        <v>1203</v>
      </c>
      <c r="G198" t="s">
        <v>1204</v>
      </c>
      <c r="H198" s="11">
        <v>42544.160358796304</v>
      </c>
      <c r="I198" s="7" t="s">
        <v>33</v>
      </c>
    </row>
    <row r="199" spans="1:9" ht="15" customHeight="1" x14ac:dyDescent="0.3">
      <c r="A199" t="s">
        <v>1205</v>
      </c>
      <c r="B199" t="s">
        <v>1206</v>
      </c>
      <c r="C199" s="10">
        <v>30728</v>
      </c>
      <c r="D199" t="s">
        <v>1207</v>
      </c>
      <c r="E199" t="s">
        <v>1208</v>
      </c>
      <c r="F199" t="s">
        <v>1209</v>
      </c>
      <c r="G199" t="s">
        <v>1210</v>
      </c>
      <c r="H199" s="11">
        <v>42433.511689814797</v>
      </c>
      <c r="I199" s="7" t="s">
        <v>33</v>
      </c>
    </row>
    <row r="200" spans="1:9" ht="15" customHeight="1" x14ac:dyDescent="0.3">
      <c r="A200" t="s">
        <v>1211</v>
      </c>
      <c r="B200" t="s">
        <v>1212</v>
      </c>
      <c r="C200" s="10">
        <v>28005</v>
      </c>
      <c r="D200" t="s">
        <v>1213</v>
      </c>
      <c r="E200" t="s">
        <v>1214</v>
      </c>
      <c r="F200" t="s">
        <v>1215</v>
      </c>
      <c r="G200" t="s">
        <v>1216</v>
      </c>
      <c r="H200" s="11">
        <v>39222.768402777801</v>
      </c>
      <c r="I200" s="7" t="s">
        <v>71</v>
      </c>
    </row>
    <row r="201" spans="1:9" ht="15" customHeight="1" x14ac:dyDescent="0.3">
      <c r="A201" t="s">
        <v>1217</v>
      </c>
      <c r="B201" t="s">
        <v>1218</v>
      </c>
      <c r="C201" s="10">
        <v>36027</v>
      </c>
      <c r="D201" t="s">
        <v>1219</v>
      </c>
      <c r="E201" t="s">
        <v>1220</v>
      </c>
      <c r="F201" t="s">
        <v>1221</v>
      </c>
      <c r="G201" t="s">
        <v>1222</v>
      </c>
      <c r="H201" s="11">
        <v>42516.177430555603</v>
      </c>
      <c r="I201" s="7" t="s">
        <v>26</v>
      </c>
    </row>
    <row r="202" spans="1:9" ht="15" customHeight="1" x14ac:dyDescent="0.3">
      <c r="A202" t="s">
        <v>1223</v>
      </c>
      <c r="B202" t="s">
        <v>1224</v>
      </c>
      <c r="C202" s="10">
        <v>26381</v>
      </c>
      <c r="D202" t="s">
        <v>1225</v>
      </c>
      <c r="E202" t="s">
        <v>1226</v>
      </c>
      <c r="F202" t="s">
        <v>1227</v>
      </c>
      <c r="G202" t="s">
        <v>1228</v>
      </c>
      <c r="H202" s="11">
        <v>41844.772916666698</v>
      </c>
      <c r="I202" s="7" t="s">
        <v>26</v>
      </c>
    </row>
    <row r="203" spans="1:9" ht="15" customHeight="1" x14ac:dyDescent="0.3">
      <c r="A203" t="s">
        <v>1229</v>
      </c>
      <c r="B203" t="s">
        <v>1230</v>
      </c>
      <c r="C203" s="10">
        <v>26305</v>
      </c>
      <c r="D203" t="s">
        <v>1231</v>
      </c>
      <c r="E203" t="s">
        <v>1232</v>
      </c>
      <c r="F203" t="s">
        <v>1233</v>
      </c>
      <c r="G203" t="s">
        <v>1234</v>
      </c>
      <c r="H203" s="11">
        <v>40882.767650463</v>
      </c>
      <c r="I203" s="7" t="s">
        <v>26</v>
      </c>
    </row>
    <row r="204" spans="1:9" ht="15" customHeight="1" x14ac:dyDescent="0.3">
      <c r="A204" t="s">
        <v>1235</v>
      </c>
      <c r="B204" t="s">
        <v>1236</v>
      </c>
      <c r="C204" s="10">
        <v>25871</v>
      </c>
      <c r="D204" t="s">
        <v>1237</v>
      </c>
      <c r="E204" t="s">
        <v>1238</v>
      </c>
      <c r="F204" t="s">
        <v>1239</v>
      </c>
      <c r="G204" t="s">
        <v>1240</v>
      </c>
      <c r="H204" s="11">
        <v>41479.135949074102</v>
      </c>
      <c r="I204" s="7" t="s">
        <v>26</v>
      </c>
    </row>
    <row r="205" spans="1:9" ht="15" customHeight="1" x14ac:dyDescent="0.3">
      <c r="A205" t="s">
        <v>1241</v>
      </c>
      <c r="B205" t="s">
        <v>1242</v>
      </c>
      <c r="C205" s="10">
        <v>34403</v>
      </c>
      <c r="D205" t="s">
        <v>1243</v>
      </c>
      <c r="E205" t="s">
        <v>1244</v>
      </c>
      <c r="F205" t="s">
        <v>1245</v>
      </c>
      <c r="G205" t="s">
        <v>1246</v>
      </c>
      <c r="H205" s="11">
        <v>43706.590740740699</v>
      </c>
      <c r="I205" s="7" t="s">
        <v>26</v>
      </c>
    </row>
    <row r="206" spans="1:9" ht="15" customHeight="1" x14ac:dyDescent="0.3">
      <c r="A206" t="s">
        <v>1247</v>
      </c>
      <c r="B206" t="s">
        <v>1248</v>
      </c>
      <c r="C206" s="10">
        <v>25615</v>
      </c>
      <c r="D206" t="s">
        <v>1249</v>
      </c>
      <c r="E206" t="s">
        <v>1250</v>
      </c>
      <c r="F206" t="s">
        <v>1251</v>
      </c>
      <c r="G206" t="s">
        <v>1252</v>
      </c>
      <c r="H206" s="11">
        <v>43122.329305555599</v>
      </c>
      <c r="I206" s="7" t="s">
        <v>52</v>
      </c>
    </row>
    <row r="207" spans="1:9" ht="15" customHeight="1" x14ac:dyDescent="0.3">
      <c r="A207" t="s">
        <v>1253</v>
      </c>
      <c r="B207" t="s">
        <v>1254</v>
      </c>
      <c r="C207" s="10">
        <v>26643</v>
      </c>
      <c r="D207" t="s">
        <v>1255</v>
      </c>
      <c r="E207" t="s">
        <v>1256</v>
      </c>
      <c r="F207" t="s">
        <v>1257</v>
      </c>
      <c r="G207" t="s">
        <v>1258</v>
      </c>
      <c r="H207" s="11">
        <v>43606.516145833302</v>
      </c>
      <c r="I207" s="7" t="s">
        <v>52</v>
      </c>
    </row>
    <row r="208" spans="1:9" ht="15" customHeight="1" x14ac:dyDescent="0.3">
      <c r="A208" t="s">
        <v>1259</v>
      </c>
      <c r="B208" t="s">
        <v>1260</v>
      </c>
      <c r="C208" s="10">
        <v>32866</v>
      </c>
      <c r="D208" t="s">
        <v>1261</v>
      </c>
      <c r="E208" t="s">
        <v>1262</v>
      </c>
      <c r="F208" t="s">
        <v>1263</v>
      </c>
      <c r="G208" t="s">
        <v>1264</v>
      </c>
      <c r="H208" s="11">
        <v>43637.900636574101</v>
      </c>
      <c r="I208" s="7" t="s">
        <v>33</v>
      </c>
    </row>
    <row r="209" spans="1:9" ht="15" customHeight="1" x14ac:dyDescent="0.3">
      <c r="A209" t="s">
        <v>1265</v>
      </c>
      <c r="B209" t="s">
        <v>1266</v>
      </c>
      <c r="C209" s="10">
        <v>32536</v>
      </c>
      <c r="D209" t="s">
        <v>1267</v>
      </c>
      <c r="E209" t="s">
        <v>1268</v>
      </c>
      <c r="F209" t="s">
        <v>1269</v>
      </c>
      <c r="G209" t="s">
        <v>1270</v>
      </c>
      <c r="H209" s="11">
        <v>40993.195543981499</v>
      </c>
      <c r="I209" s="7" t="s">
        <v>26</v>
      </c>
    </row>
    <row r="210" spans="1:9" ht="15" customHeight="1" x14ac:dyDescent="0.3">
      <c r="A210" t="s">
        <v>1271</v>
      </c>
      <c r="B210" t="s">
        <v>1272</v>
      </c>
      <c r="C210" s="10">
        <v>35716</v>
      </c>
      <c r="D210" t="s">
        <v>1273</v>
      </c>
      <c r="E210" t="s">
        <v>1274</v>
      </c>
      <c r="F210" t="s">
        <v>1275</v>
      </c>
      <c r="G210" t="s">
        <v>1276</v>
      </c>
      <c r="H210" s="11">
        <v>38781.127754629597</v>
      </c>
      <c r="I210" s="7" t="s">
        <v>33</v>
      </c>
    </row>
    <row r="211" spans="1:9" ht="15" customHeight="1" x14ac:dyDescent="0.3">
      <c r="A211" t="s">
        <v>1277</v>
      </c>
      <c r="B211" t="s">
        <v>1278</v>
      </c>
      <c r="C211" s="10">
        <v>26515</v>
      </c>
      <c r="D211" t="s">
        <v>1279</v>
      </c>
      <c r="E211" t="s">
        <v>1280</v>
      </c>
      <c r="F211" t="s">
        <v>1281</v>
      </c>
      <c r="G211" t="s">
        <v>1282</v>
      </c>
      <c r="H211" s="11">
        <v>39263.142708333296</v>
      </c>
      <c r="I211" s="7" t="s">
        <v>71</v>
      </c>
    </row>
    <row r="212" spans="1:9" ht="15" customHeight="1" x14ac:dyDescent="0.3">
      <c r="A212" t="s">
        <v>1283</v>
      </c>
      <c r="B212" t="s">
        <v>1284</v>
      </c>
      <c r="C212" s="10">
        <v>35890</v>
      </c>
      <c r="D212" t="s">
        <v>1285</v>
      </c>
      <c r="E212" t="s">
        <v>1286</v>
      </c>
      <c r="F212" t="s">
        <v>1287</v>
      </c>
      <c r="G212" t="s">
        <v>1288</v>
      </c>
      <c r="H212" s="11">
        <v>42934.617800925902</v>
      </c>
      <c r="I212" s="7" t="s">
        <v>52</v>
      </c>
    </row>
    <row r="213" spans="1:9" ht="15" customHeight="1" x14ac:dyDescent="0.3">
      <c r="A213" t="s">
        <v>1289</v>
      </c>
      <c r="B213" t="s">
        <v>1290</v>
      </c>
      <c r="C213" s="10">
        <v>29165</v>
      </c>
      <c r="D213" t="s">
        <v>1291</v>
      </c>
      <c r="E213" t="s">
        <v>1292</v>
      </c>
      <c r="F213" t="s">
        <v>1293</v>
      </c>
      <c r="G213" t="s">
        <v>378</v>
      </c>
      <c r="H213" s="11">
        <v>39320.900439814803</v>
      </c>
      <c r="I213" s="7" t="s">
        <v>71</v>
      </c>
    </row>
    <row r="214" spans="1:9" ht="15" customHeight="1" x14ac:dyDescent="0.3">
      <c r="A214" t="s">
        <v>1294</v>
      </c>
      <c r="B214" t="s">
        <v>1295</v>
      </c>
      <c r="C214" s="10">
        <v>30020</v>
      </c>
      <c r="D214" t="s">
        <v>1296</v>
      </c>
      <c r="E214" t="s">
        <v>1297</v>
      </c>
      <c r="F214" t="s">
        <v>1298</v>
      </c>
      <c r="G214" t="s">
        <v>1299</v>
      </c>
      <c r="H214" s="11">
        <v>42596.214780092603</v>
      </c>
      <c r="I214" s="7" t="s">
        <v>78</v>
      </c>
    </row>
    <row r="215" spans="1:9" ht="15" customHeight="1" x14ac:dyDescent="0.3">
      <c r="A215" t="s">
        <v>1300</v>
      </c>
      <c r="B215" t="s">
        <v>1301</v>
      </c>
      <c r="C215" s="10">
        <v>29981</v>
      </c>
      <c r="D215" t="s">
        <v>1302</v>
      </c>
      <c r="E215" t="s">
        <v>1303</v>
      </c>
      <c r="F215" t="s">
        <v>1304</v>
      </c>
      <c r="G215" t="s">
        <v>1305</v>
      </c>
      <c r="H215" s="11">
        <v>43842.537233796298</v>
      </c>
      <c r="I215" s="7" t="s">
        <v>26</v>
      </c>
    </row>
    <row r="216" spans="1:9" ht="15" customHeight="1" x14ac:dyDescent="0.3">
      <c r="A216" t="s">
        <v>1306</v>
      </c>
      <c r="B216" t="s">
        <v>1307</v>
      </c>
      <c r="C216" s="10">
        <v>29372</v>
      </c>
      <c r="D216" t="s">
        <v>1308</v>
      </c>
      <c r="E216" t="s">
        <v>1309</v>
      </c>
      <c r="F216" t="s">
        <v>1310</v>
      </c>
      <c r="G216" t="s">
        <v>1311</v>
      </c>
      <c r="H216" s="11">
        <v>38851.533287036997</v>
      </c>
      <c r="I216" s="7" t="s">
        <v>26</v>
      </c>
    </row>
    <row r="217" spans="1:9" ht="15" customHeight="1" x14ac:dyDescent="0.3">
      <c r="A217" t="s">
        <v>1312</v>
      </c>
      <c r="B217" t="s">
        <v>1313</v>
      </c>
      <c r="C217" s="10">
        <v>34787</v>
      </c>
      <c r="D217" t="s">
        <v>1314</v>
      </c>
      <c r="E217" t="s">
        <v>1315</v>
      </c>
      <c r="F217" t="s">
        <v>1316</v>
      </c>
      <c r="G217" t="s">
        <v>1317</v>
      </c>
      <c r="H217" s="11">
        <v>40392.918576388904</v>
      </c>
      <c r="I217" s="7" t="s">
        <v>78</v>
      </c>
    </row>
    <row r="218" spans="1:9" ht="15" customHeight="1" x14ac:dyDescent="0.3">
      <c r="A218" t="s">
        <v>1318</v>
      </c>
      <c r="B218" t="s">
        <v>1319</v>
      </c>
      <c r="C218" s="10">
        <v>27650</v>
      </c>
      <c r="D218" t="s">
        <v>1320</v>
      </c>
      <c r="E218" t="s">
        <v>1321</v>
      </c>
      <c r="F218" t="s">
        <v>1322</v>
      </c>
      <c r="G218" t="s">
        <v>1323</v>
      </c>
      <c r="H218" s="11">
        <v>41392.874699074098</v>
      </c>
      <c r="I218" s="7" t="s">
        <v>78</v>
      </c>
    </row>
    <row r="219" spans="1:9" ht="15" customHeight="1" x14ac:dyDescent="0.3">
      <c r="A219" t="s">
        <v>1324</v>
      </c>
      <c r="B219" t="s">
        <v>1325</v>
      </c>
      <c r="C219" s="10">
        <v>29621</v>
      </c>
      <c r="D219" t="s">
        <v>1326</v>
      </c>
      <c r="E219" t="s">
        <v>1327</v>
      </c>
      <c r="F219" t="s">
        <v>1328</v>
      </c>
      <c r="G219" t="s">
        <v>1329</v>
      </c>
      <c r="H219" s="11">
        <v>43798.574988425898</v>
      </c>
      <c r="I219" s="7" t="s">
        <v>78</v>
      </c>
    </row>
    <row r="220" spans="1:9" ht="15" customHeight="1" x14ac:dyDescent="0.3">
      <c r="A220" t="s">
        <v>1330</v>
      </c>
      <c r="B220" t="s">
        <v>1331</v>
      </c>
      <c r="C220" s="10">
        <v>29241</v>
      </c>
      <c r="D220" t="s">
        <v>1332</v>
      </c>
      <c r="E220" t="s">
        <v>1333</v>
      </c>
      <c r="F220" t="s">
        <v>1334</v>
      </c>
      <c r="G220" t="s">
        <v>1335</v>
      </c>
      <c r="H220" s="11">
        <v>43075.701539351903</v>
      </c>
      <c r="I220" s="7" t="s">
        <v>52</v>
      </c>
    </row>
    <row r="221" spans="1:9" ht="15" customHeight="1" x14ac:dyDescent="0.3">
      <c r="A221" t="s">
        <v>1336</v>
      </c>
      <c r="B221" t="s">
        <v>1337</v>
      </c>
      <c r="C221" s="10">
        <v>34113</v>
      </c>
      <c r="D221" t="s">
        <v>1338</v>
      </c>
      <c r="E221" t="s">
        <v>1339</v>
      </c>
      <c r="F221" t="s">
        <v>1340</v>
      </c>
      <c r="G221" t="s">
        <v>1341</v>
      </c>
      <c r="H221" s="11">
        <v>38473.242418981499</v>
      </c>
      <c r="I221" s="7" t="s">
        <v>26</v>
      </c>
    </row>
    <row r="222" spans="1:9" ht="15" customHeight="1" x14ac:dyDescent="0.3">
      <c r="A222" t="s">
        <v>1342</v>
      </c>
      <c r="B222" t="s">
        <v>1343</v>
      </c>
      <c r="C222" s="10">
        <v>31275</v>
      </c>
      <c r="D222" t="s">
        <v>1344</v>
      </c>
      <c r="E222" t="s">
        <v>1345</v>
      </c>
      <c r="F222" t="s">
        <v>1346</v>
      </c>
      <c r="G222" t="s">
        <v>1347</v>
      </c>
      <c r="H222" s="11">
        <v>38949.136643518497</v>
      </c>
      <c r="I222" s="7" t="s">
        <v>33</v>
      </c>
    </row>
    <row r="223" spans="1:9" ht="15" customHeight="1" x14ac:dyDescent="0.3">
      <c r="A223" t="s">
        <v>1348</v>
      </c>
      <c r="B223" t="s">
        <v>1349</v>
      </c>
      <c r="C223" s="10">
        <v>35851</v>
      </c>
      <c r="D223" t="s">
        <v>1350</v>
      </c>
      <c r="E223" t="s">
        <v>1351</v>
      </c>
      <c r="F223" t="s">
        <v>1352</v>
      </c>
      <c r="G223" t="s">
        <v>1353</v>
      </c>
      <c r="H223" s="11">
        <v>39005.642453703702</v>
      </c>
      <c r="I223" s="7" t="s">
        <v>33</v>
      </c>
    </row>
    <row r="224" spans="1:9" ht="15" customHeight="1" x14ac:dyDescent="0.3">
      <c r="A224" t="s">
        <v>1354</v>
      </c>
      <c r="B224" t="s">
        <v>1355</v>
      </c>
      <c r="C224" s="10">
        <v>32633</v>
      </c>
      <c r="D224" t="s">
        <v>1356</v>
      </c>
      <c r="E224" t="s">
        <v>1357</v>
      </c>
      <c r="F224" t="s">
        <v>1358</v>
      </c>
      <c r="G224" t="s">
        <v>1359</v>
      </c>
      <c r="H224" s="11">
        <v>41122.587731481501</v>
      </c>
      <c r="I224" s="7" t="s">
        <v>52</v>
      </c>
    </row>
    <row r="225" spans="1:9" ht="15" customHeight="1" x14ac:dyDescent="0.3">
      <c r="A225" t="s">
        <v>1360</v>
      </c>
      <c r="B225" t="s">
        <v>1361</v>
      </c>
      <c r="C225" s="10">
        <v>34983</v>
      </c>
      <c r="D225" t="s">
        <v>1362</v>
      </c>
      <c r="E225" t="s">
        <v>1363</v>
      </c>
      <c r="F225" t="s">
        <v>1364</v>
      </c>
      <c r="G225" t="s">
        <v>1365</v>
      </c>
      <c r="H225" s="11">
        <v>43440.2956134259</v>
      </c>
      <c r="I225" s="7" t="s">
        <v>78</v>
      </c>
    </row>
    <row r="226" spans="1:9" ht="15" customHeight="1" x14ac:dyDescent="0.3">
      <c r="A226" t="s">
        <v>1366</v>
      </c>
      <c r="B226" t="s">
        <v>1367</v>
      </c>
      <c r="C226" s="10">
        <v>36289</v>
      </c>
      <c r="D226" t="s">
        <v>1368</v>
      </c>
      <c r="E226" t="s">
        <v>1369</v>
      </c>
      <c r="F226" t="s">
        <v>1370</v>
      </c>
      <c r="G226" t="s">
        <v>1371</v>
      </c>
      <c r="H226" s="11">
        <v>41643.512986111098</v>
      </c>
      <c r="I226" s="7" t="s">
        <v>71</v>
      </c>
    </row>
    <row r="227" spans="1:9" ht="15" customHeight="1" x14ac:dyDescent="0.3">
      <c r="A227" t="s">
        <v>1372</v>
      </c>
      <c r="B227" t="s">
        <v>1373</v>
      </c>
      <c r="C227" s="10">
        <v>36542</v>
      </c>
      <c r="D227" t="s">
        <v>1374</v>
      </c>
      <c r="E227" t="s">
        <v>1375</v>
      </c>
      <c r="F227" t="s">
        <v>1376</v>
      </c>
      <c r="G227" t="s">
        <v>1377</v>
      </c>
      <c r="H227" s="11">
        <v>41259.266574074099</v>
      </c>
      <c r="I227" s="7" t="s">
        <v>26</v>
      </c>
    </row>
    <row r="228" spans="1:9" ht="15" customHeight="1" x14ac:dyDescent="0.3">
      <c r="A228" t="s">
        <v>1378</v>
      </c>
      <c r="B228" t="s">
        <v>1379</v>
      </c>
      <c r="C228" s="10">
        <v>33936</v>
      </c>
      <c r="D228" t="s">
        <v>1380</v>
      </c>
      <c r="E228" t="s">
        <v>1381</v>
      </c>
      <c r="F228" t="s">
        <v>1382</v>
      </c>
      <c r="G228" t="s">
        <v>1383</v>
      </c>
      <c r="H228" s="11">
        <v>40271.263912037</v>
      </c>
      <c r="I228" s="7" t="s">
        <v>71</v>
      </c>
    </row>
    <row r="229" spans="1:9" ht="15" customHeight="1" x14ac:dyDescent="0.3">
      <c r="A229" t="s">
        <v>1384</v>
      </c>
      <c r="B229" t="s">
        <v>1385</v>
      </c>
      <c r="C229" s="10">
        <v>35929</v>
      </c>
      <c r="D229" t="s">
        <v>1386</v>
      </c>
      <c r="E229" t="s">
        <v>1387</v>
      </c>
      <c r="F229" t="s">
        <v>1388</v>
      </c>
      <c r="G229" t="s">
        <v>1389</v>
      </c>
      <c r="H229" s="11">
        <v>39286.9206597222</v>
      </c>
      <c r="I229" s="7" t="s">
        <v>78</v>
      </c>
    </row>
    <row r="230" spans="1:9" ht="15" customHeight="1" x14ac:dyDescent="0.3">
      <c r="A230" t="s">
        <v>1390</v>
      </c>
      <c r="B230" t="s">
        <v>1391</v>
      </c>
      <c r="C230" s="10">
        <v>32986</v>
      </c>
      <c r="D230" t="s">
        <v>1392</v>
      </c>
      <c r="E230" t="s">
        <v>1393</v>
      </c>
      <c r="F230" t="s">
        <v>1394</v>
      </c>
      <c r="G230" t="s">
        <v>1395</v>
      </c>
      <c r="H230" s="11">
        <v>42249.933946759302</v>
      </c>
      <c r="I230" s="7" t="s">
        <v>78</v>
      </c>
    </row>
    <row r="231" spans="1:9" ht="15" customHeight="1" x14ac:dyDescent="0.3">
      <c r="A231" t="s">
        <v>1396</v>
      </c>
      <c r="B231" t="s">
        <v>1397</v>
      </c>
      <c r="C231" s="10">
        <v>30261</v>
      </c>
      <c r="D231" t="s">
        <v>1398</v>
      </c>
      <c r="E231" t="s">
        <v>1399</v>
      </c>
      <c r="F231" t="s">
        <v>1400</v>
      </c>
      <c r="G231" t="s">
        <v>1401</v>
      </c>
      <c r="H231" s="11">
        <v>42871.936921296299</v>
      </c>
      <c r="I231" s="7" t="s">
        <v>33</v>
      </c>
    </row>
    <row r="232" spans="1:9" ht="15" customHeight="1" x14ac:dyDescent="0.3">
      <c r="A232" t="s">
        <v>1402</v>
      </c>
      <c r="B232" t="s">
        <v>1403</v>
      </c>
      <c r="C232" s="10">
        <v>25961</v>
      </c>
      <c r="D232" t="s">
        <v>1404</v>
      </c>
      <c r="E232" t="s">
        <v>1405</v>
      </c>
      <c r="F232" t="s">
        <v>1406</v>
      </c>
      <c r="G232" t="s">
        <v>1407</v>
      </c>
      <c r="H232" s="11">
        <v>39711.469398148198</v>
      </c>
      <c r="I232" s="7" t="s">
        <v>33</v>
      </c>
    </row>
    <row r="233" spans="1:9" ht="15" customHeight="1" x14ac:dyDescent="0.3">
      <c r="A233" t="s">
        <v>1408</v>
      </c>
      <c r="B233" t="s">
        <v>1409</v>
      </c>
      <c r="C233" s="10">
        <v>33897</v>
      </c>
      <c r="D233" t="s">
        <v>1410</v>
      </c>
      <c r="E233" t="s">
        <v>1411</v>
      </c>
      <c r="F233" t="s">
        <v>1412</v>
      </c>
      <c r="G233" t="s">
        <v>1413</v>
      </c>
      <c r="H233" s="11">
        <v>38926.735023148198</v>
      </c>
      <c r="I233" s="7" t="s">
        <v>26</v>
      </c>
    </row>
    <row r="234" spans="1:9" ht="15" customHeight="1" x14ac:dyDescent="0.3">
      <c r="A234" t="s">
        <v>1414</v>
      </c>
      <c r="B234" t="s">
        <v>1415</v>
      </c>
      <c r="C234" s="10">
        <v>30752</v>
      </c>
      <c r="D234" t="s">
        <v>1416</v>
      </c>
      <c r="E234" t="s">
        <v>1417</v>
      </c>
      <c r="F234" t="s">
        <v>1418</v>
      </c>
      <c r="G234" t="s">
        <v>1419</v>
      </c>
      <c r="H234" s="11">
        <v>41486.103877314803</v>
      </c>
      <c r="I234" s="7" t="s">
        <v>71</v>
      </c>
    </row>
    <row r="235" spans="1:9" ht="15" customHeight="1" x14ac:dyDescent="0.3">
      <c r="A235" t="s">
        <v>1420</v>
      </c>
      <c r="B235" t="s">
        <v>1421</v>
      </c>
      <c r="C235" s="10">
        <v>28593</v>
      </c>
      <c r="D235" t="s">
        <v>1422</v>
      </c>
      <c r="E235" t="s">
        <v>1423</v>
      </c>
      <c r="F235" t="s">
        <v>1424</v>
      </c>
      <c r="G235" t="s">
        <v>1425</v>
      </c>
      <c r="H235" s="11">
        <v>42913.422662037003</v>
      </c>
      <c r="I235" s="7" t="s">
        <v>78</v>
      </c>
    </row>
    <row r="236" spans="1:9" ht="15" customHeight="1" x14ac:dyDescent="0.3">
      <c r="A236" t="s">
        <v>1426</v>
      </c>
      <c r="B236" t="s">
        <v>1427</v>
      </c>
      <c r="C236" s="10">
        <v>32560</v>
      </c>
      <c r="D236" t="s">
        <v>1428</v>
      </c>
      <c r="E236" t="s">
        <v>1429</v>
      </c>
      <c r="F236" t="s">
        <v>1430</v>
      </c>
      <c r="G236" t="s">
        <v>1431</v>
      </c>
      <c r="H236" s="11">
        <v>41876.844050925902</v>
      </c>
      <c r="I236" s="7" t="s">
        <v>52</v>
      </c>
    </row>
    <row r="237" spans="1:9" ht="15" customHeight="1" x14ac:dyDescent="0.3">
      <c r="A237" t="s">
        <v>1432</v>
      </c>
      <c r="B237" t="s">
        <v>1433</v>
      </c>
      <c r="C237" s="10">
        <v>36106</v>
      </c>
      <c r="D237" t="s">
        <v>1434</v>
      </c>
      <c r="E237" t="s">
        <v>1435</v>
      </c>
      <c r="F237" t="s">
        <v>1436</v>
      </c>
      <c r="G237" t="s">
        <v>1437</v>
      </c>
      <c r="H237" s="11">
        <v>41222.562164351897</v>
      </c>
      <c r="I237" s="7" t="s">
        <v>71</v>
      </c>
    </row>
    <row r="238" spans="1:9" ht="15" customHeight="1" x14ac:dyDescent="0.3">
      <c r="A238" t="s">
        <v>1438</v>
      </c>
      <c r="B238" t="s">
        <v>1439</v>
      </c>
      <c r="C238" s="10">
        <v>36253</v>
      </c>
      <c r="D238" t="s">
        <v>1440</v>
      </c>
      <c r="E238" t="s">
        <v>1441</v>
      </c>
      <c r="F238" t="s">
        <v>1442</v>
      </c>
      <c r="G238" t="s">
        <v>1443</v>
      </c>
      <c r="H238" s="11">
        <v>41516.556875000002</v>
      </c>
      <c r="I238" s="7" t="s">
        <v>78</v>
      </c>
    </row>
    <row r="239" spans="1:9" ht="15" customHeight="1" x14ac:dyDescent="0.3">
      <c r="A239" t="s">
        <v>1444</v>
      </c>
      <c r="B239" t="s">
        <v>1445</v>
      </c>
      <c r="C239" s="10">
        <v>32221</v>
      </c>
      <c r="D239" t="s">
        <v>1446</v>
      </c>
      <c r="E239" t="s">
        <v>1447</v>
      </c>
      <c r="F239" t="s">
        <v>1448</v>
      </c>
      <c r="G239" t="s">
        <v>1449</v>
      </c>
      <c r="H239" s="11">
        <v>39491.522604166697</v>
      </c>
      <c r="I239" s="7" t="s">
        <v>26</v>
      </c>
    </row>
    <row r="240" spans="1:9" ht="15" customHeight="1" x14ac:dyDescent="0.3">
      <c r="A240" t="s">
        <v>1450</v>
      </c>
      <c r="B240" t="s">
        <v>1451</v>
      </c>
      <c r="C240" s="10">
        <v>30088</v>
      </c>
      <c r="D240" t="s">
        <v>1452</v>
      </c>
      <c r="E240" t="s">
        <v>1453</v>
      </c>
      <c r="F240" t="s">
        <v>1454</v>
      </c>
      <c r="G240" t="s">
        <v>1455</v>
      </c>
      <c r="H240" s="11">
        <v>40473.439293981501</v>
      </c>
      <c r="I240" s="7" t="s">
        <v>33</v>
      </c>
    </row>
    <row r="241" spans="1:9" ht="15" customHeight="1" x14ac:dyDescent="0.3">
      <c r="A241" t="s">
        <v>1456</v>
      </c>
      <c r="B241" t="s">
        <v>1457</v>
      </c>
      <c r="C241" s="10">
        <v>34650</v>
      </c>
      <c r="D241" t="s">
        <v>1458</v>
      </c>
      <c r="E241" t="s">
        <v>1459</v>
      </c>
      <c r="F241" t="s">
        <v>1460</v>
      </c>
      <c r="G241" t="s">
        <v>1461</v>
      </c>
      <c r="H241" s="11">
        <v>42630.314780092602</v>
      </c>
      <c r="I241" s="7" t="s">
        <v>78</v>
      </c>
    </row>
    <row r="242" spans="1:9" ht="15" customHeight="1" x14ac:dyDescent="0.3">
      <c r="A242" t="s">
        <v>1462</v>
      </c>
      <c r="B242" t="s">
        <v>1463</v>
      </c>
      <c r="C242" s="10">
        <v>34769</v>
      </c>
      <c r="D242" t="s">
        <v>1464</v>
      </c>
      <c r="E242" t="s">
        <v>1465</v>
      </c>
      <c r="F242" t="s">
        <v>1466</v>
      </c>
      <c r="G242" t="s">
        <v>1467</v>
      </c>
      <c r="H242" s="11">
        <v>38606.783483796302</v>
      </c>
      <c r="I242" s="7" t="s">
        <v>26</v>
      </c>
    </row>
    <row r="243" spans="1:9" ht="15" customHeight="1" x14ac:dyDescent="0.3">
      <c r="A243" t="s">
        <v>1468</v>
      </c>
      <c r="B243" t="s">
        <v>1469</v>
      </c>
      <c r="C243" s="10">
        <v>29422</v>
      </c>
      <c r="D243" t="s">
        <v>1470</v>
      </c>
      <c r="E243" t="s">
        <v>1471</v>
      </c>
      <c r="F243" t="s">
        <v>1472</v>
      </c>
      <c r="G243" t="s">
        <v>1473</v>
      </c>
      <c r="H243" s="11">
        <v>38657.711967592601</v>
      </c>
      <c r="I243" s="7" t="s">
        <v>52</v>
      </c>
    </row>
    <row r="244" spans="1:9" ht="15" customHeight="1" x14ac:dyDescent="0.3">
      <c r="A244" t="s">
        <v>1474</v>
      </c>
      <c r="B244" t="s">
        <v>1475</v>
      </c>
      <c r="C244" s="10">
        <v>30800</v>
      </c>
      <c r="D244" t="s">
        <v>1476</v>
      </c>
      <c r="E244" t="s">
        <v>1477</v>
      </c>
      <c r="F244" t="s">
        <v>1478</v>
      </c>
      <c r="G244" t="s">
        <v>1479</v>
      </c>
      <c r="H244" s="11">
        <v>41565.590208333299</v>
      </c>
      <c r="I244" s="7" t="s">
        <v>26</v>
      </c>
    </row>
    <row r="245" spans="1:9" ht="15" customHeight="1" x14ac:dyDescent="0.3">
      <c r="A245" t="s">
        <v>1480</v>
      </c>
      <c r="B245" t="s">
        <v>1481</v>
      </c>
      <c r="C245" s="10">
        <v>27987</v>
      </c>
      <c r="D245" t="s">
        <v>1482</v>
      </c>
      <c r="E245" t="s">
        <v>1483</v>
      </c>
      <c r="F245" t="s">
        <v>1484</v>
      </c>
      <c r="G245" t="s">
        <v>1485</v>
      </c>
      <c r="H245" s="11">
        <v>39781.585057870398</v>
      </c>
      <c r="I245" s="7" t="s">
        <v>33</v>
      </c>
    </row>
    <row r="246" spans="1:9" ht="15" customHeight="1" x14ac:dyDescent="0.3">
      <c r="A246" t="s">
        <v>1486</v>
      </c>
      <c r="B246" t="s">
        <v>1487</v>
      </c>
      <c r="C246" s="10">
        <v>31362</v>
      </c>
      <c r="D246" t="s">
        <v>1488</v>
      </c>
      <c r="E246" t="s">
        <v>1489</v>
      </c>
      <c r="F246" t="s">
        <v>1490</v>
      </c>
      <c r="G246" t="s">
        <v>1491</v>
      </c>
      <c r="H246" s="11">
        <v>39518.5855787037</v>
      </c>
      <c r="I246" s="7" t="s">
        <v>33</v>
      </c>
    </row>
    <row r="247" spans="1:9" ht="15" customHeight="1" x14ac:dyDescent="0.3">
      <c r="A247" t="s">
        <v>1492</v>
      </c>
      <c r="B247" t="s">
        <v>1493</v>
      </c>
      <c r="C247" s="10">
        <v>32483</v>
      </c>
      <c r="D247" t="s">
        <v>1494</v>
      </c>
      <c r="E247" t="s">
        <v>1495</v>
      </c>
      <c r="F247" t="s">
        <v>1496</v>
      </c>
      <c r="G247" t="s">
        <v>1497</v>
      </c>
      <c r="H247" s="11">
        <v>43260.300254629597</v>
      </c>
      <c r="I247" s="7" t="s">
        <v>52</v>
      </c>
    </row>
    <row r="248" spans="1:9" ht="15" customHeight="1" x14ac:dyDescent="0.3">
      <c r="A248" t="s">
        <v>1498</v>
      </c>
      <c r="B248" t="s">
        <v>1499</v>
      </c>
      <c r="C248" s="10">
        <v>33407</v>
      </c>
      <c r="D248" t="s">
        <v>1500</v>
      </c>
      <c r="E248" t="s">
        <v>1501</v>
      </c>
      <c r="F248" t="s">
        <v>1502</v>
      </c>
      <c r="G248" t="s">
        <v>1503</v>
      </c>
      <c r="H248" s="11">
        <v>43662.630034722199</v>
      </c>
      <c r="I248" s="7" t="s">
        <v>78</v>
      </c>
    </row>
    <row r="249" spans="1:9" ht="15" customHeight="1" x14ac:dyDescent="0.3">
      <c r="A249" t="s">
        <v>1504</v>
      </c>
      <c r="B249" t="s">
        <v>1505</v>
      </c>
      <c r="C249" s="10">
        <v>26762</v>
      </c>
      <c r="D249" t="s">
        <v>1506</v>
      </c>
      <c r="E249" t="s">
        <v>1507</v>
      </c>
      <c r="F249" t="s">
        <v>1508</v>
      </c>
      <c r="G249" t="s">
        <v>1509</v>
      </c>
      <c r="H249" s="11">
        <v>43688.904259259303</v>
      </c>
      <c r="I249" s="7" t="s">
        <v>78</v>
      </c>
    </row>
    <row r="250" spans="1:9" ht="15" customHeight="1" x14ac:dyDescent="0.3">
      <c r="A250" t="s">
        <v>1510</v>
      </c>
      <c r="B250" t="s">
        <v>1511</v>
      </c>
      <c r="C250" s="10">
        <v>33868</v>
      </c>
      <c r="D250" t="s">
        <v>1512</v>
      </c>
      <c r="E250" t="s">
        <v>1513</v>
      </c>
      <c r="F250" t="s">
        <v>1514</v>
      </c>
      <c r="G250" t="s">
        <v>1515</v>
      </c>
      <c r="H250" s="11">
        <v>41460.620393518497</v>
      </c>
      <c r="I250" s="7" t="s">
        <v>52</v>
      </c>
    </row>
    <row r="251" spans="1:9" ht="15" customHeight="1" x14ac:dyDescent="0.3">
      <c r="A251" t="s">
        <v>1516</v>
      </c>
      <c r="B251" t="s">
        <v>1517</v>
      </c>
      <c r="C251" s="10">
        <v>31153</v>
      </c>
      <c r="D251" t="s">
        <v>1518</v>
      </c>
      <c r="E251" t="s">
        <v>1519</v>
      </c>
      <c r="F251" t="s">
        <v>1520</v>
      </c>
      <c r="G251" t="s">
        <v>1521</v>
      </c>
      <c r="H251" s="11">
        <v>42373.459155092598</v>
      </c>
      <c r="I251" s="7" t="s">
        <v>78</v>
      </c>
    </row>
    <row r="252" spans="1:9" ht="15" customHeight="1" x14ac:dyDescent="0.3">
      <c r="A252" t="s">
        <v>1522</v>
      </c>
      <c r="B252" t="s">
        <v>1523</v>
      </c>
      <c r="C252" s="10">
        <v>27550</v>
      </c>
      <c r="D252" t="s">
        <v>1524</v>
      </c>
      <c r="E252" t="s">
        <v>1525</v>
      </c>
      <c r="F252" t="s">
        <v>1526</v>
      </c>
      <c r="G252" t="s">
        <v>1527</v>
      </c>
      <c r="H252" s="11">
        <v>43816.5933912037</v>
      </c>
      <c r="I252" s="7" t="s">
        <v>26</v>
      </c>
    </row>
    <row r="253" spans="1:9" ht="15" customHeight="1" x14ac:dyDescent="0.3">
      <c r="A253" t="s">
        <v>1528</v>
      </c>
      <c r="B253" t="s">
        <v>1529</v>
      </c>
      <c r="C253" s="10">
        <v>28352</v>
      </c>
      <c r="D253" t="s">
        <v>1530</v>
      </c>
      <c r="E253" t="s">
        <v>1531</v>
      </c>
      <c r="F253" t="s">
        <v>1532</v>
      </c>
      <c r="G253" t="s">
        <v>1533</v>
      </c>
      <c r="H253" s="11">
        <v>41490.739224536999</v>
      </c>
      <c r="I253" s="7" t="s">
        <v>26</v>
      </c>
    </row>
    <row r="254" spans="1:9" ht="15" customHeight="1" x14ac:dyDescent="0.3">
      <c r="A254" t="s">
        <v>1534</v>
      </c>
      <c r="B254" t="s">
        <v>1535</v>
      </c>
      <c r="C254" s="10">
        <v>33340</v>
      </c>
      <c r="D254" t="s">
        <v>1536</v>
      </c>
      <c r="E254" t="s">
        <v>1537</v>
      </c>
      <c r="F254" t="s">
        <v>1538</v>
      </c>
      <c r="G254" t="s">
        <v>1539</v>
      </c>
      <c r="H254" s="11">
        <v>40138.487928240698</v>
      </c>
      <c r="I254" s="7" t="s">
        <v>26</v>
      </c>
    </row>
    <row r="255" spans="1:9" ht="15" customHeight="1" x14ac:dyDescent="0.3">
      <c r="A255" t="s">
        <v>1540</v>
      </c>
      <c r="B255" t="s">
        <v>1541</v>
      </c>
      <c r="C255" s="10">
        <v>31436</v>
      </c>
      <c r="D255" t="s">
        <v>1542</v>
      </c>
      <c r="E255" t="s">
        <v>1543</v>
      </c>
      <c r="F255" t="s">
        <v>1544</v>
      </c>
      <c r="G255" t="s">
        <v>1545</v>
      </c>
      <c r="H255" s="11">
        <v>39283.8934606482</v>
      </c>
      <c r="I255" s="7" t="s">
        <v>33</v>
      </c>
    </row>
    <row r="256" spans="1:9" ht="15" customHeight="1" x14ac:dyDescent="0.3">
      <c r="A256" t="s">
        <v>1546</v>
      </c>
      <c r="B256" t="s">
        <v>1547</v>
      </c>
      <c r="C256" s="10">
        <v>26615</v>
      </c>
      <c r="D256" t="s">
        <v>1548</v>
      </c>
      <c r="E256" t="s">
        <v>1549</v>
      </c>
      <c r="F256" t="s">
        <v>1550</v>
      </c>
      <c r="G256" t="s">
        <v>1551</v>
      </c>
      <c r="H256" s="11">
        <v>42153.647835648197</v>
      </c>
      <c r="I256" s="7" t="s">
        <v>71</v>
      </c>
    </row>
    <row r="257" spans="1:9" ht="15" customHeight="1" x14ac:dyDescent="0.3">
      <c r="A257" t="s">
        <v>1552</v>
      </c>
      <c r="B257" t="s">
        <v>1553</v>
      </c>
      <c r="C257" s="10">
        <v>32053</v>
      </c>
      <c r="D257" t="s">
        <v>1554</v>
      </c>
      <c r="E257" t="s">
        <v>1555</v>
      </c>
      <c r="F257" t="s">
        <v>1556</v>
      </c>
      <c r="G257" t="s">
        <v>1557</v>
      </c>
      <c r="H257" s="11">
        <v>39345.462337962999</v>
      </c>
      <c r="I257" s="7" t="s">
        <v>33</v>
      </c>
    </row>
    <row r="258" spans="1:9" ht="15" customHeight="1" x14ac:dyDescent="0.3">
      <c r="A258" t="s">
        <v>1558</v>
      </c>
      <c r="B258" t="s">
        <v>1559</v>
      </c>
      <c r="C258" s="10">
        <v>32410</v>
      </c>
      <c r="D258" t="s">
        <v>1560</v>
      </c>
      <c r="E258" t="s">
        <v>1561</v>
      </c>
      <c r="F258" t="s">
        <v>1562</v>
      </c>
      <c r="G258" t="s">
        <v>1563</v>
      </c>
      <c r="H258" s="11">
        <v>40961.686793981498</v>
      </c>
      <c r="I258" s="7" t="s">
        <v>52</v>
      </c>
    </row>
    <row r="259" spans="1:9" ht="15" customHeight="1" x14ac:dyDescent="0.3">
      <c r="A259" t="s">
        <v>1564</v>
      </c>
      <c r="B259" t="s">
        <v>1565</v>
      </c>
      <c r="C259" s="10">
        <v>32777</v>
      </c>
      <c r="D259" t="s">
        <v>1566</v>
      </c>
      <c r="E259" t="s">
        <v>1567</v>
      </c>
      <c r="F259" t="s">
        <v>1568</v>
      </c>
      <c r="G259" t="s">
        <v>1569</v>
      </c>
      <c r="H259" s="11">
        <v>40483.958946759303</v>
      </c>
      <c r="I259" s="7" t="s">
        <v>78</v>
      </c>
    </row>
    <row r="260" spans="1:9" ht="15" customHeight="1" x14ac:dyDescent="0.3">
      <c r="A260" t="s">
        <v>1570</v>
      </c>
      <c r="B260" t="s">
        <v>1571</v>
      </c>
      <c r="C260" s="10">
        <v>25745</v>
      </c>
      <c r="D260" t="s">
        <v>1572</v>
      </c>
      <c r="E260" t="s">
        <v>1573</v>
      </c>
      <c r="F260" t="s">
        <v>1574</v>
      </c>
      <c r="G260" t="s">
        <v>1575</v>
      </c>
      <c r="H260" s="11">
        <v>43916.9612962963</v>
      </c>
      <c r="I260" s="7" t="s">
        <v>26</v>
      </c>
    </row>
    <row r="261" spans="1:9" ht="15" customHeight="1" x14ac:dyDescent="0.3">
      <c r="A261" t="s">
        <v>1576</v>
      </c>
      <c r="B261" t="s">
        <v>1577</v>
      </c>
      <c r="C261" s="10">
        <v>32840</v>
      </c>
      <c r="D261" t="s">
        <v>1578</v>
      </c>
      <c r="E261" t="s">
        <v>1579</v>
      </c>
      <c r="F261" t="s">
        <v>1580</v>
      </c>
      <c r="G261" t="s">
        <v>1581</v>
      </c>
      <c r="H261" s="11">
        <v>42369.362060185202</v>
      </c>
      <c r="I261" s="7" t="s">
        <v>52</v>
      </c>
    </row>
    <row r="262" spans="1:9" ht="15" customHeight="1" x14ac:dyDescent="0.3">
      <c r="A262" t="s">
        <v>1582</v>
      </c>
      <c r="B262" t="s">
        <v>1583</v>
      </c>
      <c r="C262" s="10">
        <v>29361</v>
      </c>
      <c r="D262" t="s">
        <v>1584</v>
      </c>
      <c r="E262" t="s">
        <v>1585</v>
      </c>
      <c r="F262" t="s">
        <v>1586</v>
      </c>
      <c r="G262" t="s">
        <v>1587</v>
      </c>
      <c r="H262" s="11">
        <v>38916.058587963002</v>
      </c>
      <c r="I262" s="7" t="s">
        <v>71</v>
      </c>
    </row>
    <row r="263" spans="1:9" ht="15" customHeight="1" x14ac:dyDescent="0.3">
      <c r="A263" t="s">
        <v>1588</v>
      </c>
      <c r="B263" t="s">
        <v>1589</v>
      </c>
      <c r="C263" s="10">
        <v>26651</v>
      </c>
      <c r="D263" t="s">
        <v>1590</v>
      </c>
      <c r="E263" t="s">
        <v>1591</v>
      </c>
      <c r="F263" t="s">
        <v>1592</v>
      </c>
      <c r="G263" t="s">
        <v>1593</v>
      </c>
      <c r="H263" s="11">
        <v>39655.152372685203</v>
      </c>
      <c r="I263" s="7" t="s">
        <v>71</v>
      </c>
    </row>
    <row r="264" spans="1:9" ht="15" customHeight="1" x14ac:dyDescent="0.3">
      <c r="A264" t="s">
        <v>1594</v>
      </c>
      <c r="B264" t="s">
        <v>1595</v>
      </c>
      <c r="C264" s="10">
        <v>28558</v>
      </c>
      <c r="D264" t="s">
        <v>1596</v>
      </c>
      <c r="E264" t="s">
        <v>1597</v>
      </c>
      <c r="F264" t="s">
        <v>1598</v>
      </c>
      <c r="G264" t="s">
        <v>1599</v>
      </c>
      <c r="H264" s="11">
        <v>39678.918865740699</v>
      </c>
      <c r="I264" s="7" t="s">
        <v>26</v>
      </c>
    </row>
    <row r="265" spans="1:9" ht="15" customHeight="1" x14ac:dyDescent="0.3">
      <c r="A265" t="s">
        <v>1600</v>
      </c>
      <c r="B265" t="s">
        <v>1601</v>
      </c>
      <c r="C265" s="10">
        <v>35800</v>
      </c>
      <c r="D265" t="s">
        <v>1602</v>
      </c>
      <c r="E265" t="s">
        <v>1603</v>
      </c>
      <c r="F265" t="s">
        <v>1604</v>
      </c>
      <c r="G265" t="s">
        <v>1605</v>
      </c>
      <c r="H265" s="11">
        <v>42832.905335648204</v>
      </c>
      <c r="I265" s="7" t="s">
        <v>33</v>
      </c>
    </row>
    <row r="266" spans="1:9" ht="15" customHeight="1" x14ac:dyDescent="0.3">
      <c r="A266" t="s">
        <v>1606</v>
      </c>
      <c r="B266" t="s">
        <v>1607</v>
      </c>
      <c r="C266" s="10">
        <v>26676</v>
      </c>
      <c r="D266" t="s">
        <v>1608</v>
      </c>
      <c r="E266" t="s">
        <v>1609</v>
      </c>
      <c r="F266" t="s">
        <v>1610</v>
      </c>
      <c r="G266" t="s">
        <v>1611</v>
      </c>
      <c r="H266" s="11">
        <v>41378.130613425899</v>
      </c>
      <c r="I266" s="7" t="s">
        <v>26</v>
      </c>
    </row>
    <row r="267" spans="1:9" ht="15" customHeight="1" x14ac:dyDescent="0.3">
      <c r="A267" t="s">
        <v>1612</v>
      </c>
      <c r="B267" t="s">
        <v>1613</v>
      </c>
      <c r="C267" s="10">
        <v>30314</v>
      </c>
      <c r="D267" t="s">
        <v>1614</v>
      </c>
      <c r="E267" t="s">
        <v>1615</v>
      </c>
      <c r="F267" t="s">
        <v>1616</v>
      </c>
      <c r="G267" t="s">
        <v>1617</v>
      </c>
      <c r="H267" s="11">
        <v>38978.842314814799</v>
      </c>
      <c r="I267" s="7" t="s">
        <v>26</v>
      </c>
    </row>
    <row r="268" spans="1:9" ht="15" customHeight="1" x14ac:dyDescent="0.3">
      <c r="A268" t="s">
        <v>1618</v>
      </c>
      <c r="B268" t="s">
        <v>1619</v>
      </c>
      <c r="C268" s="10">
        <v>30405</v>
      </c>
      <c r="D268" t="s">
        <v>1620</v>
      </c>
      <c r="E268" t="s">
        <v>1621</v>
      </c>
      <c r="F268" t="s">
        <v>1622</v>
      </c>
      <c r="G268" t="s">
        <v>1623</v>
      </c>
      <c r="H268" s="11">
        <v>38560.231388888897</v>
      </c>
      <c r="I268" s="7" t="s">
        <v>52</v>
      </c>
    </row>
    <row r="269" spans="1:9" ht="15" customHeight="1" x14ac:dyDescent="0.3">
      <c r="A269" t="s">
        <v>1624</v>
      </c>
      <c r="B269" t="s">
        <v>1625</v>
      </c>
      <c r="C269" s="10">
        <v>34240</v>
      </c>
      <c r="D269" t="s">
        <v>1626</v>
      </c>
      <c r="E269" t="s">
        <v>1627</v>
      </c>
      <c r="F269" t="s">
        <v>1628</v>
      </c>
      <c r="G269" t="s">
        <v>1629</v>
      </c>
      <c r="H269" s="11">
        <v>43292.350925925901</v>
      </c>
      <c r="I269" s="7" t="s">
        <v>33</v>
      </c>
    </row>
    <row r="270" spans="1:9" ht="15" customHeight="1" x14ac:dyDescent="0.3">
      <c r="A270" t="s">
        <v>1630</v>
      </c>
      <c r="B270" t="s">
        <v>1631</v>
      </c>
      <c r="C270" s="10">
        <v>31077</v>
      </c>
      <c r="D270" t="s">
        <v>1632</v>
      </c>
      <c r="E270" t="s">
        <v>1633</v>
      </c>
      <c r="F270" t="s">
        <v>1634</v>
      </c>
      <c r="G270" t="s">
        <v>1635</v>
      </c>
      <c r="H270" s="11">
        <v>39377.973969907398</v>
      </c>
      <c r="I270" s="7" t="s">
        <v>33</v>
      </c>
    </row>
    <row r="271" spans="1:9" ht="15" customHeight="1" x14ac:dyDescent="0.3">
      <c r="A271" t="s">
        <v>1636</v>
      </c>
      <c r="B271" t="s">
        <v>1637</v>
      </c>
      <c r="C271" s="10">
        <v>34928</v>
      </c>
      <c r="D271" t="s">
        <v>1638</v>
      </c>
      <c r="E271" t="s">
        <v>1639</v>
      </c>
      <c r="F271" t="s">
        <v>1640</v>
      </c>
      <c r="G271" t="s">
        <v>1641</v>
      </c>
      <c r="H271" s="11">
        <v>40069.496296296304</v>
      </c>
      <c r="I271" s="7" t="s">
        <v>26</v>
      </c>
    </row>
    <row r="272" spans="1:9" ht="15" customHeight="1" x14ac:dyDescent="0.3">
      <c r="A272" t="s">
        <v>1642</v>
      </c>
      <c r="B272" t="s">
        <v>1643</v>
      </c>
      <c r="C272" s="10">
        <v>35006</v>
      </c>
      <c r="D272" t="s">
        <v>1644</v>
      </c>
      <c r="E272" t="s">
        <v>1645</v>
      </c>
      <c r="F272" t="s">
        <v>1646</v>
      </c>
      <c r="G272" t="s">
        <v>1647</v>
      </c>
      <c r="H272" s="11">
        <v>44256.182337963</v>
      </c>
      <c r="I272" s="7" t="s">
        <v>33</v>
      </c>
    </row>
    <row r="273" spans="1:9" ht="15" customHeight="1" x14ac:dyDescent="0.3">
      <c r="A273" t="s">
        <v>1648</v>
      </c>
      <c r="B273" t="s">
        <v>1649</v>
      </c>
      <c r="C273" s="10">
        <v>36272</v>
      </c>
      <c r="D273" t="s">
        <v>1650</v>
      </c>
      <c r="E273" t="s">
        <v>1651</v>
      </c>
      <c r="F273" t="s">
        <v>1652</v>
      </c>
      <c r="G273" t="s">
        <v>1653</v>
      </c>
      <c r="H273" s="11">
        <v>38833.594178240703</v>
      </c>
      <c r="I273" s="7" t="s">
        <v>71</v>
      </c>
    </row>
    <row r="274" spans="1:9" ht="15" customHeight="1" x14ac:dyDescent="0.3">
      <c r="A274" t="s">
        <v>1654</v>
      </c>
      <c r="B274" t="s">
        <v>1655</v>
      </c>
      <c r="C274" s="10">
        <v>29636</v>
      </c>
      <c r="D274" t="s">
        <v>1656</v>
      </c>
      <c r="E274" t="s">
        <v>1657</v>
      </c>
      <c r="F274" t="s">
        <v>1658</v>
      </c>
      <c r="G274" t="s">
        <v>1659</v>
      </c>
      <c r="H274" s="11">
        <v>41927.602175925902</v>
      </c>
      <c r="I274" s="7" t="s">
        <v>71</v>
      </c>
    </row>
    <row r="275" spans="1:9" ht="15" customHeight="1" x14ac:dyDescent="0.3">
      <c r="A275" t="s">
        <v>1660</v>
      </c>
      <c r="B275" t="s">
        <v>1661</v>
      </c>
      <c r="C275" s="10">
        <v>26416</v>
      </c>
      <c r="D275" t="s">
        <v>1662</v>
      </c>
      <c r="E275" t="s">
        <v>1663</v>
      </c>
      <c r="F275" t="s">
        <v>1664</v>
      </c>
      <c r="G275" t="s">
        <v>1665</v>
      </c>
      <c r="H275" s="11">
        <v>42295.2337037037</v>
      </c>
      <c r="I275" s="7" t="s">
        <v>33</v>
      </c>
    </row>
    <row r="276" spans="1:9" ht="15" customHeight="1" x14ac:dyDescent="0.3">
      <c r="A276" t="s">
        <v>1666</v>
      </c>
      <c r="B276" t="s">
        <v>1667</v>
      </c>
      <c r="C276" s="10">
        <v>36039</v>
      </c>
      <c r="D276" t="s">
        <v>1668</v>
      </c>
      <c r="E276" t="s">
        <v>1669</v>
      </c>
      <c r="F276" t="s">
        <v>1670</v>
      </c>
      <c r="G276" t="s">
        <v>1671</v>
      </c>
      <c r="H276" s="11">
        <v>39841.491585648197</v>
      </c>
      <c r="I276" s="7" t="s">
        <v>52</v>
      </c>
    </row>
    <row r="277" spans="1:9" ht="15" customHeight="1" x14ac:dyDescent="0.3">
      <c r="A277" t="s">
        <v>1672</v>
      </c>
      <c r="B277" t="s">
        <v>1673</v>
      </c>
      <c r="C277" s="10">
        <v>35354</v>
      </c>
      <c r="D277" t="s">
        <v>1674</v>
      </c>
      <c r="E277" t="s">
        <v>1675</v>
      </c>
      <c r="F277" t="s">
        <v>1676</v>
      </c>
      <c r="G277" t="s">
        <v>1677</v>
      </c>
      <c r="H277" s="11">
        <v>44315.003240740698</v>
      </c>
      <c r="I277" s="7" t="s">
        <v>71</v>
      </c>
    </row>
    <row r="278" spans="1:9" ht="15" customHeight="1" x14ac:dyDescent="0.3">
      <c r="A278" t="s">
        <v>1678</v>
      </c>
      <c r="B278" t="s">
        <v>1679</v>
      </c>
      <c r="C278" s="10">
        <v>29502</v>
      </c>
      <c r="D278" t="s">
        <v>1680</v>
      </c>
      <c r="E278" t="s">
        <v>1681</v>
      </c>
      <c r="F278" t="s">
        <v>1682</v>
      </c>
      <c r="G278" t="s">
        <v>1683</v>
      </c>
      <c r="H278" s="11">
        <v>42120.284895833298</v>
      </c>
      <c r="I278" s="7" t="s">
        <v>78</v>
      </c>
    </row>
    <row r="279" spans="1:9" ht="15" customHeight="1" x14ac:dyDescent="0.3">
      <c r="A279" t="s">
        <v>1684</v>
      </c>
      <c r="B279" t="s">
        <v>1685</v>
      </c>
      <c r="C279" s="10">
        <v>27431</v>
      </c>
      <c r="D279" t="s">
        <v>1686</v>
      </c>
      <c r="E279" t="s">
        <v>1687</v>
      </c>
      <c r="F279" t="s">
        <v>1688</v>
      </c>
      <c r="G279" t="s">
        <v>1689</v>
      </c>
      <c r="H279" s="11">
        <v>41759.785671296297</v>
      </c>
      <c r="I279" s="7" t="s">
        <v>78</v>
      </c>
    </row>
    <row r="280" spans="1:9" ht="15" customHeight="1" x14ac:dyDescent="0.3">
      <c r="A280" t="s">
        <v>1690</v>
      </c>
      <c r="B280" t="s">
        <v>1691</v>
      </c>
      <c r="C280" s="10">
        <v>34404</v>
      </c>
      <c r="D280" t="s">
        <v>1692</v>
      </c>
      <c r="E280" t="s">
        <v>1693</v>
      </c>
      <c r="F280" t="s">
        <v>1694</v>
      </c>
      <c r="G280" t="s">
        <v>1695</v>
      </c>
      <c r="H280" s="11">
        <v>41547.480879629598</v>
      </c>
      <c r="I280" s="7" t="s">
        <v>33</v>
      </c>
    </row>
    <row r="281" spans="1:9" ht="15" customHeight="1" x14ac:dyDescent="0.3">
      <c r="A281" t="s">
        <v>1696</v>
      </c>
      <c r="B281" t="s">
        <v>1697</v>
      </c>
      <c r="C281" s="10">
        <v>35595</v>
      </c>
      <c r="D281" t="s">
        <v>1698</v>
      </c>
      <c r="E281" t="s">
        <v>1699</v>
      </c>
      <c r="F281" t="s">
        <v>1700</v>
      </c>
      <c r="G281" t="s">
        <v>1701</v>
      </c>
      <c r="H281" s="11">
        <v>43674.233796296299</v>
      </c>
      <c r="I281" s="7" t="s">
        <v>78</v>
      </c>
    </row>
    <row r="282" spans="1:9" ht="15" customHeight="1" x14ac:dyDescent="0.3">
      <c r="A282" t="s">
        <v>1702</v>
      </c>
      <c r="B282" t="s">
        <v>1703</v>
      </c>
      <c r="C282" s="10">
        <v>32113</v>
      </c>
      <c r="D282" t="s">
        <v>1704</v>
      </c>
      <c r="E282" t="s">
        <v>1705</v>
      </c>
      <c r="F282" t="s">
        <v>1706</v>
      </c>
      <c r="G282" t="s">
        <v>1707</v>
      </c>
      <c r="H282" s="11">
        <v>43524.248645833301</v>
      </c>
      <c r="I282" s="7" t="s">
        <v>78</v>
      </c>
    </row>
    <row r="283" spans="1:9" ht="15" customHeight="1" x14ac:dyDescent="0.3">
      <c r="A283" t="s">
        <v>1708</v>
      </c>
      <c r="B283" t="s">
        <v>1709</v>
      </c>
      <c r="C283" s="10">
        <v>29682</v>
      </c>
      <c r="D283" t="s">
        <v>1710</v>
      </c>
      <c r="E283" t="s">
        <v>1711</v>
      </c>
      <c r="F283" t="s">
        <v>1712</v>
      </c>
      <c r="G283" t="s">
        <v>1713</v>
      </c>
      <c r="H283" s="11">
        <v>42535.441793981503</v>
      </c>
      <c r="I283" s="7" t="s">
        <v>52</v>
      </c>
    </row>
    <row r="284" spans="1:9" ht="15" customHeight="1" x14ac:dyDescent="0.3">
      <c r="A284" t="s">
        <v>1714</v>
      </c>
      <c r="B284" t="s">
        <v>1715</v>
      </c>
      <c r="C284" s="10">
        <v>25678</v>
      </c>
      <c r="D284" t="s">
        <v>1716</v>
      </c>
      <c r="E284" t="s">
        <v>1717</v>
      </c>
      <c r="F284" t="s">
        <v>1718</v>
      </c>
      <c r="G284" t="s">
        <v>1719</v>
      </c>
      <c r="H284" s="11">
        <v>40885.832106481503</v>
      </c>
      <c r="I284" s="7" t="s">
        <v>26</v>
      </c>
    </row>
    <row r="285" spans="1:9" ht="15" customHeight="1" x14ac:dyDescent="0.3">
      <c r="A285" t="s">
        <v>1720</v>
      </c>
      <c r="B285" t="s">
        <v>1721</v>
      </c>
      <c r="C285" s="10">
        <v>33400</v>
      </c>
      <c r="D285" t="s">
        <v>1722</v>
      </c>
      <c r="E285" t="s">
        <v>1723</v>
      </c>
      <c r="F285" t="s">
        <v>1724</v>
      </c>
      <c r="G285" t="s">
        <v>1725</v>
      </c>
      <c r="H285" s="11">
        <v>42995.2847106482</v>
      </c>
      <c r="I285" s="7" t="s">
        <v>26</v>
      </c>
    </row>
    <row r="286" spans="1:9" ht="15" customHeight="1" x14ac:dyDescent="0.3">
      <c r="A286" t="s">
        <v>1726</v>
      </c>
      <c r="B286" t="s">
        <v>1727</v>
      </c>
      <c r="C286" s="10">
        <v>31998</v>
      </c>
      <c r="D286" t="s">
        <v>1728</v>
      </c>
      <c r="E286" t="s">
        <v>1729</v>
      </c>
      <c r="F286" t="s">
        <v>1730</v>
      </c>
      <c r="G286" t="s">
        <v>1731</v>
      </c>
      <c r="H286" s="11">
        <v>41749.716666666704</v>
      </c>
      <c r="I286" s="7" t="s">
        <v>52</v>
      </c>
    </row>
    <row r="287" spans="1:9" ht="15" customHeight="1" x14ac:dyDescent="0.3">
      <c r="A287" t="s">
        <v>1732</v>
      </c>
      <c r="B287" t="s">
        <v>1733</v>
      </c>
      <c r="C287" s="10">
        <v>29814</v>
      </c>
      <c r="D287" t="s">
        <v>1734</v>
      </c>
      <c r="E287" t="s">
        <v>1735</v>
      </c>
      <c r="F287" t="s">
        <v>1736</v>
      </c>
      <c r="G287" t="s">
        <v>1737</v>
      </c>
      <c r="H287" s="11">
        <v>41323.281527777799</v>
      </c>
      <c r="I287" s="7" t="s">
        <v>33</v>
      </c>
    </row>
    <row r="288" spans="1:9" ht="15" customHeight="1" x14ac:dyDescent="0.3">
      <c r="A288" t="s">
        <v>1738</v>
      </c>
      <c r="B288" t="s">
        <v>1739</v>
      </c>
      <c r="C288" s="10">
        <v>30490</v>
      </c>
      <c r="D288" t="s">
        <v>1740</v>
      </c>
      <c r="E288" t="s">
        <v>1741</v>
      </c>
      <c r="F288" t="s">
        <v>1742</v>
      </c>
      <c r="G288" t="s">
        <v>1743</v>
      </c>
      <c r="H288" s="11">
        <v>38515.100057870397</v>
      </c>
      <c r="I288" s="7" t="s">
        <v>52</v>
      </c>
    </row>
    <row r="289" spans="1:9" ht="15" customHeight="1" x14ac:dyDescent="0.3">
      <c r="A289" t="s">
        <v>1744</v>
      </c>
      <c r="B289" t="s">
        <v>1745</v>
      </c>
      <c r="C289" s="10">
        <v>34706</v>
      </c>
      <c r="D289" t="s">
        <v>1746</v>
      </c>
      <c r="E289" t="s">
        <v>1747</v>
      </c>
      <c r="F289" t="s">
        <v>1748</v>
      </c>
      <c r="G289" t="s">
        <v>1749</v>
      </c>
      <c r="H289" s="11">
        <v>43464.149502314802</v>
      </c>
      <c r="I289" s="7" t="s">
        <v>33</v>
      </c>
    </row>
    <row r="290" spans="1:9" ht="15" customHeight="1" x14ac:dyDescent="0.3">
      <c r="A290" t="s">
        <v>1750</v>
      </c>
      <c r="B290" t="s">
        <v>1751</v>
      </c>
      <c r="C290" s="10">
        <v>26643</v>
      </c>
      <c r="D290" t="s">
        <v>1752</v>
      </c>
      <c r="E290" t="s">
        <v>1753</v>
      </c>
      <c r="F290" t="s">
        <v>1754</v>
      </c>
      <c r="G290" t="s">
        <v>1755</v>
      </c>
      <c r="H290" s="11">
        <v>43040.7324884259</v>
      </c>
      <c r="I290" s="7" t="s">
        <v>52</v>
      </c>
    </row>
    <row r="291" spans="1:9" ht="15" customHeight="1" x14ac:dyDescent="0.3">
      <c r="A291" t="s">
        <v>1756</v>
      </c>
      <c r="B291" t="s">
        <v>1757</v>
      </c>
      <c r="C291" s="10">
        <v>25785</v>
      </c>
      <c r="D291" t="s">
        <v>1758</v>
      </c>
      <c r="E291" t="s">
        <v>1759</v>
      </c>
      <c r="F291" t="s">
        <v>1760</v>
      </c>
      <c r="G291" t="s">
        <v>1761</v>
      </c>
      <c r="H291" s="11">
        <v>41448.701967592599</v>
      </c>
      <c r="I291" s="7" t="s">
        <v>78</v>
      </c>
    </row>
    <row r="292" spans="1:9" ht="15" customHeight="1" x14ac:dyDescent="0.3">
      <c r="A292" t="s">
        <v>1762</v>
      </c>
      <c r="B292" t="s">
        <v>1763</v>
      </c>
      <c r="C292" s="10">
        <v>26571</v>
      </c>
      <c r="D292" t="s">
        <v>1764</v>
      </c>
      <c r="E292" t="s">
        <v>1765</v>
      </c>
      <c r="F292" t="s">
        <v>1766</v>
      </c>
      <c r="G292" t="s">
        <v>258</v>
      </c>
      <c r="H292" s="11">
        <v>39049.339155092603</v>
      </c>
      <c r="I292" s="7" t="s">
        <v>26</v>
      </c>
    </row>
    <row r="293" spans="1:9" ht="15" customHeight="1" x14ac:dyDescent="0.3">
      <c r="A293" t="s">
        <v>1767</v>
      </c>
      <c r="B293" t="s">
        <v>1768</v>
      </c>
      <c r="C293" s="10">
        <v>31181</v>
      </c>
      <c r="D293" t="s">
        <v>1769</v>
      </c>
      <c r="E293" t="s">
        <v>1770</v>
      </c>
      <c r="F293" t="s">
        <v>1771</v>
      </c>
      <c r="G293" t="s">
        <v>1772</v>
      </c>
      <c r="H293" s="11">
        <v>42902.9380439815</v>
      </c>
      <c r="I293" s="7" t="s">
        <v>71</v>
      </c>
    </row>
    <row r="294" spans="1:9" ht="15" customHeight="1" x14ac:dyDescent="0.3">
      <c r="A294" t="s">
        <v>1773</v>
      </c>
      <c r="B294" t="s">
        <v>1774</v>
      </c>
      <c r="C294" s="10">
        <v>35710</v>
      </c>
      <c r="D294" t="s">
        <v>1775</v>
      </c>
      <c r="E294" t="s">
        <v>1776</v>
      </c>
      <c r="F294" t="s">
        <v>1777</v>
      </c>
      <c r="G294" t="s">
        <v>1778</v>
      </c>
      <c r="H294" s="11">
        <v>43531.2761805556</v>
      </c>
      <c r="I294" s="7" t="s">
        <v>33</v>
      </c>
    </row>
    <row r="295" spans="1:9" ht="15" customHeight="1" x14ac:dyDescent="0.3">
      <c r="A295" t="s">
        <v>1779</v>
      </c>
      <c r="B295" t="s">
        <v>1780</v>
      </c>
      <c r="C295" s="10">
        <v>31777</v>
      </c>
      <c r="D295" t="s">
        <v>1781</v>
      </c>
      <c r="E295" t="s">
        <v>1782</v>
      </c>
      <c r="F295" t="s">
        <v>1783</v>
      </c>
      <c r="G295" t="s">
        <v>1784</v>
      </c>
      <c r="H295" s="11">
        <v>40764.772974537002</v>
      </c>
      <c r="I295" s="7" t="s">
        <v>52</v>
      </c>
    </row>
    <row r="296" spans="1:9" ht="15" customHeight="1" x14ac:dyDescent="0.3">
      <c r="A296" t="s">
        <v>1785</v>
      </c>
      <c r="B296" t="s">
        <v>1786</v>
      </c>
      <c r="C296" s="10">
        <v>33294</v>
      </c>
      <c r="D296" t="s">
        <v>1787</v>
      </c>
      <c r="E296" t="s">
        <v>1788</v>
      </c>
      <c r="F296" t="s">
        <v>1789</v>
      </c>
      <c r="G296" t="s">
        <v>1790</v>
      </c>
      <c r="H296" s="11">
        <v>40159.746273148201</v>
      </c>
      <c r="I296" s="7" t="s">
        <v>78</v>
      </c>
    </row>
    <row r="297" spans="1:9" ht="15" customHeight="1" x14ac:dyDescent="0.3">
      <c r="A297" t="s">
        <v>1791</v>
      </c>
      <c r="B297" t="s">
        <v>1792</v>
      </c>
      <c r="C297" s="10">
        <v>26858</v>
      </c>
      <c r="D297" t="s">
        <v>1793</v>
      </c>
      <c r="E297" t="s">
        <v>1794</v>
      </c>
      <c r="F297" t="s">
        <v>1795</v>
      </c>
      <c r="G297" t="s">
        <v>1796</v>
      </c>
      <c r="H297" s="11">
        <v>41047.224756944401</v>
      </c>
      <c r="I297" s="7" t="s">
        <v>52</v>
      </c>
    </row>
    <row r="298" spans="1:9" ht="15" customHeight="1" x14ac:dyDescent="0.3">
      <c r="A298" t="s">
        <v>1797</v>
      </c>
      <c r="B298" t="s">
        <v>1798</v>
      </c>
      <c r="C298" s="10">
        <v>35892</v>
      </c>
      <c r="D298" t="s">
        <v>1799</v>
      </c>
      <c r="E298" t="s">
        <v>1800</v>
      </c>
      <c r="F298" t="s">
        <v>1801</v>
      </c>
      <c r="G298" t="s">
        <v>1802</v>
      </c>
      <c r="H298" s="11">
        <v>44179.0405902778</v>
      </c>
      <c r="I298" s="7" t="s">
        <v>52</v>
      </c>
    </row>
    <row r="299" spans="1:9" ht="15" customHeight="1" x14ac:dyDescent="0.3">
      <c r="A299" t="s">
        <v>1803</v>
      </c>
      <c r="B299" t="s">
        <v>1804</v>
      </c>
      <c r="C299" s="10">
        <v>29465</v>
      </c>
      <c r="D299" t="s">
        <v>1805</v>
      </c>
      <c r="E299" t="s">
        <v>1806</v>
      </c>
      <c r="F299" t="s">
        <v>1807</v>
      </c>
      <c r="G299" t="s">
        <v>1808</v>
      </c>
      <c r="H299" s="11">
        <v>42952.635370370401</v>
      </c>
      <c r="I299" s="7" t="s">
        <v>33</v>
      </c>
    </row>
    <row r="300" spans="1:9" ht="15" customHeight="1" x14ac:dyDescent="0.3">
      <c r="A300" t="s">
        <v>1809</v>
      </c>
      <c r="B300" t="s">
        <v>1810</v>
      </c>
      <c r="C300" s="10">
        <v>35848</v>
      </c>
      <c r="D300" t="s">
        <v>1811</v>
      </c>
      <c r="E300" t="s">
        <v>1812</v>
      </c>
      <c r="F300" t="s">
        <v>1813</v>
      </c>
      <c r="G300" t="s">
        <v>1814</v>
      </c>
      <c r="H300" s="11">
        <v>39108.713032407402</v>
      </c>
      <c r="I300" s="7" t="s">
        <v>78</v>
      </c>
    </row>
    <row r="301" spans="1:9" ht="15" customHeight="1" x14ac:dyDescent="0.3">
      <c r="A301" t="s">
        <v>1815</v>
      </c>
      <c r="B301" t="s">
        <v>1816</v>
      </c>
      <c r="C301" s="10">
        <v>29498</v>
      </c>
      <c r="D301" t="s">
        <v>1817</v>
      </c>
      <c r="E301" t="s">
        <v>1818</v>
      </c>
      <c r="F301" t="s">
        <v>1819</v>
      </c>
      <c r="G301" t="s">
        <v>1820</v>
      </c>
      <c r="H301" s="11">
        <v>38968.985347222202</v>
      </c>
      <c r="I301" s="7" t="s">
        <v>52</v>
      </c>
    </row>
    <row r="302" spans="1:9" ht="15" customHeight="1" x14ac:dyDescent="0.3">
      <c r="A302" t="s">
        <v>1821</v>
      </c>
      <c r="B302" t="s">
        <v>1822</v>
      </c>
      <c r="C302" s="10">
        <v>29218</v>
      </c>
      <c r="D302" t="s">
        <v>1823</v>
      </c>
      <c r="E302" t="s">
        <v>1824</v>
      </c>
      <c r="F302" t="s">
        <v>1825</v>
      </c>
      <c r="G302" t="s">
        <v>1826</v>
      </c>
      <c r="H302" s="11">
        <v>38931.877152777801</v>
      </c>
      <c r="I302" s="7" t="s">
        <v>26</v>
      </c>
    </row>
    <row r="303" spans="1:9" ht="15" customHeight="1" x14ac:dyDescent="0.3">
      <c r="A303" t="s">
        <v>1827</v>
      </c>
      <c r="B303" t="s">
        <v>1828</v>
      </c>
      <c r="C303" s="10">
        <v>28664</v>
      </c>
      <c r="D303" t="s">
        <v>1829</v>
      </c>
      <c r="E303" t="s">
        <v>1830</v>
      </c>
      <c r="F303" t="s">
        <v>1831</v>
      </c>
      <c r="G303" t="s">
        <v>1832</v>
      </c>
      <c r="H303" s="11">
        <v>42467.865381944401</v>
      </c>
      <c r="I303" s="7" t="s">
        <v>33</v>
      </c>
    </row>
    <row r="304" spans="1:9" ht="15" customHeight="1" x14ac:dyDescent="0.3">
      <c r="A304" t="s">
        <v>1833</v>
      </c>
      <c r="B304" t="s">
        <v>1834</v>
      </c>
      <c r="C304" s="10">
        <v>36503</v>
      </c>
      <c r="D304" t="s">
        <v>1835</v>
      </c>
      <c r="E304" t="s">
        <v>1836</v>
      </c>
      <c r="F304" t="s">
        <v>1837</v>
      </c>
      <c r="G304" t="s">
        <v>1838</v>
      </c>
      <c r="H304" s="11">
        <v>40804.109965277799</v>
      </c>
      <c r="I304" s="7" t="s">
        <v>78</v>
      </c>
    </row>
    <row r="305" spans="1:9" ht="15" customHeight="1" x14ac:dyDescent="0.3">
      <c r="A305" t="s">
        <v>1839</v>
      </c>
      <c r="B305" t="s">
        <v>1840</v>
      </c>
      <c r="C305" s="10">
        <v>33744</v>
      </c>
      <c r="D305" t="s">
        <v>1841</v>
      </c>
      <c r="E305" t="s">
        <v>1842</v>
      </c>
      <c r="F305" t="s">
        <v>1843</v>
      </c>
      <c r="G305" t="s">
        <v>1844</v>
      </c>
      <c r="H305" s="11">
        <v>43941.971284722204</v>
      </c>
      <c r="I305" s="7" t="s">
        <v>71</v>
      </c>
    </row>
    <row r="306" spans="1:9" ht="15" customHeight="1" x14ac:dyDescent="0.3">
      <c r="A306" t="s">
        <v>1845</v>
      </c>
      <c r="B306" t="s">
        <v>1846</v>
      </c>
      <c r="C306" s="10">
        <v>25640</v>
      </c>
      <c r="D306" t="s">
        <v>1847</v>
      </c>
      <c r="E306" t="s">
        <v>1848</v>
      </c>
      <c r="F306" t="s">
        <v>1849</v>
      </c>
      <c r="G306" t="s">
        <v>1850</v>
      </c>
      <c r="H306" s="11">
        <v>40036.945949074099</v>
      </c>
      <c r="I306" s="7" t="s">
        <v>52</v>
      </c>
    </row>
    <row r="307" spans="1:9" ht="15" customHeight="1" x14ac:dyDescent="0.3">
      <c r="A307" t="s">
        <v>1851</v>
      </c>
      <c r="B307" t="s">
        <v>1852</v>
      </c>
      <c r="C307" s="10">
        <v>34770</v>
      </c>
      <c r="D307" t="s">
        <v>1853</v>
      </c>
      <c r="E307" t="s">
        <v>1854</v>
      </c>
      <c r="F307" t="s">
        <v>1855</v>
      </c>
      <c r="G307" t="s">
        <v>1856</v>
      </c>
      <c r="H307" s="11">
        <v>43019.384097222202</v>
      </c>
      <c r="I307" s="7" t="s">
        <v>52</v>
      </c>
    </row>
    <row r="308" spans="1:9" ht="15" customHeight="1" x14ac:dyDescent="0.3">
      <c r="A308" t="s">
        <v>1857</v>
      </c>
      <c r="B308" t="s">
        <v>1858</v>
      </c>
      <c r="C308" s="10">
        <v>35642</v>
      </c>
      <c r="D308" t="s">
        <v>1859</v>
      </c>
      <c r="E308" t="s">
        <v>1860</v>
      </c>
      <c r="F308" t="s">
        <v>1861</v>
      </c>
      <c r="G308" t="s">
        <v>1862</v>
      </c>
      <c r="H308" s="11">
        <v>40484.403148148202</v>
      </c>
      <c r="I308" s="7" t="s">
        <v>52</v>
      </c>
    </row>
    <row r="309" spans="1:9" ht="15" customHeight="1" x14ac:dyDescent="0.3">
      <c r="A309" t="s">
        <v>1863</v>
      </c>
      <c r="B309" t="s">
        <v>1864</v>
      </c>
      <c r="C309" s="10">
        <v>35169</v>
      </c>
      <c r="D309" t="s">
        <v>1865</v>
      </c>
      <c r="E309" t="s">
        <v>1866</v>
      </c>
      <c r="F309" t="s">
        <v>1867</v>
      </c>
      <c r="G309" t="s">
        <v>1868</v>
      </c>
      <c r="H309" s="11">
        <v>43597.135520833297</v>
      </c>
      <c r="I309" s="7" t="s">
        <v>71</v>
      </c>
    </row>
    <row r="310" spans="1:9" ht="15" customHeight="1" x14ac:dyDescent="0.3">
      <c r="A310" t="s">
        <v>1869</v>
      </c>
      <c r="B310" t="s">
        <v>1870</v>
      </c>
      <c r="C310" s="10">
        <v>28570</v>
      </c>
      <c r="D310" t="s">
        <v>1871</v>
      </c>
      <c r="E310" t="s">
        <v>1872</v>
      </c>
      <c r="F310" t="s">
        <v>1873</v>
      </c>
      <c r="G310" t="s">
        <v>1874</v>
      </c>
      <c r="H310" s="11">
        <v>41638.743819444499</v>
      </c>
      <c r="I310" s="7" t="s">
        <v>26</v>
      </c>
    </row>
    <row r="311" spans="1:9" ht="15" customHeight="1" x14ac:dyDescent="0.3">
      <c r="A311" t="s">
        <v>1875</v>
      </c>
      <c r="B311" t="s">
        <v>1876</v>
      </c>
      <c r="C311" s="10">
        <v>34096</v>
      </c>
      <c r="D311" t="s">
        <v>1877</v>
      </c>
      <c r="E311" t="s">
        <v>1878</v>
      </c>
      <c r="F311" t="s">
        <v>1879</v>
      </c>
      <c r="G311" t="s">
        <v>1880</v>
      </c>
      <c r="H311" s="11">
        <v>43349.083356481497</v>
      </c>
      <c r="I311" s="7" t="s">
        <v>78</v>
      </c>
    </row>
    <row r="312" spans="1:9" ht="15" customHeight="1" x14ac:dyDescent="0.3">
      <c r="A312" t="s">
        <v>1881</v>
      </c>
      <c r="B312" t="s">
        <v>1882</v>
      </c>
      <c r="C312" s="10">
        <v>28386</v>
      </c>
      <c r="D312" t="s">
        <v>1883</v>
      </c>
      <c r="E312" t="s">
        <v>1884</v>
      </c>
      <c r="F312" t="s">
        <v>1885</v>
      </c>
      <c r="G312" t="s">
        <v>1886</v>
      </c>
      <c r="H312" s="11">
        <v>40356.706319444398</v>
      </c>
      <c r="I312" s="7" t="s">
        <v>78</v>
      </c>
    </row>
    <row r="313" spans="1:9" ht="15" customHeight="1" x14ac:dyDescent="0.3">
      <c r="A313" t="s">
        <v>1887</v>
      </c>
      <c r="B313" t="s">
        <v>1888</v>
      </c>
      <c r="C313" s="10">
        <v>28130</v>
      </c>
      <c r="D313" t="s">
        <v>1889</v>
      </c>
      <c r="E313" t="s">
        <v>1890</v>
      </c>
      <c r="F313" t="s">
        <v>1891</v>
      </c>
      <c r="G313" t="s">
        <v>1892</v>
      </c>
      <c r="H313" s="11">
        <v>40805.0569328704</v>
      </c>
      <c r="I313" s="7" t="s">
        <v>78</v>
      </c>
    </row>
    <row r="314" spans="1:9" ht="15" customHeight="1" x14ac:dyDescent="0.3">
      <c r="A314" t="s">
        <v>1893</v>
      </c>
      <c r="B314" t="s">
        <v>1894</v>
      </c>
      <c r="C314" s="10">
        <v>33175</v>
      </c>
      <c r="D314" t="s">
        <v>1895</v>
      </c>
      <c r="E314" t="s">
        <v>1896</v>
      </c>
      <c r="F314" t="s">
        <v>1897</v>
      </c>
      <c r="G314" t="s">
        <v>1898</v>
      </c>
      <c r="H314" s="11">
        <v>43696.6538194444</v>
      </c>
      <c r="I314" s="7" t="s">
        <v>78</v>
      </c>
    </row>
    <row r="315" spans="1:9" ht="15" customHeight="1" x14ac:dyDescent="0.3">
      <c r="A315" t="s">
        <v>1899</v>
      </c>
      <c r="B315" t="s">
        <v>1900</v>
      </c>
      <c r="C315" s="10">
        <v>31598</v>
      </c>
      <c r="D315" t="s">
        <v>1901</v>
      </c>
      <c r="E315" t="s">
        <v>1902</v>
      </c>
      <c r="F315" t="s">
        <v>1903</v>
      </c>
      <c r="G315" t="s">
        <v>1904</v>
      </c>
      <c r="H315" s="11">
        <v>39245.028564814798</v>
      </c>
      <c r="I315" s="7" t="s">
        <v>78</v>
      </c>
    </row>
    <row r="316" spans="1:9" ht="15" customHeight="1" x14ac:dyDescent="0.3">
      <c r="A316" t="s">
        <v>1905</v>
      </c>
      <c r="B316" t="s">
        <v>1906</v>
      </c>
      <c r="C316" s="10">
        <v>27362</v>
      </c>
      <c r="D316" t="s">
        <v>1907</v>
      </c>
      <c r="E316" t="s">
        <v>1908</v>
      </c>
      <c r="F316" t="s">
        <v>1909</v>
      </c>
      <c r="G316" t="s">
        <v>1910</v>
      </c>
      <c r="H316" s="11">
        <v>38463.197638888902</v>
      </c>
      <c r="I316" s="7" t="s">
        <v>71</v>
      </c>
    </row>
    <row r="317" spans="1:9" ht="15" customHeight="1" x14ac:dyDescent="0.3">
      <c r="A317" t="s">
        <v>1911</v>
      </c>
      <c r="B317" t="s">
        <v>1912</v>
      </c>
      <c r="C317" s="10">
        <v>32655</v>
      </c>
      <c r="D317" t="s">
        <v>1913</v>
      </c>
      <c r="E317" t="s">
        <v>1914</v>
      </c>
      <c r="F317" t="s">
        <v>1915</v>
      </c>
      <c r="G317" t="s">
        <v>1916</v>
      </c>
      <c r="H317" s="11">
        <v>41802.5676157407</v>
      </c>
      <c r="I317" s="7" t="s">
        <v>33</v>
      </c>
    </row>
    <row r="318" spans="1:9" ht="15" customHeight="1" x14ac:dyDescent="0.3">
      <c r="A318" t="s">
        <v>1917</v>
      </c>
      <c r="B318" t="s">
        <v>1918</v>
      </c>
      <c r="C318" s="10">
        <v>36357</v>
      </c>
      <c r="D318" t="s">
        <v>1919</v>
      </c>
      <c r="E318" t="s">
        <v>1920</v>
      </c>
      <c r="F318" t="s">
        <v>1921</v>
      </c>
      <c r="G318" t="s">
        <v>1922</v>
      </c>
      <c r="H318" s="11">
        <v>42936.0398263889</v>
      </c>
      <c r="I318" s="7" t="s">
        <v>33</v>
      </c>
    </row>
    <row r="319" spans="1:9" ht="15" customHeight="1" x14ac:dyDescent="0.3">
      <c r="A319" t="s">
        <v>1923</v>
      </c>
      <c r="B319" t="s">
        <v>1924</v>
      </c>
      <c r="C319" s="10">
        <v>31582</v>
      </c>
      <c r="D319" t="s">
        <v>1925</v>
      </c>
      <c r="E319" t="s">
        <v>1926</v>
      </c>
      <c r="F319" t="s">
        <v>1927</v>
      </c>
      <c r="G319" t="s">
        <v>1928</v>
      </c>
      <c r="H319" s="11">
        <v>41730.881099537</v>
      </c>
      <c r="I319" s="7" t="s">
        <v>71</v>
      </c>
    </row>
    <row r="320" spans="1:9" ht="15" customHeight="1" x14ac:dyDescent="0.3">
      <c r="A320" t="s">
        <v>1929</v>
      </c>
      <c r="B320" t="s">
        <v>1930</v>
      </c>
      <c r="C320" s="10">
        <v>26761</v>
      </c>
      <c r="D320" t="s">
        <v>1931</v>
      </c>
      <c r="E320" t="s">
        <v>1932</v>
      </c>
      <c r="F320" t="s">
        <v>1933</v>
      </c>
      <c r="G320" t="s">
        <v>1934</v>
      </c>
      <c r="H320" s="11">
        <v>39980.554618055598</v>
      </c>
      <c r="I320" s="7" t="s">
        <v>26</v>
      </c>
    </row>
    <row r="321" spans="1:9" ht="15" customHeight="1" x14ac:dyDescent="0.3">
      <c r="A321" t="s">
        <v>1935</v>
      </c>
      <c r="B321" t="s">
        <v>1936</v>
      </c>
      <c r="C321" s="10">
        <v>28175</v>
      </c>
      <c r="D321" t="s">
        <v>1937</v>
      </c>
      <c r="E321" t="s">
        <v>1938</v>
      </c>
      <c r="F321" t="s">
        <v>1939</v>
      </c>
      <c r="G321" t="s">
        <v>1940</v>
      </c>
      <c r="H321" s="11">
        <v>43451.264594907399</v>
      </c>
      <c r="I321" s="7" t="s">
        <v>71</v>
      </c>
    </row>
    <row r="322" spans="1:9" ht="15" customHeight="1" x14ac:dyDescent="0.3">
      <c r="A322" t="s">
        <v>1941</v>
      </c>
      <c r="B322" t="s">
        <v>1942</v>
      </c>
      <c r="C322" s="10">
        <v>27537</v>
      </c>
      <c r="D322" t="s">
        <v>1943</v>
      </c>
      <c r="E322" t="s">
        <v>1944</v>
      </c>
      <c r="F322" t="s">
        <v>1945</v>
      </c>
      <c r="G322" t="s">
        <v>1946</v>
      </c>
      <c r="H322" s="11">
        <v>39657.621053240699</v>
      </c>
      <c r="I322" s="7" t="s">
        <v>71</v>
      </c>
    </row>
    <row r="323" spans="1:9" ht="15" customHeight="1" x14ac:dyDescent="0.3">
      <c r="A323" t="s">
        <v>1947</v>
      </c>
      <c r="B323" t="s">
        <v>1948</v>
      </c>
      <c r="C323" s="10">
        <v>31152</v>
      </c>
      <c r="D323" t="s">
        <v>1949</v>
      </c>
      <c r="E323" t="s">
        <v>1950</v>
      </c>
      <c r="F323" t="s">
        <v>1951</v>
      </c>
      <c r="G323" t="s">
        <v>1952</v>
      </c>
      <c r="H323" s="11">
        <v>43159.121932870403</v>
      </c>
      <c r="I323" s="7" t="s">
        <v>71</v>
      </c>
    </row>
    <row r="324" spans="1:9" ht="15" customHeight="1" x14ac:dyDescent="0.3">
      <c r="A324" t="s">
        <v>1953</v>
      </c>
      <c r="B324" t="s">
        <v>1954</v>
      </c>
      <c r="C324" s="10">
        <v>30681</v>
      </c>
      <c r="D324" t="s">
        <v>1955</v>
      </c>
      <c r="E324" t="s">
        <v>1956</v>
      </c>
      <c r="F324" t="s">
        <v>1957</v>
      </c>
      <c r="G324" t="s">
        <v>1958</v>
      </c>
      <c r="H324" s="11">
        <v>42053.271342592598</v>
      </c>
      <c r="I324" s="7" t="s">
        <v>71</v>
      </c>
    </row>
    <row r="325" spans="1:9" ht="15" customHeight="1" x14ac:dyDescent="0.3">
      <c r="A325" t="s">
        <v>1959</v>
      </c>
      <c r="B325" t="s">
        <v>1960</v>
      </c>
      <c r="C325" s="10">
        <v>31120</v>
      </c>
      <c r="D325" t="s">
        <v>1961</v>
      </c>
      <c r="E325" t="s">
        <v>1962</v>
      </c>
      <c r="F325" t="s">
        <v>1963</v>
      </c>
      <c r="G325" t="s">
        <v>1964</v>
      </c>
      <c r="H325" s="11">
        <v>44271.468865740702</v>
      </c>
      <c r="I325" s="7" t="s">
        <v>78</v>
      </c>
    </row>
    <row r="326" spans="1:9" ht="15" customHeight="1" x14ac:dyDescent="0.3">
      <c r="A326" t="s">
        <v>1965</v>
      </c>
      <c r="B326" t="s">
        <v>1966</v>
      </c>
      <c r="C326" s="10">
        <v>28437</v>
      </c>
      <c r="D326" t="s">
        <v>1967</v>
      </c>
      <c r="E326" t="s">
        <v>1968</v>
      </c>
      <c r="F326" t="s">
        <v>1969</v>
      </c>
      <c r="G326" t="s">
        <v>1970</v>
      </c>
      <c r="H326" s="11">
        <v>44282.705451388902</v>
      </c>
      <c r="I326" s="7" t="s">
        <v>33</v>
      </c>
    </row>
    <row r="327" spans="1:9" ht="15" customHeight="1" x14ac:dyDescent="0.3">
      <c r="A327" t="s">
        <v>1971</v>
      </c>
      <c r="B327" t="s">
        <v>1972</v>
      </c>
      <c r="C327" s="10">
        <v>29111</v>
      </c>
      <c r="D327" t="s">
        <v>1973</v>
      </c>
      <c r="E327" t="s">
        <v>1974</v>
      </c>
      <c r="F327" t="s">
        <v>1975</v>
      </c>
      <c r="G327" t="s">
        <v>1976</v>
      </c>
      <c r="H327" s="11">
        <v>41388.445486111101</v>
      </c>
      <c r="I327" s="7" t="s">
        <v>26</v>
      </c>
    </row>
    <row r="328" spans="1:9" ht="15" customHeight="1" x14ac:dyDescent="0.3">
      <c r="A328" t="s">
        <v>1977</v>
      </c>
      <c r="B328" t="s">
        <v>1978</v>
      </c>
      <c r="C328" s="10">
        <v>32451</v>
      </c>
      <c r="D328" t="s">
        <v>1979</v>
      </c>
      <c r="E328" t="s">
        <v>1980</v>
      </c>
      <c r="F328" t="s">
        <v>1981</v>
      </c>
      <c r="G328" t="s">
        <v>1982</v>
      </c>
      <c r="H328" s="11">
        <v>38477.986006944499</v>
      </c>
      <c r="I328" s="7" t="s">
        <v>52</v>
      </c>
    </row>
    <row r="329" spans="1:9" ht="15" customHeight="1" x14ac:dyDescent="0.3">
      <c r="A329" t="s">
        <v>1983</v>
      </c>
      <c r="B329" t="s">
        <v>1984</v>
      </c>
      <c r="C329" s="10">
        <v>32132</v>
      </c>
      <c r="D329" t="s">
        <v>1985</v>
      </c>
      <c r="E329" t="s">
        <v>1986</v>
      </c>
      <c r="F329" t="s">
        <v>1987</v>
      </c>
      <c r="G329" t="s">
        <v>1988</v>
      </c>
      <c r="H329" s="11">
        <v>43550.374409722201</v>
      </c>
      <c r="I329" s="7" t="s">
        <v>33</v>
      </c>
    </row>
    <row r="330" spans="1:9" ht="15" customHeight="1" x14ac:dyDescent="0.3">
      <c r="A330" t="s">
        <v>1989</v>
      </c>
      <c r="B330" t="s">
        <v>1990</v>
      </c>
      <c r="C330" s="10">
        <v>36108</v>
      </c>
      <c r="D330" t="s">
        <v>1991</v>
      </c>
      <c r="E330" t="s">
        <v>1992</v>
      </c>
      <c r="F330" t="s">
        <v>1993</v>
      </c>
      <c r="G330" t="s">
        <v>1994</v>
      </c>
      <c r="H330" s="11">
        <v>40318.584016203698</v>
      </c>
      <c r="I330" s="7" t="s">
        <v>33</v>
      </c>
    </row>
    <row r="331" spans="1:9" ht="15" customHeight="1" x14ac:dyDescent="0.3">
      <c r="A331" t="s">
        <v>1995</v>
      </c>
      <c r="B331" t="s">
        <v>1996</v>
      </c>
      <c r="C331" s="10">
        <v>29498</v>
      </c>
      <c r="D331" t="s">
        <v>1997</v>
      </c>
      <c r="E331" t="s">
        <v>1998</v>
      </c>
      <c r="F331" t="s">
        <v>1999</v>
      </c>
      <c r="G331" t="s">
        <v>2000</v>
      </c>
      <c r="H331" s="11">
        <v>43718.914166666698</v>
      </c>
      <c r="I331" s="7" t="s">
        <v>78</v>
      </c>
    </row>
    <row r="332" spans="1:9" ht="15" customHeight="1" x14ac:dyDescent="0.3">
      <c r="A332" t="s">
        <v>2001</v>
      </c>
      <c r="B332" t="s">
        <v>2002</v>
      </c>
      <c r="C332" s="10">
        <v>32483</v>
      </c>
      <c r="D332" t="s">
        <v>2003</v>
      </c>
      <c r="E332" t="s">
        <v>2004</v>
      </c>
      <c r="F332" t="s">
        <v>2005</v>
      </c>
      <c r="G332" t="s">
        <v>2006</v>
      </c>
      <c r="H332" s="11">
        <v>42585.047337962998</v>
      </c>
      <c r="I332" s="7" t="s">
        <v>33</v>
      </c>
    </row>
    <row r="333" spans="1:9" ht="15" customHeight="1" x14ac:dyDescent="0.3">
      <c r="A333" t="s">
        <v>2007</v>
      </c>
      <c r="B333" t="s">
        <v>2008</v>
      </c>
      <c r="C333" s="10">
        <v>36142</v>
      </c>
      <c r="D333" t="s">
        <v>2009</v>
      </c>
      <c r="E333" t="s">
        <v>2010</v>
      </c>
      <c r="F333" t="s">
        <v>2011</v>
      </c>
      <c r="G333" t="s">
        <v>2012</v>
      </c>
      <c r="H333" s="11">
        <v>41792.794606481497</v>
      </c>
      <c r="I333" s="7" t="s">
        <v>78</v>
      </c>
    </row>
    <row r="334" spans="1:9" ht="15" customHeight="1" x14ac:dyDescent="0.3">
      <c r="A334" t="s">
        <v>2013</v>
      </c>
      <c r="B334" t="s">
        <v>2014</v>
      </c>
      <c r="C334" s="10">
        <v>30238</v>
      </c>
      <c r="D334" t="s">
        <v>2015</v>
      </c>
      <c r="E334" t="s">
        <v>2016</v>
      </c>
      <c r="F334" t="s">
        <v>2017</v>
      </c>
      <c r="G334" t="s">
        <v>2018</v>
      </c>
      <c r="H334" s="11">
        <v>43326.968159722201</v>
      </c>
      <c r="I334" s="7" t="s">
        <v>26</v>
      </c>
    </row>
    <row r="335" spans="1:9" ht="15" customHeight="1" x14ac:dyDescent="0.3">
      <c r="A335" t="s">
        <v>2019</v>
      </c>
      <c r="B335" t="s">
        <v>2020</v>
      </c>
      <c r="C335" s="10">
        <v>28616</v>
      </c>
      <c r="D335" t="s">
        <v>2021</v>
      </c>
      <c r="E335" t="s">
        <v>2022</v>
      </c>
      <c r="F335" t="s">
        <v>2023</v>
      </c>
      <c r="G335" t="s">
        <v>2024</v>
      </c>
      <c r="H335" s="11">
        <v>40011.492523148198</v>
      </c>
      <c r="I335" s="7" t="s">
        <v>78</v>
      </c>
    </row>
    <row r="336" spans="1:9" ht="15" customHeight="1" x14ac:dyDescent="0.3">
      <c r="A336" t="s">
        <v>2025</v>
      </c>
      <c r="B336" t="s">
        <v>2026</v>
      </c>
      <c r="C336" s="10">
        <v>25675</v>
      </c>
      <c r="D336" t="s">
        <v>2027</v>
      </c>
      <c r="E336" t="s">
        <v>2028</v>
      </c>
      <c r="F336" t="s">
        <v>2029</v>
      </c>
      <c r="G336" t="s">
        <v>2030</v>
      </c>
      <c r="H336" s="11">
        <v>40066.363703703697</v>
      </c>
      <c r="I336" s="7" t="s">
        <v>52</v>
      </c>
    </row>
    <row r="337" spans="1:9" ht="15" customHeight="1" x14ac:dyDescent="0.3">
      <c r="A337" t="s">
        <v>2031</v>
      </c>
      <c r="B337" t="s">
        <v>2032</v>
      </c>
      <c r="C337" s="10">
        <v>34604</v>
      </c>
      <c r="D337" t="s">
        <v>2033</v>
      </c>
      <c r="E337" t="s">
        <v>2034</v>
      </c>
      <c r="F337" t="s">
        <v>2035</v>
      </c>
      <c r="G337" t="s">
        <v>2036</v>
      </c>
      <c r="H337" s="11">
        <v>43614.981643518498</v>
      </c>
      <c r="I337" s="7" t="s">
        <v>52</v>
      </c>
    </row>
    <row r="338" spans="1:9" ht="15" customHeight="1" x14ac:dyDescent="0.3">
      <c r="A338" t="s">
        <v>2037</v>
      </c>
      <c r="B338" t="s">
        <v>2038</v>
      </c>
      <c r="C338" s="10">
        <v>28354</v>
      </c>
      <c r="D338" t="s">
        <v>2039</v>
      </c>
      <c r="E338" t="s">
        <v>2040</v>
      </c>
      <c r="F338" t="s">
        <v>2041</v>
      </c>
      <c r="G338" t="s">
        <v>2042</v>
      </c>
      <c r="H338" s="11">
        <v>40835.279652777797</v>
      </c>
      <c r="I338" s="7" t="s">
        <v>71</v>
      </c>
    </row>
    <row r="339" spans="1:9" ht="15" customHeight="1" x14ac:dyDescent="0.3">
      <c r="A339" t="s">
        <v>2043</v>
      </c>
      <c r="B339" t="s">
        <v>2044</v>
      </c>
      <c r="C339" s="10">
        <v>25596</v>
      </c>
      <c r="D339" t="s">
        <v>2045</v>
      </c>
      <c r="E339" t="s">
        <v>2046</v>
      </c>
      <c r="F339" t="s">
        <v>2047</v>
      </c>
      <c r="G339" t="s">
        <v>2048</v>
      </c>
      <c r="H339" s="11">
        <v>42421.659166666701</v>
      </c>
      <c r="I339" s="7" t="s">
        <v>33</v>
      </c>
    </row>
    <row r="340" spans="1:9" ht="15" customHeight="1" x14ac:dyDescent="0.3">
      <c r="A340" t="s">
        <v>2049</v>
      </c>
      <c r="B340" t="s">
        <v>2050</v>
      </c>
      <c r="C340" s="10">
        <v>30670</v>
      </c>
      <c r="D340" t="s">
        <v>2051</v>
      </c>
      <c r="E340" t="s">
        <v>2052</v>
      </c>
      <c r="F340" t="s">
        <v>2053</v>
      </c>
      <c r="G340" t="s">
        <v>2054</v>
      </c>
      <c r="H340" s="11">
        <v>40882.152013888903</v>
      </c>
      <c r="I340" s="7" t="s">
        <v>52</v>
      </c>
    </row>
    <row r="341" spans="1:9" ht="15" customHeight="1" x14ac:dyDescent="0.3">
      <c r="A341" t="s">
        <v>2055</v>
      </c>
      <c r="B341" t="s">
        <v>2056</v>
      </c>
      <c r="C341" s="10">
        <v>26257</v>
      </c>
      <c r="D341" t="s">
        <v>2057</v>
      </c>
      <c r="E341" t="s">
        <v>2058</v>
      </c>
      <c r="F341" t="s">
        <v>2059</v>
      </c>
      <c r="G341" t="s">
        <v>2060</v>
      </c>
      <c r="H341" s="11">
        <v>41208.0874652778</v>
      </c>
      <c r="I341" s="7" t="s">
        <v>52</v>
      </c>
    </row>
    <row r="342" spans="1:9" ht="15" customHeight="1" x14ac:dyDescent="0.3">
      <c r="A342" t="s">
        <v>2061</v>
      </c>
      <c r="B342" t="s">
        <v>2062</v>
      </c>
      <c r="C342" s="10">
        <v>33092</v>
      </c>
      <c r="D342" t="s">
        <v>2063</v>
      </c>
      <c r="E342" t="s">
        <v>2064</v>
      </c>
      <c r="F342" t="s">
        <v>2065</v>
      </c>
      <c r="G342" t="s">
        <v>2066</v>
      </c>
      <c r="H342" s="11">
        <v>44074.103321759299</v>
      </c>
      <c r="I342" s="7" t="s">
        <v>26</v>
      </c>
    </row>
    <row r="343" spans="1:9" ht="15" customHeight="1" x14ac:dyDescent="0.3">
      <c r="A343" t="s">
        <v>2067</v>
      </c>
      <c r="B343" t="s">
        <v>2068</v>
      </c>
      <c r="C343" s="10">
        <v>25702</v>
      </c>
      <c r="D343" t="s">
        <v>2069</v>
      </c>
      <c r="E343" t="s">
        <v>2070</v>
      </c>
      <c r="F343" t="s">
        <v>2071</v>
      </c>
      <c r="G343" t="s">
        <v>2072</v>
      </c>
      <c r="H343" s="11">
        <v>41803.757210648197</v>
      </c>
      <c r="I343" s="7" t="s">
        <v>52</v>
      </c>
    </row>
    <row r="344" spans="1:9" ht="15" customHeight="1" x14ac:dyDescent="0.3">
      <c r="A344" t="s">
        <v>2073</v>
      </c>
      <c r="B344" t="s">
        <v>2074</v>
      </c>
      <c r="C344" s="10">
        <v>32427</v>
      </c>
      <c r="D344" t="s">
        <v>2075</v>
      </c>
      <c r="E344" t="s">
        <v>2076</v>
      </c>
      <c r="F344" t="s">
        <v>2077</v>
      </c>
      <c r="G344" t="s">
        <v>2078</v>
      </c>
      <c r="H344" s="11">
        <v>41301.653761574104</v>
      </c>
      <c r="I344" s="7" t="s">
        <v>71</v>
      </c>
    </row>
    <row r="345" spans="1:9" ht="15" customHeight="1" x14ac:dyDescent="0.3">
      <c r="A345" t="s">
        <v>2079</v>
      </c>
      <c r="B345" t="s">
        <v>2080</v>
      </c>
      <c r="C345" s="10">
        <v>35312</v>
      </c>
      <c r="D345" t="s">
        <v>2081</v>
      </c>
      <c r="E345" t="s">
        <v>2082</v>
      </c>
      <c r="F345" t="s">
        <v>2083</v>
      </c>
      <c r="G345" t="s">
        <v>2084</v>
      </c>
      <c r="H345" s="11">
        <v>40024.663113425901</v>
      </c>
      <c r="I345" s="7" t="s">
        <v>78</v>
      </c>
    </row>
    <row r="346" spans="1:9" ht="15" customHeight="1" x14ac:dyDescent="0.3">
      <c r="A346" t="s">
        <v>2085</v>
      </c>
      <c r="B346" t="s">
        <v>2086</v>
      </c>
      <c r="C346" s="10">
        <v>34563</v>
      </c>
      <c r="D346" t="s">
        <v>2087</v>
      </c>
      <c r="E346" t="s">
        <v>2088</v>
      </c>
      <c r="F346" t="s">
        <v>2089</v>
      </c>
      <c r="G346" t="s">
        <v>2090</v>
      </c>
      <c r="H346" s="11">
        <v>41991.866886574098</v>
      </c>
      <c r="I346" s="7" t="s">
        <v>71</v>
      </c>
    </row>
    <row r="347" spans="1:9" ht="15" customHeight="1" x14ac:dyDescent="0.3">
      <c r="A347" t="s">
        <v>2091</v>
      </c>
      <c r="B347" t="s">
        <v>2092</v>
      </c>
      <c r="C347" s="10">
        <v>28735</v>
      </c>
      <c r="D347" t="s">
        <v>2093</v>
      </c>
      <c r="E347" t="s">
        <v>2094</v>
      </c>
      <c r="F347" t="s">
        <v>2095</v>
      </c>
      <c r="G347" t="s">
        <v>2096</v>
      </c>
      <c r="H347" s="11">
        <v>39105.5311574074</v>
      </c>
      <c r="I347" s="7" t="s">
        <v>26</v>
      </c>
    </row>
    <row r="348" spans="1:9" ht="15" customHeight="1" x14ac:dyDescent="0.3">
      <c r="A348" t="s">
        <v>2097</v>
      </c>
      <c r="B348" t="s">
        <v>2098</v>
      </c>
      <c r="C348" s="10">
        <v>33241</v>
      </c>
      <c r="D348" t="s">
        <v>2099</v>
      </c>
      <c r="E348" t="s">
        <v>2100</v>
      </c>
      <c r="F348" t="s">
        <v>2101</v>
      </c>
      <c r="G348" t="s">
        <v>2102</v>
      </c>
      <c r="H348" s="11">
        <v>41975.049131944397</v>
      </c>
      <c r="I348" s="7" t="s">
        <v>52</v>
      </c>
    </row>
    <row r="349" spans="1:9" ht="15" customHeight="1" x14ac:dyDescent="0.3">
      <c r="A349" t="s">
        <v>2103</v>
      </c>
      <c r="B349" t="s">
        <v>2104</v>
      </c>
      <c r="C349" s="10">
        <v>31801</v>
      </c>
      <c r="D349" t="s">
        <v>2105</v>
      </c>
      <c r="E349" t="s">
        <v>2106</v>
      </c>
      <c r="F349" t="s">
        <v>2107</v>
      </c>
      <c r="G349" t="s">
        <v>2108</v>
      </c>
      <c r="H349" s="11">
        <v>42753.787187499998</v>
      </c>
      <c r="I349" s="7" t="s">
        <v>33</v>
      </c>
    </row>
    <row r="350" spans="1:9" ht="15" customHeight="1" x14ac:dyDescent="0.3">
      <c r="A350" t="s">
        <v>2109</v>
      </c>
      <c r="B350" t="s">
        <v>2110</v>
      </c>
      <c r="C350" s="10">
        <v>27619</v>
      </c>
      <c r="D350" t="s">
        <v>2111</v>
      </c>
      <c r="E350" t="s">
        <v>2112</v>
      </c>
      <c r="F350" t="s">
        <v>2113</v>
      </c>
      <c r="G350" t="s">
        <v>2114</v>
      </c>
      <c r="H350" s="11">
        <v>41237.635428240697</v>
      </c>
      <c r="I350" s="7" t="s">
        <v>52</v>
      </c>
    </row>
    <row r="351" spans="1:9" ht="15" customHeight="1" x14ac:dyDescent="0.3">
      <c r="A351" t="s">
        <v>2115</v>
      </c>
      <c r="B351" t="s">
        <v>2116</v>
      </c>
      <c r="C351" s="10">
        <v>29992</v>
      </c>
      <c r="D351" t="s">
        <v>2117</v>
      </c>
      <c r="E351" t="s">
        <v>2118</v>
      </c>
      <c r="F351" t="s">
        <v>2119</v>
      </c>
      <c r="G351" t="s">
        <v>2120</v>
      </c>
      <c r="H351" s="11">
        <v>38605.2588888889</v>
      </c>
      <c r="I351" s="7" t="s">
        <v>26</v>
      </c>
    </row>
    <row r="352" spans="1:9" ht="15" customHeight="1" x14ac:dyDescent="0.3">
      <c r="A352" t="s">
        <v>2121</v>
      </c>
      <c r="B352" t="s">
        <v>2122</v>
      </c>
      <c r="C352" s="10">
        <v>32695</v>
      </c>
      <c r="D352" t="s">
        <v>2123</v>
      </c>
      <c r="E352" t="s">
        <v>2124</v>
      </c>
      <c r="F352" t="s">
        <v>2125</v>
      </c>
      <c r="G352" t="s">
        <v>2126</v>
      </c>
      <c r="H352" s="11">
        <v>38613.137199074103</v>
      </c>
      <c r="I352" s="7" t="s">
        <v>33</v>
      </c>
    </row>
    <row r="353" spans="1:9" ht="15" customHeight="1" x14ac:dyDescent="0.3">
      <c r="A353" t="s">
        <v>2127</v>
      </c>
      <c r="B353" t="s">
        <v>2128</v>
      </c>
      <c r="C353" s="10">
        <v>28237</v>
      </c>
      <c r="D353" t="s">
        <v>2129</v>
      </c>
      <c r="E353" t="s">
        <v>2130</v>
      </c>
      <c r="F353" t="s">
        <v>2131</v>
      </c>
      <c r="G353" t="s">
        <v>2132</v>
      </c>
      <c r="H353" s="11">
        <v>40867.765462962998</v>
      </c>
      <c r="I353" s="7" t="s">
        <v>78</v>
      </c>
    </row>
    <row r="354" spans="1:9" ht="15" customHeight="1" x14ac:dyDescent="0.3">
      <c r="A354" t="s">
        <v>2133</v>
      </c>
      <c r="B354" t="s">
        <v>2134</v>
      </c>
      <c r="C354" s="10">
        <v>30148</v>
      </c>
      <c r="D354" t="s">
        <v>2135</v>
      </c>
      <c r="E354" t="s">
        <v>2136</v>
      </c>
      <c r="F354" t="s">
        <v>2137</v>
      </c>
      <c r="G354" t="s">
        <v>2138</v>
      </c>
      <c r="H354" s="11">
        <v>42202.526562500003</v>
      </c>
      <c r="I354" s="7" t="s">
        <v>33</v>
      </c>
    </row>
    <row r="355" spans="1:9" ht="15" customHeight="1" x14ac:dyDescent="0.3">
      <c r="A355" t="s">
        <v>2139</v>
      </c>
      <c r="B355" t="s">
        <v>2140</v>
      </c>
      <c r="C355" s="10">
        <v>26103</v>
      </c>
      <c r="D355" t="s">
        <v>2141</v>
      </c>
      <c r="E355" t="s">
        <v>2142</v>
      </c>
      <c r="F355" t="s">
        <v>2143</v>
      </c>
      <c r="G355" t="s">
        <v>2144</v>
      </c>
      <c r="H355" s="11">
        <v>43032.4851851852</v>
      </c>
      <c r="I355" s="7" t="s">
        <v>26</v>
      </c>
    </row>
    <row r="356" spans="1:9" ht="15" customHeight="1" x14ac:dyDescent="0.3">
      <c r="A356" t="s">
        <v>2145</v>
      </c>
      <c r="B356" t="s">
        <v>2146</v>
      </c>
      <c r="C356" s="10">
        <v>28928</v>
      </c>
      <c r="D356" t="s">
        <v>2147</v>
      </c>
      <c r="E356" t="s">
        <v>2148</v>
      </c>
      <c r="F356" t="s">
        <v>2149</v>
      </c>
      <c r="G356" t="s">
        <v>2150</v>
      </c>
      <c r="H356" s="11">
        <v>41961.869675925896</v>
      </c>
      <c r="I356" s="7" t="s">
        <v>71</v>
      </c>
    </row>
    <row r="357" spans="1:9" ht="15" customHeight="1" x14ac:dyDescent="0.3">
      <c r="A357" t="s">
        <v>2151</v>
      </c>
      <c r="B357" t="s">
        <v>2152</v>
      </c>
      <c r="C357" s="10">
        <v>33620</v>
      </c>
      <c r="D357" t="s">
        <v>2153</v>
      </c>
      <c r="E357" t="s">
        <v>2154</v>
      </c>
      <c r="F357" t="s">
        <v>2155</v>
      </c>
      <c r="G357" t="s">
        <v>2156</v>
      </c>
      <c r="H357" s="11">
        <v>41377.941226851901</v>
      </c>
      <c r="I357" s="7" t="s">
        <v>26</v>
      </c>
    </row>
    <row r="358" spans="1:9" ht="15" customHeight="1" x14ac:dyDescent="0.3">
      <c r="A358" t="s">
        <v>2157</v>
      </c>
      <c r="B358" t="s">
        <v>2158</v>
      </c>
      <c r="C358" s="10">
        <v>30964</v>
      </c>
      <c r="D358" t="s">
        <v>2159</v>
      </c>
      <c r="E358" t="s">
        <v>2160</v>
      </c>
      <c r="F358" t="s">
        <v>2161</v>
      </c>
      <c r="G358" t="s">
        <v>2162</v>
      </c>
      <c r="H358" s="11">
        <v>40558.029872685198</v>
      </c>
      <c r="I358" s="7" t="s">
        <v>78</v>
      </c>
    </row>
    <row r="359" spans="1:9" ht="15" customHeight="1" x14ac:dyDescent="0.3">
      <c r="A359" t="s">
        <v>2163</v>
      </c>
      <c r="B359" t="s">
        <v>2164</v>
      </c>
      <c r="C359" s="10">
        <v>26676</v>
      </c>
      <c r="D359" t="s">
        <v>2165</v>
      </c>
      <c r="E359" t="s">
        <v>2166</v>
      </c>
      <c r="F359" t="s">
        <v>2167</v>
      </c>
      <c r="G359" t="s">
        <v>2168</v>
      </c>
      <c r="H359" s="11">
        <v>38731.011747685203</v>
      </c>
      <c r="I359" s="7" t="s">
        <v>71</v>
      </c>
    </row>
    <row r="360" spans="1:9" ht="15" customHeight="1" x14ac:dyDescent="0.3">
      <c r="A360" t="s">
        <v>2169</v>
      </c>
      <c r="B360" t="s">
        <v>2170</v>
      </c>
      <c r="C360" s="10">
        <v>33324</v>
      </c>
      <c r="D360" t="s">
        <v>2171</v>
      </c>
      <c r="E360" t="s">
        <v>2172</v>
      </c>
      <c r="F360" t="s">
        <v>2173</v>
      </c>
      <c r="G360" t="s">
        <v>2174</v>
      </c>
      <c r="H360" s="11">
        <v>41943.101666666698</v>
      </c>
      <c r="I360" s="7" t="s">
        <v>26</v>
      </c>
    </row>
    <row r="361" spans="1:9" ht="15" customHeight="1" x14ac:dyDescent="0.3">
      <c r="A361" t="s">
        <v>2175</v>
      </c>
      <c r="B361" t="s">
        <v>2176</v>
      </c>
      <c r="C361" s="10">
        <v>34225</v>
      </c>
      <c r="D361" t="s">
        <v>2177</v>
      </c>
      <c r="E361" t="s">
        <v>2178</v>
      </c>
      <c r="F361" t="s">
        <v>2179</v>
      </c>
      <c r="G361" t="s">
        <v>2180</v>
      </c>
      <c r="H361" s="11">
        <v>40604.475810185198</v>
      </c>
      <c r="I361" s="7" t="s">
        <v>52</v>
      </c>
    </row>
    <row r="362" spans="1:9" ht="15" customHeight="1" x14ac:dyDescent="0.3">
      <c r="A362" t="s">
        <v>2181</v>
      </c>
      <c r="B362" t="s">
        <v>2182</v>
      </c>
      <c r="C362" s="10">
        <v>34920</v>
      </c>
      <c r="D362" t="s">
        <v>2183</v>
      </c>
      <c r="E362" t="s">
        <v>2184</v>
      </c>
      <c r="F362" t="s">
        <v>2185</v>
      </c>
      <c r="G362" t="s">
        <v>2186</v>
      </c>
      <c r="H362" s="11">
        <v>43487.443865740701</v>
      </c>
      <c r="I362" s="7" t="s">
        <v>26</v>
      </c>
    </row>
    <row r="363" spans="1:9" ht="15" customHeight="1" x14ac:dyDescent="0.3">
      <c r="A363" t="s">
        <v>2187</v>
      </c>
      <c r="B363" t="s">
        <v>2188</v>
      </c>
      <c r="C363" s="10">
        <v>34272</v>
      </c>
      <c r="D363" t="s">
        <v>2189</v>
      </c>
      <c r="E363" t="s">
        <v>2190</v>
      </c>
      <c r="F363" t="s">
        <v>2191</v>
      </c>
      <c r="G363" t="s">
        <v>2192</v>
      </c>
      <c r="H363" s="11">
        <v>44257.787569444401</v>
      </c>
      <c r="I363" s="7" t="s">
        <v>71</v>
      </c>
    </row>
    <row r="364" spans="1:9" ht="15" customHeight="1" x14ac:dyDescent="0.3">
      <c r="A364" t="s">
        <v>2193</v>
      </c>
      <c r="B364" t="s">
        <v>2194</v>
      </c>
      <c r="C364" s="10">
        <v>34052</v>
      </c>
      <c r="D364" t="s">
        <v>2195</v>
      </c>
      <c r="E364" t="s">
        <v>2196</v>
      </c>
      <c r="F364" t="s">
        <v>2197</v>
      </c>
      <c r="G364" t="s">
        <v>2198</v>
      </c>
      <c r="H364" s="11">
        <v>43772.512962963003</v>
      </c>
      <c r="I364" s="7" t="s">
        <v>71</v>
      </c>
    </row>
    <row r="365" spans="1:9" ht="15" customHeight="1" x14ac:dyDescent="0.3">
      <c r="A365" t="s">
        <v>2199</v>
      </c>
      <c r="B365" t="s">
        <v>2200</v>
      </c>
      <c r="C365" s="10">
        <v>30826</v>
      </c>
      <c r="D365" t="s">
        <v>2201</v>
      </c>
      <c r="E365" t="s">
        <v>2202</v>
      </c>
      <c r="F365" t="s">
        <v>2203</v>
      </c>
      <c r="G365" t="s">
        <v>2204</v>
      </c>
      <c r="H365" s="11">
        <v>39670.150810185201</v>
      </c>
      <c r="I365" s="7" t="s">
        <v>26</v>
      </c>
    </row>
    <row r="366" spans="1:9" ht="15" customHeight="1" x14ac:dyDescent="0.3">
      <c r="A366" t="s">
        <v>2205</v>
      </c>
      <c r="B366" t="s">
        <v>2206</v>
      </c>
      <c r="C366" s="10">
        <v>34359</v>
      </c>
      <c r="D366" t="s">
        <v>2207</v>
      </c>
      <c r="E366" t="s">
        <v>2208</v>
      </c>
      <c r="F366" t="s">
        <v>2209</v>
      </c>
      <c r="G366" t="s">
        <v>2210</v>
      </c>
      <c r="H366" s="11">
        <v>40275.789259259298</v>
      </c>
      <c r="I366" s="7" t="s">
        <v>52</v>
      </c>
    </row>
    <row r="367" spans="1:9" ht="15" customHeight="1" x14ac:dyDescent="0.3">
      <c r="A367" t="s">
        <v>2211</v>
      </c>
      <c r="B367" t="s">
        <v>2212</v>
      </c>
      <c r="C367" s="10">
        <v>30219</v>
      </c>
      <c r="D367" t="s">
        <v>2213</v>
      </c>
      <c r="E367" t="s">
        <v>2214</v>
      </c>
      <c r="F367" t="s">
        <v>2215</v>
      </c>
      <c r="G367" t="s">
        <v>2216</v>
      </c>
      <c r="H367" s="11">
        <v>44224.855972222198</v>
      </c>
      <c r="I367" s="7" t="s">
        <v>78</v>
      </c>
    </row>
    <row r="368" spans="1:9" ht="15" customHeight="1" x14ac:dyDescent="0.3">
      <c r="A368" t="s">
        <v>2217</v>
      </c>
      <c r="B368" t="s">
        <v>2218</v>
      </c>
      <c r="C368" s="10">
        <v>31804</v>
      </c>
      <c r="D368" t="s">
        <v>2219</v>
      </c>
      <c r="E368" t="s">
        <v>2220</v>
      </c>
      <c r="F368" t="s">
        <v>2221</v>
      </c>
      <c r="G368" t="s">
        <v>2222</v>
      </c>
      <c r="H368" s="11">
        <v>38975.557615740698</v>
      </c>
      <c r="I368" s="7" t="s">
        <v>78</v>
      </c>
    </row>
    <row r="369" spans="1:9" ht="15" customHeight="1" x14ac:dyDescent="0.3">
      <c r="A369" t="s">
        <v>2223</v>
      </c>
      <c r="B369" t="s">
        <v>2224</v>
      </c>
      <c r="C369" s="10">
        <v>29407</v>
      </c>
      <c r="D369" t="s">
        <v>2225</v>
      </c>
      <c r="E369" t="s">
        <v>2226</v>
      </c>
      <c r="F369" t="s">
        <v>2227</v>
      </c>
      <c r="G369" t="s">
        <v>2228</v>
      </c>
      <c r="H369" s="11">
        <v>40428.678981481498</v>
      </c>
      <c r="I369" s="7" t="s">
        <v>26</v>
      </c>
    </row>
    <row r="370" spans="1:9" ht="15" customHeight="1" x14ac:dyDescent="0.3">
      <c r="A370" t="s">
        <v>2229</v>
      </c>
      <c r="B370" t="s">
        <v>2230</v>
      </c>
      <c r="C370" s="10">
        <v>31524</v>
      </c>
      <c r="D370" t="s">
        <v>2231</v>
      </c>
      <c r="E370" t="s">
        <v>2232</v>
      </c>
      <c r="F370" t="s">
        <v>2233</v>
      </c>
      <c r="G370" t="s">
        <v>2234</v>
      </c>
      <c r="H370" s="11">
        <v>42996.823703703703</v>
      </c>
      <c r="I370" s="7" t="s">
        <v>52</v>
      </c>
    </row>
    <row r="371" spans="1:9" ht="15" customHeight="1" x14ac:dyDescent="0.3">
      <c r="A371" t="s">
        <v>2235</v>
      </c>
      <c r="B371" t="s">
        <v>2236</v>
      </c>
      <c r="C371" s="10">
        <v>33981</v>
      </c>
      <c r="D371" t="s">
        <v>2237</v>
      </c>
      <c r="E371" t="s">
        <v>2238</v>
      </c>
      <c r="F371" t="s">
        <v>2239</v>
      </c>
      <c r="G371" t="s">
        <v>2240</v>
      </c>
      <c r="H371" s="11">
        <v>41701.8840740741</v>
      </c>
      <c r="I371" s="7" t="s">
        <v>33</v>
      </c>
    </row>
    <row r="372" spans="1:9" ht="15" customHeight="1" x14ac:dyDescent="0.3">
      <c r="A372" t="s">
        <v>2241</v>
      </c>
      <c r="B372" t="s">
        <v>2242</v>
      </c>
      <c r="C372" s="10">
        <v>27876</v>
      </c>
      <c r="D372" t="s">
        <v>2243</v>
      </c>
      <c r="E372" t="s">
        <v>2244</v>
      </c>
      <c r="F372" t="s">
        <v>2245</v>
      </c>
      <c r="G372" t="s">
        <v>2246</v>
      </c>
      <c r="H372" s="11">
        <v>42553.572118055599</v>
      </c>
      <c r="I372" s="7" t="s">
        <v>26</v>
      </c>
    </row>
    <row r="373" spans="1:9" ht="15" customHeight="1" x14ac:dyDescent="0.3">
      <c r="A373" t="s">
        <v>2247</v>
      </c>
      <c r="B373" t="s">
        <v>2248</v>
      </c>
      <c r="C373" s="10">
        <v>32862</v>
      </c>
      <c r="D373" t="s">
        <v>2249</v>
      </c>
      <c r="E373" t="s">
        <v>2250</v>
      </c>
      <c r="F373" t="s">
        <v>2251</v>
      </c>
      <c r="G373" t="s">
        <v>2252</v>
      </c>
      <c r="H373" s="11">
        <v>41805.475636574098</v>
      </c>
      <c r="I373" s="7" t="s">
        <v>52</v>
      </c>
    </row>
    <row r="374" spans="1:9" ht="15" customHeight="1" x14ac:dyDescent="0.3">
      <c r="A374" t="s">
        <v>2253</v>
      </c>
      <c r="B374" t="s">
        <v>2254</v>
      </c>
      <c r="C374" s="10">
        <v>31235</v>
      </c>
      <c r="D374" t="s">
        <v>2255</v>
      </c>
      <c r="E374" t="s">
        <v>2256</v>
      </c>
      <c r="F374" t="s">
        <v>2257</v>
      </c>
      <c r="G374" t="s">
        <v>2258</v>
      </c>
      <c r="H374" s="11">
        <v>41483.868437500001</v>
      </c>
      <c r="I374" s="7" t="s">
        <v>71</v>
      </c>
    </row>
    <row r="375" spans="1:9" ht="15" customHeight="1" x14ac:dyDescent="0.3">
      <c r="A375" t="s">
        <v>2259</v>
      </c>
      <c r="B375" t="s">
        <v>2260</v>
      </c>
      <c r="C375" s="10">
        <v>28296</v>
      </c>
      <c r="D375" t="s">
        <v>2261</v>
      </c>
      <c r="E375" t="s">
        <v>2262</v>
      </c>
      <c r="F375" t="s">
        <v>2263</v>
      </c>
      <c r="G375" t="s">
        <v>2264</v>
      </c>
      <c r="H375" s="11">
        <v>44024.496678240699</v>
      </c>
      <c r="I375" s="7" t="s">
        <v>52</v>
      </c>
    </row>
    <row r="376" spans="1:9" ht="15" customHeight="1" x14ac:dyDescent="0.3">
      <c r="A376" t="s">
        <v>2265</v>
      </c>
      <c r="B376" t="s">
        <v>2266</v>
      </c>
      <c r="C376" s="10">
        <v>34758</v>
      </c>
      <c r="D376" t="s">
        <v>2267</v>
      </c>
      <c r="E376" t="s">
        <v>2268</v>
      </c>
      <c r="F376" t="s">
        <v>2269</v>
      </c>
      <c r="G376" t="s">
        <v>2270</v>
      </c>
      <c r="H376" s="11">
        <v>39376.229270833297</v>
      </c>
      <c r="I376" s="7" t="s">
        <v>71</v>
      </c>
    </row>
    <row r="377" spans="1:9" ht="15" customHeight="1" x14ac:dyDescent="0.3">
      <c r="A377" t="s">
        <v>2271</v>
      </c>
      <c r="B377" t="s">
        <v>2272</v>
      </c>
      <c r="C377" s="10">
        <v>31422</v>
      </c>
      <c r="D377" t="s">
        <v>2273</v>
      </c>
      <c r="E377" t="s">
        <v>2274</v>
      </c>
      <c r="F377" t="s">
        <v>2275</v>
      </c>
      <c r="G377" t="s">
        <v>2276</v>
      </c>
      <c r="H377" s="11">
        <v>42481.875219907401</v>
      </c>
      <c r="I377" s="7" t="s">
        <v>26</v>
      </c>
    </row>
    <row r="378" spans="1:9" ht="15" customHeight="1" x14ac:dyDescent="0.3">
      <c r="A378" t="s">
        <v>2277</v>
      </c>
      <c r="B378" t="s">
        <v>2278</v>
      </c>
      <c r="C378" s="10">
        <v>33256</v>
      </c>
      <c r="D378" t="s">
        <v>2279</v>
      </c>
      <c r="E378" t="s">
        <v>2280</v>
      </c>
      <c r="F378" t="s">
        <v>2281</v>
      </c>
      <c r="G378" t="s">
        <v>2282</v>
      </c>
      <c r="H378" s="11">
        <v>38859.247592592597</v>
      </c>
      <c r="I378" s="7" t="s">
        <v>52</v>
      </c>
    </row>
    <row r="379" spans="1:9" ht="15" customHeight="1" x14ac:dyDescent="0.3">
      <c r="A379" t="s">
        <v>2283</v>
      </c>
      <c r="B379" t="s">
        <v>2284</v>
      </c>
      <c r="C379" s="10">
        <v>29404</v>
      </c>
      <c r="D379" t="s">
        <v>2285</v>
      </c>
      <c r="E379" t="s">
        <v>2286</v>
      </c>
      <c r="F379" t="s">
        <v>2287</v>
      </c>
      <c r="G379" t="s">
        <v>2288</v>
      </c>
      <c r="H379" s="11">
        <v>40375.483344907399</v>
      </c>
      <c r="I379" s="7" t="s">
        <v>33</v>
      </c>
    </row>
    <row r="380" spans="1:9" ht="15" customHeight="1" x14ac:dyDescent="0.3">
      <c r="A380" t="s">
        <v>2289</v>
      </c>
      <c r="B380" t="s">
        <v>2290</v>
      </c>
      <c r="C380" s="10">
        <v>36524</v>
      </c>
      <c r="D380" t="s">
        <v>2291</v>
      </c>
      <c r="E380" t="s">
        <v>2292</v>
      </c>
      <c r="F380" t="s">
        <v>2293</v>
      </c>
      <c r="G380" t="s">
        <v>2294</v>
      </c>
      <c r="H380" s="11">
        <v>39329.851770833302</v>
      </c>
      <c r="I380" s="7" t="s">
        <v>78</v>
      </c>
    </row>
    <row r="381" spans="1:9" ht="15" customHeight="1" x14ac:dyDescent="0.3">
      <c r="A381" t="s">
        <v>2295</v>
      </c>
      <c r="B381" t="s">
        <v>2296</v>
      </c>
      <c r="C381" s="10">
        <v>30440</v>
      </c>
      <c r="D381" t="s">
        <v>2297</v>
      </c>
      <c r="E381" t="s">
        <v>2298</v>
      </c>
      <c r="F381" t="s">
        <v>2299</v>
      </c>
      <c r="G381" t="s">
        <v>2300</v>
      </c>
      <c r="H381" s="11">
        <v>38426.605868055602</v>
      </c>
      <c r="I381" s="7" t="s">
        <v>78</v>
      </c>
    </row>
    <row r="382" spans="1:9" ht="15" customHeight="1" x14ac:dyDescent="0.3">
      <c r="A382" t="s">
        <v>2301</v>
      </c>
      <c r="B382" t="s">
        <v>2302</v>
      </c>
      <c r="C382" s="10">
        <v>35063</v>
      </c>
      <c r="D382" t="s">
        <v>2303</v>
      </c>
      <c r="E382" t="s">
        <v>2304</v>
      </c>
      <c r="F382" t="s">
        <v>2305</v>
      </c>
      <c r="G382" t="s">
        <v>2306</v>
      </c>
      <c r="H382" s="11">
        <v>39420.622199074103</v>
      </c>
      <c r="I382" s="7" t="s">
        <v>33</v>
      </c>
    </row>
    <row r="383" spans="1:9" ht="15" customHeight="1" x14ac:dyDescent="0.3">
      <c r="A383" t="s">
        <v>2307</v>
      </c>
      <c r="B383" t="s">
        <v>2308</v>
      </c>
      <c r="C383" s="10">
        <v>33724</v>
      </c>
      <c r="D383" t="s">
        <v>2309</v>
      </c>
      <c r="E383" t="s">
        <v>2310</v>
      </c>
      <c r="F383" t="s">
        <v>2311</v>
      </c>
      <c r="G383" t="s">
        <v>2312</v>
      </c>
      <c r="H383" s="11">
        <v>40466.861678240697</v>
      </c>
      <c r="I383" s="7" t="s">
        <v>52</v>
      </c>
    </row>
    <row r="384" spans="1:9" ht="15" customHeight="1" x14ac:dyDescent="0.3">
      <c r="A384" t="s">
        <v>2313</v>
      </c>
      <c r="B384" t="s">
        <v>2314</v>
      </c>
      <c r="C384" s="10">
        <v>35042</v>
      </c>
      <c r="D384" t="s">
        <v>2315</v>
      </c>
      <c r="E384" t="s">
        <v>2316</v>
      </c>
      <c r="F384" t="s">
        <v>2317</v>
      </c>
      <c r="G384" t="s">
        <v>2318</v>
      </c>
      <c r="H384" s="11">
        <v>41915.6011111111</v>
      </c>
      <c r="I384" s="7" t="s">
        <v>52</v>
      </c>
    </row>
    <row r="385" spans="1:9" ht="15" customHeight="1" x14ac:dyDescent="0.3">
      <c r="A385" t="s">
        <v>2319</v>
      </c>
      <c r="B385" t="s">
        <v>2320</v>
      </c>
      <c r="C385" s="10">
        <v>34077</v>
      </c>
      <c r="D385" t="s">
        <v>2321</v>
      </c>
      <c r="E385" t="s">
        <v>2322</v>
      </c>
      <c r="F385" t="s">
        <v>2323</v>
      </c>
      <c r="G385" t="s">
        <v>2324</v>
      </c>
      <c r="H385" s="11">
        <v>41268.416319444397</v>
      </c>
      <c r="I385" s="7" t="s">
        <v>33</v>
      </c>
    </row>
    <row r="386" spans="1:9" ht="15" customHeight="1" x14ac:dyDescent="0.3">
      <c r="A386" t="s">
        <v>2325</v>
      </c>
      <c r="B386" t="s">
        <v>2326</v>
      </c>
      <c r="C386" s="10">
        <v>27437</v>
      </c>
      <c r="D386" t="s">
        <v>2327</v>
      </c>
      <c r="E386" t="s">
        <v>2328</v>
      </c>
      <c r="F386" t="s">
        <v>2329</v>
      </c>
      <c r="G386" t="s">
        <v>2330</v>
      </c>
      <c r="H386" s="11">
        <v>39666.270844907398</v>
      </c>
      <c r="I386" s="7" t="s">
        <v>78</v>
      </c>
    </row>
    <row r="387" spans="1:9" ht="15" customHeight="1" x14ac:dyDescent="0.3">
      <c r="A387" t="s">
        <v>2331</v>
      </c>
      <c r="B387" t="s">
        <v>2332</v>
      </c>
      <c r="C387" s="10">
        <v>34796</v>
      </c>
      <c r="D387" t="s">
        <v>2333</v>
      </c>
      <c r="E387" t="s">
        <v>2334</v>
      </c>
      <c r="F387" t="s">
        <v>2335</v>
      </c>
      <c r="G387" t="s">
        <v>2336</v>
      </c>
      <c r="H387" s="11">
        <v>38476.912465277797</v>
      </c>
      <c r="I387" s="7" t="s">
        <v>26</v>
      </c>
    </row>
    <row r="388" spans="1:9" ht="15" customHeight="1" x14ac:dyDescent="0.3">
      <c r="A388" t="s">
        <v>2337</v>
      </c>
      <c r="B388" t="s">
        <v>2338</v>
      </c>
      <c r="C388" s="10">
        <v>32785</v>
      </c>
      <c r="D388" t="s">
        <v>2339</v>
      </c>
      <c r="E388" t="s">
        <v>2340</v>
      </c>
      <c r="F388" t="s">
        <v>2341</v>
      </c>
      <c r="G388" t="s">
        <v>2342</v>
      </c>
      <c r="H388" s="11">
        <v>41819.767708333296</v>
      </c>
      <c r="I388" s="7" t="s">
        <v>52</v>
      </c>
    </row>
    <row r="389" spans="1:9" ht="15" customHeight="1" x14ac:dyDescent="0.3">
      <c r="A389" t="s">
        <v>2343</v>
      </c>
      <c r="B389" t="s">
        <v>2344</v>
      </c>
      <c r="C389" s="10">
        <v>31070</v>
      </c>
      <c r="D389" t="s">
        <v>2345</v>
      </c>
      <c r="E389" t="s">
        <v>2346</v>
      </c>
      <c r="F389" t="s">
        <v>2347</v>
      </c>
      <c r="G389" t="s">
        <v>2348</v>
      </c>
      <c r="H389" s="11">
        <v>39508.617696759298</v>
      </c>
      <c r="I389" s="7" t="s">
        <v>26</v>
      </c>
    </row>
    <row r="390" spans="1:9" ht="15" customHeight="1" x14ac:dyDescent="0.3">
      <c r="A390" t="s">
        <v>2349</v>
      </c>
      <c r="B390" t="s">
        <v>2350</v>
      </c>
      <c r="C390" s="10">
        <v>34341</v>
      </c>
      <c r="D390" t="s">
        <v>2351</v>
      </c>
      <c r="E390" t="s">
        <v>2352</v>
      </c>
      <c r="F390" t="s">
        <v>2353</v>
      </c>
      <c r="G390" t="s">
        <v>2354</v>
      </c>
      <c r="H390" s="11">
        <v>39943.525439814803</v>
      </c>
      <c r="I390" s="7" t="s">
        <v>26</v>
      </c>
    </row>
    <row r="391" spans="1:9" ht="15" customHeight="1" x14ac:dyDescent="0.3">
      <c r="A391" t="s">
        <v>2355</v>
      </c>
      <c r="B391" t="s">
        <v>2356</v>
      </c>
      <c r="C391" s="10">
        <v>30288</v>
      </c>
      <c r="D391" t="s">
        <v>2357</v>
      </c>
      <c r="E391" t="s">
        <v>2358</v>
      </c>
      <c r="F391" t="s">
        <v>2359</v>
      </c>
      <c r="G391" t="s">
        <v>2360</v>
      </c>
      <c r="H391" s="11">
        <v>40430.643969907404</v>
      </c>
      <c r="I391" s="7" t="s">
        <v>71</v>
      </c>
    </row>
    <row r="392" spans="1:9" ht="15" customHeight="1" x14ac:dyDescent="0.3">
      <c r="A392" t="s">
        <v>2361</v>
      </c>
      <c r="B392" t="s">
        <v>2362</v>
      </c>
      <c r="C392" s="10">
        <v>34219</v>
      </c>
      <c r="D392" t="s">
        <v>2363</v>
      </c>
      <c r="E392" t="s">
        <v>2364</v>
      </c>
      <c r="F392" t="s">
        <v>2365</v>
      </c>
      <c r="G392" t="s">
        <v>2366</v>
      </c>
      <c r="H392" s="11">
        <v>39246.321724537003</v>
      </c>
      <c r="I392" s="7" t="s">
        <v>52</v>
      </c>
    </row>
    <row r="393" spans="1:9" ht="15" customHeight="1" x14ac:dyDescent="0.3">
      <c r="A393" t="s">
        <v>2367</v>
      </c>
      <c r="B393" t="s">
        <v>2368</v>
      </c>
      <c r="C393" s="10">
        <v>26827</v>
      </c>
      <c r="D393" t="s">
        <v>2369</v>
      </c>
      <c r="E393" t="s">
        <v>2370</v>
      </c>
      <c r="F393" t="s">
        <v>2371</v>
      </c>
      <c r="G393" t="s">
        <v>2372</v>
      </c>
      <c r="H393" s="11">
        <v>39736.909270833297</v>
      </c>
      <c r="I393" s="7" t="s">
        <v>52</v>
      </c>
    </row>
    <row r="394" spans="1:9" ht="15" customHeight="1" x14ac:dyDescent="0.3">
      <c r="A394" t="s">
        <v>2373</v>
      </c>
      <c r="B394" t="s">
        <v>2374</v>
      </c>
      <c r="C394" s="10">
        <v>30383</v>
      </c>
      <c r="D394" t="s">
        <v>2375</v>
      </c>
      <c r="E394" t="s">
        <v>2376</v>
      </c>
      <c r="F394" t="s">
        <v>2377</v>
      </c>
      <c r="G394" t="s">
        <v>2378</v>
      </c>
      <c r="H394" s="11">
        <v>40686.605555555601</v>
      </c>
      <c r="I394" s="7" t="s">
        <v>33</v>
      </c>
    </row>
    <row r="395" spans="1:9" ht="15" customHeight="1" x14ac:dyDescent="0.3">
      <c r="A395" t="s">
        <v>2379</v>
      </c>
      <c r="B395" t="s">
        <v>2380</v>
      </c>
      <c r="C395" s="10">
        <v>36345</v>
      </c>
      <c r="D395" t="s">
        <v>2381</v>
      </c>
      <c r="E395" t="s">
        <v>2382</v>
      </c>
      <c r="F395" t="s">
        <v>2383</v>
      </c>
      <c r="G395" t="s">
        <v>2384</v>
      </c>
      <c r="H395" s="11">
        <v>41284.366493055597</v>
      </c>
      <c r="I395" s="7" t="s">
        <v>33</v>
      </c>
    </row>
    <row r="396" spans="1:9" ht="15" customHeight="1" x14ac:dyDescent="0.3">
      <c r="A396" t="s">
        <v>2385</v>
      </c>
      <c r="B396" t="s">
        <v>2386</v>
      </c>
      <c r="C396" s="10">
        <v>28953</v>
      </c>
      <c r="D396" t="s">
        <v>2387</v>
      </c>
      <c r="E396" t="s">
        <v>2388</v>
      </c>
      <c r="F396" t="s">
        <v>2389</v>
      </c>
      <c r="G396" t="s">
        <v>2390</v>
      </c>
      <c r="H396" s="11">
        <v>44165.012245370403</v>
      </c>
      <c r="I396" s="7" t="s">
        <v>26</v>
      </c>
    </row>
    <row r="397" spans="1:9" ht="15" customHeight="1" x14ac:dyDescent="0.3">
      <c r="A397" t="s">
        <v>2391</v>
      </c>
      <c r="B397" t="s">
        <v>2392</v>
      </c>
      <c r="C397" s="10">
        <v>35809</v>
      </c>
      <c r="D397" t="s">
        <v>2393</v>
      </c>
      <c r="E397" t="s">
        <v>2394</v>
      </c>
      <c r="F397" t="s">
        <v>2395</v>
      </c>
      <c r="G397" t="s">
        <v>2396</v>
      </c>
      <c r="H397" s="11">
        <v>39474.191956018498</v>
      </c>
      <c r="I397" s="7" t="s">
        <v>33</v>
      </c>
    </row>
    <row r="398" spans="1:9" ht="15" customHeight="1" x14ac:dyDescent="0.3">
      <c r="A398" t="s">
        <v>2397</v>
      </c>
      <c r="B398" t="s">
        <v>2398</v>
      </c>
      <c r="C398" s="10">
        <v>26356</v>
      </c>
      <c r="D398" t="s">
        <v>2399</v>
      </c>
      <c r="E398" t="s">
        <v>2400</v>
      </c>
      <c r="F398" t="s">
        <v>2401</v>
      </c>
      <c r="G398" t="s">
        <v>2402</v>
      </c>
      <c r="H398" s="11">
        <v>39216.397812499999</v>
      </c>
      <c r="I398" s="7" t="s">
        <v>52</v>
      </c>
    </row>
    <row r="399" spans="1:9" ht="15" customHeight="1" x14ac:dyDescent="0.3">
      <c r="A399" t="s">
        <v>2403</v>
      </c>
      <c r="B399" t="s">
        <v>2404</v>
      </c>
      <c r="C399" s="10">
        <v>32494</v>
      </c>
      <c r="D399" t="s">
        <v>2405</v>
      </c>
      <c r="E399" t="s">
        <v>2406</v>
      </c>
      <c r="F399" t="s">
        <v>2407</v>
      </c>
      <c r="G399" t="s">
        <v>2408</v>
      </c>
      <c r="H399" s="11">
        <v>42037.305277777799</v>
      </c>
      <c r="I399" s="7" t="s">
        <v>52</v>
      </c>
    </row>
    <row r="400" spans="1:9" ht="15" customHeight="1" x14ac:dyDescent="0.3">
      <c r="A400" t="s">
        <v>2409</v>
      </c>
      <c r="B400" t="s">
        <v>2410</v>
      </c>
      <c r="C400" s="10">
        <v>33289</v>
      </c>
      <c r="D400" t="s">
        <v>2411</v>
      </c>
      <c r="E400" t="s">
        <v>2412</v>
      </c>
      <c r="F400" t="s">
        <v>2413</v>
      </c>
      <c r="G400" t="s">
        <v>2414</v>
      </c>
      <c r="H400" s="11">
        <v>43371.111319444499</v>
      </c>
      <c r="I400" s="7" t="s">
        <v>52</v>
      </c>
    </row>
    <row r="401" spans="1:9" ht="15" customHeight="1" x14ac:dyDescent="0.3">
      <c r="A401" t="s">
        <v>2415</v>
      </c>
      <c r="B401" t="s">
        <v>2416</v>
      </c>
      <c r="C401" s="10">
        <v>27742</v>
      </c>
      <c r="D401" t="s">
        <v>2417</v>
      </c>
      <c r="E401" t="s">
        <v>2418</v>
      </c>
      <c r="F401" t="s">
        <v>2419</v>
      </c>
      <c r="G401" t="s">
        <v>2420</v>
      </c>
      <c r="H401" s="11">
        <v>39250.861481481501</v>
      </c>
      <c r="I401" s="7" t="s">
        <v>78</v>
      </c>
    </row>
    <row r="402" spans="1:9" ht="15" customHeight="1" x14ac:dyDescent="0.3">
      <c r="A402" t="s">
        <v>2421</v>
      </c>
      <c r="B402" t="s">
        <v>2422</v>
      </c>
      <c r="C402" s="10">
        <v>35935</v>
      </c>
      <c r="D402" t="s">
        <v>2423</v>
      </c>
      <c r="E402" t="s">
        <v>2424</v>
      </c>
      <c r="F402" t="s">
        <v>2425</v>
      </c>
      <c r="G402" t="s">
        <v>2426</v>
      </c>
      <c r="H402" s="11">
        <v>41152.4626041667</v>
      </c>
      <c r="I402" s="7" t="s">
        <v>52</v>
      </c>
    </row>
    <row r="403" spans="1:9" ht="15" customHeight="1" x14ac:dyDescent="0.3">
      <c r="A403" t="s">
        <v>2427</v>
      </c>
      <c r="B403" t="s">
        <v>2428</v>
      </c>
      <c r="C403" s="10">
        <v>27057</v>
      </c>
      <c r="D403" t="s">
        <v>2429</v>
      </c>
      <c r="E403" t="s">
        <v>2430</v>
      </c>
      <c r="F403" t="s">
        <v>2431</v>
      </c>
      <c r="G403" t="s">
        <v>2432</v>
      </c>
      <c r="H403" s="11">
        <v>41532.947187500002</v>
      </c>
      <c r="I403" s="7" t="s">
        <v>26</v>
      </c>
    </row>
    <row r="404" spans="1:9" ht="15" customHeight="1" x14ac:dyDescent="0.3">
      <c r="A404" t="s">
        <v>2433</v>
      </c>
      <c r="B404" t="s">
        <v>2434</v>
      </c>
      <c r="C404" s="10">
        <v>33229</v>
      </c>
      <c r="D404" t="s">
        <v>2435</v>
      </c>
      <c r="E404" t="s">
        <v>2436</v>
      </c>
      <c r="F404" t="s">
        <v>2437</v>
      </c>
      <c r="G404" t="s">
        <v>2438</v>
      </c>
      <c r="H404" s="11">
        <v>43754.847939814797</v>
      </c>
      <c r="I404" s="7" t="s">
        <v>71</v>
      </c>
    </row>
    <row r="405" spans="1:9" ht="15" customHeight="1" x14ac:dyDescent="0.3">
      <c r="A405" t="s">
        <v>2439</v>
      </c>
      <c r="B405" t="s">
        <v>2440</v>
      </c>
      <c r="C405" s="10">
        <v>29277</v>
      </c>
      <c r="D405" t="s">
        <v>2441</v>
      </c>
      <c r="E405" t="s">
        <v>2442</v>
      </c>
      <c r="F405" t="s">
        <v>2443</v>
      </c>
      <c r="G405" t="s">
        <v>2444</v>
      </c>
      <c r="H405" s="11">
        <v>43783.617569444497</v>
      </c>
      <c r="I405" s="7" t="s">
        <v>33</v>
      </c>
    </row>
    <row r="406" spans="1:9" ht="15" customHeight="1" x14ac:dyDescent="0.3">
      <c r="A406" t="s">
        <v>2445</v>
      </c>
      <c r="B406" t="s">
        <v>2446</v>
      </c>
      <c r="C406" s="10">
        <v>30192</v>
      </c>
      <c r="D406" t="s">
        <v>2447</v>
      </c>
      <c r="E406" t="s">
        <v>2448</v>
      </c>
      <c r="F406" t="s">
        <v>2449</v>
      </c>
      <c r="G406" t="s">
        <v>2450</v>
      </c>
      <c r="H406" s="11">
        <v>42247.833796296298</v>
      </c>
      <c r="I406" s="7" t="s">
        <v>71</v>
      </c>
    </row>
    <row r="407" spans="1:9" ht="15" customHeight="1" x14ac:dyDescent="0.3">
      <c r="A407" t="s">
        <v>2451</v>
      </c>
      <c r="B407" t="s">
        <v>2452</v>
      </c>
      <c r="C407" s="10">
        <v>32224</v>
      </c>
      <c r="D407" t="s">
        <v>2453</v>
      </c>
      <c r="E407" t="s">
        <v>2454</v>
      </c>
      <c r="F407" t="s">
        <v>2455</v>
      </c>
      <c r="G407" t="s">
        <v>2456</v>
      </c>
      <c r="H407" s="11">
        <v>42513.389837962997</v>
      </c>
      <c r="I407" s="7" t="s">
        <v>52</v>
      </c>
    </row>
    <row r="408" spans="1:9" ht="15" customHeight="1" x14ac:dyDescent="0.3">
      <c r="A408" t="s">
        <v>2457</v>
      </c>
      <c r="B408" t="s">
        <v>2458</v>
      </c>
      <c r="C408" s="10">
        <v>27667</v>
      </c>
      <c r="D408" t="s">
        <v>2459</v>
      </c>
      <c r="E408" t="s">
        <v>2460</v>
      </c>
      <c r="F408" t="s">
        <v>2461</v>
      </c>
      <c r="G408" t="s">
        <v>2462</v>
      </c>
      <c r="H408" s="11">
        <v>40103.738969907397</v>
      </c>
      <c r="I408" s="7" t="s">
        <v>33</v>
      </c>
    </row>
    <row r="409" spans="1:9" ht="15" customHeight="1" x14ac:dyDescent="0.3">
      <c r="A409" t="s">
        <v>2463</v>
      </c>
      <c r="B409" t="s">
        <v>2464</v>
      </c>
      <c r="C409" s="10">
        <v>33779</v>
      </c>
      <c r="D409" t="s">
        <v>244</v>
      </c>
      <c r="E409" t="s">
        <v>2465</v>
      </c>
      <c r="F409" t="s">
        <v>2466</v>
      </c>
      <c r="G409" t="s">
        <v>2467</v>
      </c>
      <c r="H409" s="11">
        <v>43331.7800810185</v>
      </c>
      <c r="I409" s="7" t="s">
        <v>52</v>
      </c>
    </row>
    <row r="410" spans="1:9" ht="15" customHeight="1" x14ac:dyDescent="0.3">
      <c r="A410" t="s">
        <v>2468</v>
      </c>
      <c r="B410" t="s">
        <v>2469</v>
      </c>
      <c r="C410" s="10">
        <v>26208</v>
      </c>
      <c r="D410" t="s">
        <v>2470</v>
      </c>
      <c r="E410" t="s">
        <v>2471</v>
      </c>
      <c r="F410" t="s">
        <v>2472</v>
      </c>
      <c r="G410" t="s">
        <v>2473</v>
      </c>
      <c r="H410" s="11">
        <v>38542.457164351901</v>
      </c>
      <c r="I410" s="7" t="s">
        <v>33</v>
      </c>
    </row>
    <row r="411" spans="1:9" ht="15" customHeight="1" x14ac:dyDescent="0.3">
      <c r="A411" t="s">
        <v>2474</v>
      </c>
      <c r="B411" t="s">
        <v>2475</v>
      </c>
      <c r="C411" s="10">
        <v>30429</v>
      </c>
      <c r="D411" t="s">
        <v>2476</v>
      </c>
      <c r="E411" t="s">
        <v>2477</v>
      </c>
      <c r="F411" t="s">
        <v>2478</v>
      </c>
      <c r="G411" t="s">
        <v>2479</v>
      </c>
      <c r="H411" s="11">
        <v>40984.586620370399</v>
      </c>
      <c r="I411" s="7" t="s">
        <v>71</v>
      </c>
    </row>
    <row r="412" spans="1:9" ht="15" customHeight="1" x14ac:dyDescent="0.3">
      <c r="A412" t="s">
        <v>2480</v>
      </c>
      <c r="B412" t="s">
        <v>2481</v>
      </c>
      <c r="C412" s="10">
        <v>30321</v>
      </c>
      <c r="D412" t="s">
        <v>2482</v>
      </c>
      <c r="E412" t="s">
        <v>2483</v>
      </c>
      <c r="F412" t="s">
        <v>2484</v>
      </c>
      <c r="G412" t="s">
        <v>2485</v>
      </c>
      <c r="H412" s="11">
        <v>38742.513159722199</v>
      </c>
      <c r="I412" s="7" t="s">
        <v>71</v>
      </c>
    </row>
    <row r="413" spans="1:9" ht="15" customHeight="1" x14ac:dyDescent="0.3">
      <c r="A413" t="s">
        <v>2486</v>
      </c>
      <c r="B413" t="s">
        <v>2487</v>
      </c>
      <c r="C413" s="10">
        <v>34908</v>
      </c>
      <c r="D413" t="s">
        <v>2488</v>
      </c>
      <c r="E413" t="s">
        <v>2489</v>
      </c>
      <c r="F413" t="s">
        <v>2490</v>
      </c>
      <c r="G413" t="s">
        <v>2491</v>
      </c>
      <c r="H413" s="11">
        <v>43106.416990740698</v>
      </c>
      <c r="I413" s="7" t="s">
        <v>52</v>
      </c>
    </row>
    <row r="414" spans="1:9" ht="15" customHeight="1" x14ac:dyDescent="0.3">
      <c r="A414" t="s">
        <v>2492</v>
      </c>
      <c r="B414" t="s">
        <v>2493</v>
      </c>
      <c r="C414" s="10">
        <v>26115</v>
      </c>
      <c r="D414" t="s">
        <v>2494</v>
      </c>
      <c r="E414" t="s">
        <v>2495</v>
      </c>
      <c r="F414" t="s">
        <v>2496</v>
      </c>
      <c r="G414" t="s">
        <v>2497</v>
      </c>
      <c r="H414" s="11">
        <v>44308.934722222199</v>
      </c>
      <c r="I414" s="7" t="s">
        <v>33</v>
      </c>
    </row>
    <row r="415" spans="1:9" ht="15" customHeight="1" x14ac:dyDescent="0.3">
      <c r="A415" t="s">
        <v>2498</v>
      </c>
      <c r="B415" t="s">
        <v>2499</v>
      </c>
      <c r="C415" s="10">
        <v>26615</v>
      </c>
      <c r="D415" t="s">
        <v>2500</v>
      </c>
      <c r="E415" t="s">
        <v>2501</v>
      </c>
      <c r="F415" t="s">
        <v>2502</v>
      </c>
      <c r="G415" t="s">
        <v>2503</v>
      </c>
      <c r="H415" s="11">
        <v>42476.854467592602</v>
      </c>
      <c r="I415" s="7" t="s">
        <v>71</v>
      </c>
    </row>
    <row r="416" spans="1:9" ht="15" customHeight="1" x14ac:dyDescent="0.3">
      <c r="A416" t="s">
        <v>2504</v>
      </c>
      <c r="B416" t="s">
        <v>2505</v>
      </c>
      <c r="C416" s="10">
        <v>33875</v>
      </c>
      <c r="D416" t="s">
        <v>2506</v>
      </c>
      <c r="E416" t="s">
        <v>2507</v>
      </c>
      <c r="F416" t="s">
        <v>2508</v>
      </c>
      <c r="G416" t="s">
        <v>2509</v>
      </c>
      <c r="H416" s="11">
        <v>39006.753310185202</v>
      </c>
      <c r="I416" s="7" t="s">
        <v>33</v>
      </c>
    </row>
    <row r="417" spans="1:9" ht="15" customHeight="1" x14ac:dyDescent="0.3">
      <c r="A417" t="s">
        <v>2510</v>
      </c>
      <c r="B417" t="s">
        <v>2511</v>
      </c>
      <c r="C417" s="10">
        <v>27274</v>
      </c>
      <c r="D417" t="s">
        <v>2512</v>
      </c>
      <c r="E417" t="s">
        <v>2513</v>
      </c>
      <c r="F417" t="s">
        <v>2514</v>
      </c>
      <c r="G417" t="s">
        <v>2515</v>
      </c>
      <c r="H417" s="11">
        <v>41052.191377314797</v>
      </c>
      <c r="I417" s="7" t="s">
        <v>71</v>
      </c>
    </row>
    <row r="418" spans="1:9" ht="15" customHeight="1" x14ac:dyDescent="0.3">
      <c r="A418" t="s">
        <v>2516</v>
      </c>
      <c r="B418" t="s">
        <v>2517</v>
      </c>
      <c r="C418" s="10">
        <v>31628</v>
      </c>
      <c r="D418" t="s">
        <v>2518</v>
      </c>
      <c r="E418" t="s">
        <v>2519</v>
      </c>
      <c r="F418" t="s">
        <v>2520</v>
      </c>
      <c r="G418" t="s">
        <v>2521</v>
      </c>
      <c r="H418" s="11">
        <v>41961.480567129598</v>
      </c>
      <c r="I418" s="7" t="s">
        <v>78</v>
      </c>
    </row>
    <row r="419" spans="1:9" ht="15" customHeight="1" x14ac:dyDescent="0.3">
      <c r="A419" t="s">
        <v>2522</v>
      </c>
      <c r="B419" t="s">
        <v>2523</v>
      </c>
      <c r="C419" s="10">
        <v>26854</v>
      </c>
      <c r="D419" t="s">
        <v>2524</v>
      </c>
      <c r="E419" t="s">
        <v>2525</v>
      </c>
      <c r="F419" t="s">
        <v>2526</v>
      </c>
      <c r="G419" t="s">
        <v>2527</v>
      </c>
      <c r="H419" s="11">
        <v>41864.926770833299</v>
      </c>
      <c r="I419" s="7" t="s">
        <v>52</v>
      </c>
    </row>
    <row r="420" spans="1:9" ht="15" customHeight="1" x14ac:dyDescent="0.3">
      <c r="A420" t="s">
        <v>2528</v>
      </c>
      <c r="B420" t="s">
        <v>2529</v>
      </c>
      <c r="C420" s="10">
        <v>33134</v>
      </c>
      <c r="D420" t="s">
        <v>2530</v>
      </c>
      <c r="E420" t="s">
        <v>2531</v>
      </c>
      <c r="F420" t="s">
        <v>2532</v>
      </c>
      <c r="G420" t="s">
        <v>2533</v>
      </c>
      <c r="H420" s="11">
        <v>43104.504826388897</v>
      </c>
      <c r="I420" s="7" t="s">
        <v>26</v>
      </c>
    </row>
    <row r="421" spans="1:9" ht="15" customHeight="1" x14ac:dyDescent="0.3">
      <c r="A421" t="s">
        <v>2534</v>
      </c>
      <c r="B421" t="s">
        <v>2535</v>
      </c>
      <c r="C421" s="10">
        <v>36157</v>
      </c>
      <c r="D421" t="s">
        <v>2536</v>
      </c>
      <c r="E421" t="s">
        <v>2537</v>
      </c>
      <c r="F421" t="s">
        <v>2538</v>
      </c>
      <c r="G421" t="s">
        <v>2539</v>
      </c>
      <c r="H421" s="11">
        <v>40677.611956018503</v>
      </c>
      <c r="I421" s="7" t="s">
        <v>71</v>
      </c>
    </row>
    <row r="422" spans="1:9" ht="15" customHeight="1" x14ac:dyDescent="0.3">
      <c r="A422" t="s">
        <v>2540</v>
      </c>
      <c r="B422" t="s">
        <v>2541</v>
      </c>
      <c r="C422" s="10">
        <v>35016</v>
      </c>
      <c r="D422" t="s">
        <v>2542</v>
      </c>
      <c r="E422" t="s">
        <v>2543</v>
      </c>
      <c r="F422" t="s">
        <v>2544</v>
      </c>
      <c r="G422" t="s">
        <v>2467</v>
      </c>
      <c r="H422" s="11">
        <v>38525.667465277802</v>
      </c>
      <c r="I422" s="7" t="s">
        <v>33</v>
      </c>
    </row>
    <row r="423" spans="1:9" ht="15" customHeight="1" x14ac:dyDescent="0.3">
      <c r="A423" t="s">
        <v>2545</v>
      </c>
      <c r="B423" t="s">
        <v>2546</v>
      </c>
      <c r="C423" s="10">
        <v>29588</v>
      </c>
      <c r="D423" t="s">
        <v>2547</v>
      </c>
      <c r="E423" t="s">
        <v>2548</v>
      </c>
      <c r="F423" t="s">
        <v>2549</v>
      </c>
      <c r="G423" t="s">
        <v>2550</v>
      </c>
      <c r="H423" s="11">
        <v>40567.450648148202</v>
      </c>
      <c r="I423" s="7" t="s">
        <v>71</v>
      </c>
    </row>
    <row r="424" spans="1:9" ht="15" customHeight="1" x14ac:dyDescent="0.3">
      <c r="A424" t="s">
        <v>2551</v>
      </c>
      <c r="B424" t="s">
        <v>2552</v>
      </c>
      <c r="C424" s="10">
        <v>29042</v>
      </c>
      <c r="D424" t="s">
        <v>2553</v>
      </c>
      <c r="E424" t="s">
        <v>2554</v>
      </c>
      <c r="F424" t="s">
        <v>2555</v>
      </c>
      <c r="G424" t="s">
        <v>2556</v>
      </c>
      <c r="H424" s="11">
        <v>39415.757592592599</v>
      </c>
      <c r="I424" s="7" t="s">
        <v>71</v>
      </c>
    </row>
    <row r="425" spans="1:9" ht="15" customHeight="1" x14ac:dyDescent="0.3">
      <c r="A425" t="s">
        <v>2557</v>
      </c>
      <c r="B425" t="s">
        <v>2558</v>
      </c>
      <c r="C425" s="10">
        <v>33357</v>
      </c>
      <c r="D425" t="s">
        <v>2559</v>
      </c>
      <c r="E425" t="s">
        <v>2560</v>
      </c>
      <c r="F425" t="s">
        <v>2561</v>
      </c>
      <c r="G425" t="s">
        <v>2562</v>
      </c>
      <c r="H425" s="11">
        <v>38512.437650462998</v>
      </c>
      <c r="I425" s="7" t="s">
        <v>33</v>
      </c>
    </row>
    <row r="426" spans="1:9" ht="15" customHeight="1" x14ac:dyDescent="0.3">
      <c r="A426" t="s">
        <v>2563</v>
      </c>
      <c r="B426" t="s">
        <v>2564</v>
      </c>
      <c r="C426" s="10">
        <v>26242</v>
      </c>
      <c r="D426" t="s">
        <v>2565</v>
      </c>
      <c r="E426" t="s">
        <v>2566</v>
      </c>
      <c r="F426" t="s">
        <v>2567</v>
      </c>
      <c r="G426" t="s">
        <v>2568</v>
      </c>
      <c r="H426" s="11">
        <v>43727.513807870397</v>
      </c>
      <c r="I426" s="7" t="s">
        <v>71</v>
      </c>
    </row>
    <row r="427" spans="1:9" ht="15" customHeight="1" x14ac:dyDescent="0.3">
      <c r="A427" t="s">
        <v>2569</v>
      </c>
      <c r="B427" t="s">
        <v>2570</v>
      </c>
      <c r="C427" s="10">
        <v>28370</v>
      </c>
      <c r="D427" t="s">
        <v>2571</v>
      </c>
      <c r="E427" t="s">
        <v>2572</v>
      </c>
      <c r="F427" t="s">
        <v>2573</v>
      </c>
      <c r="G427" t="s">
        <v>2574</v>
      </c>
      <c r="H427" s="11">
        <v>43144.032523148198</v>
      </c>
      <c r="I427" s="7" t="s">
        <v>26</v>
      </c>
    </row>
    <row r="428" spans="1:9" ht="15" customHeight="1" x14ac:dyDescent="0.3">
      <c r="A428" t="s">
        <v>2575</v>
      </c>
      <c r="B428" t="s">
        <v>2576</v>
      </c>
      <c r="C428" s="10">
        <v>29342</v>
      </c>
      <c r="D428" t="s">
        <v>2577</v>
      </c>
      <c r="E428" t="s">
        <v>2578</v>
      </c>
      <c r="F428" t="s">
        <v>2579</v>
      </c>
      <c r="G428" t="s">
        <v>2580</v>
      </c>
      <c r="H428" s="11">
        <v>43441.468784722201</v>
      </c>
      <c r="I428" s="7" t="s">
        <v>33</v>
      </c>
    </row>
    <row r="429" spans="1:9" ht="15" customHeight="1" x14ac:dyDescent="0.3">
      <c r="A429" t="s">
        <v>2581</v>
      </c>
      <c r="B429" t="s">
        <v>2582</v>
      </c>
      <c r="C429" s="10">
        <v>36143</v>
      </c>
      <c r="D429" t="s">
        <v>2583</v>
      </c>
      <c r="E429" t="s">
        <v>2584</v>
      </c>
      <c r="F429" t="s">
        <v>2585</v>
      </c>
      <c r="G429" t="s">
        <v>2586</v>
      </c>
      <c r="H429" s="11">
        <v>41829.181319444499</v>
      </c>
      <c r="I429" s="7" t="s">
        <v>52</v>
      </c>
    </row>
    <row r="430" spans="1:9" ht="15" customHeight="1" x14ac:dyDescent="0.3">
      <c r="A430" t="s">
        <v>2587</v>
      </c>
      <c r="B430" t="s">
        <v>2588</v>
      </c>
      <c r="C430" s="10">
        <v>30050</v>
      </c>
      <c r="D430" t="s">
        <v>2589</v>
      </c>
      <c r="E430" t="s">
        <v>2590</v>
      </c>
      <c r="F430" t="s">
        <v>2591</v>
      </c>
      <c r="G430" t="s">
        <v>2592</v>
      </c>
      <c r="H430" s="11">
        <v>42006.334201388898</v>
      </c>
      <c r="I430" s="7" t="s">
        <v>26</v>
      </c>
    </row>
    <row r="431" spans="1:9" ht="15" customHeight="1" x14ac:dyDescent="0.3">
      <c r="A431" t="s">
        <v>2593</v>
      </c>
      <c r="B431" t="s">
        <v>2594</v>
      </c>
      <c r="C431" s="10">
        <v>30646</v>
      </c>
      <c r="D431" t="s">
        <v>2595</v>
      </c>
      <c r="E431" t="s">
        <v>2596</v>
      </c>
      <c r="F431" t="s">
        <v>2597</v>
      </c>
      <c r="G431" t="s">
        <v>2598</v>
      </c>
      <c r="H431" s="11">
        <v>40822.4983796296</v>
      </c>
      <c r="I431" s="7" t="s">
        <v>78</v>
      </c>
    </row>
    <row r="432" spans="1:9" ht="15" customHeight="1" x14ac:dyDescent="0.3">
      <c r="A432" t="s">
        <v>2599</v>
      </c>
      <c r="B432" t="s">
        <v>2600</v>
      </c>
      <c r="C432" s="10">
        <v>29298</v>
      </c>
      <c r="D432" t="s">
        <v>2601</v>
      </c>
      <c r="E432" t="s">
        <v>2602</v>
      </c>
      <c r="F432" t="s">
        <v>2603</v>
      </c>
      <c r="G432" t="s">
        <v>2604</v>
      </c>
      <c r="H432" s="11">
        <v>41929.958761574097</v>
      </c>
      <c r="I432" s="7" t="s">
        <v>26</v>
      </c>
    </row>
    <row r="433" spans="1:9" ht="15" customHeight="1" x14ac:dyDescent="0.3">
      <c r="A433" t="s">
        <v>2605</v>
      </c>
      <c r="B433" t="s">
        <v>2606</v>
      </c>
      <c r="C433" s="10">
        <v>36001</v>
      </c>
      <c r="D433" t="s">
        <v>2607</v>
      </c>
      <c r="E433" t="s">
        <v>2608</v>
      </c>
      <c r="F433" t="s">
        <v>2609</v>
      </c>
      <c r="G433" t="s">
        <v>2610</v>
      </c>
      <c r="H433" s="11">
        <v>39901.056712963</v>
      </c>
      <c r="I433" s="7" t="s">
        <v>52</v>
      </c>
    </row>
    <row r="434" spans="1:9" ht="15" customHeight="1" x14ac:dyDescent="0.3">
      <c r="A434" t="s">
        <v>2611</v>
      </c>
      <c r="B434" t="s">
        <v>2612</v>
      </c>
      <c r="C434" s="10">
        <v>32254</v>
      </c>
      <c r="D434" t="s">
        <v>2613</v>
      </c>
      <c r="E434" t="s">
        <v>2614</v>
      </c>
      <c r="F434" t="s">
        <v>2615</v>
      </c>
      <c r="G434" t="s">
        <v>2616</v>
      </c>
      <c r="H434" s="11">
        <v>39601.089340277802</v>
      </c>
      <c r="I434" s="7" t="s">
        <v>33</v>
      </c>
    </row>
    <row r="435" spans="1:9" ht="15" customHeight="1" x14ac:dyDescent="0.3">
      <c r="A435" t="s">
        <v>2617</v>
      </c>
      <c r="B435" t="s">
        <v>2618</v>
      </c>
      <c r="C435" s="10">
        <v>31627</v>
      </c>
      <c r="D435" t="s">
        <v>2619</v>
      </c>
      <c r="E435" t="s">
        <v>2620</v>
      </c>
      <c r="F435" t="s">
        <v>2621</v>
      </c>
      <c r="G435" t="s">
        <v>2622</v>
      </c>
      <c r="H435" s="11">
        <v>43326.8424884259</v>
      </c>
      <c r="I435" s="7" t="s">
        <v>71</v>
      </c>
    </row>
    <row r="436" spans="1:9" ht="15" customHeight="1" x14ac:dyDescent="0.3">
      <c r="A436" t="s">
        <v>2623</v>
      </c>
      <c r="B436" t="s">
        <v>2624</v>
      </c>
      <c r="C436" s="10">
        <v>30821</v>
      </c>
      <c r="D436" t="s">
        <v>2625</v>
      </c>
      <c r="E436" t="s">
        <v>2626</v>
      </c>
      <c r="F436" t="s">
        <v>2627</v>
      </c>
      <c r="G436" t="s">
        <v>2628</v>
      </c>
      <c r="H436" s="11">
        <v>41601.405208333301</v>
      </c>
      <c r="I436" s="7" t="s">
        <v>71</v>
      </c>
    </row>
    <row r="437" spans="1:9" ht="15" customHeight="1" x14ac:dyDescent="0.3">
      <c r="A437" t="s">
        <v>2629</v>
      </c>
      <c r="B437" t="s">
        <v>2630</v>
      </c>
      <c r="C437" s="10">
        <v>35828</v>
      </c>
      <c r="D437" t="s">
        <v>2631</v>
      </c>
      <c r="E437" t="s">
        <v>2632</v>
      </c>
      <c r="F437" t="s">
        <v>2633</v>
      </c>
      <c r="G437" t="s">
        <v>2634</v>
      </c>
      <c r="H437" s="11">
        <v>38679.4053472222</v>
      </c>
      <c r="I437" s="7" t="s">
        <v>26</v>
      </c>
    </row>
    <row r="438" spans="1:9" ht="15" customHeight="1" x14ac:dyDescent="0.3">
      <c r="A438" t="s">
        <v>2635</v>
      </c>
      <c r="B438" t="s">
        <v>2636</v>
      </c>
      <c r="C438" s="10">
        <v>32689</v>
      </c>
      <c r="D438" t="s">
        <v>2637</v>
      </c>
      <c r="E438" t="s">
        <v>2638</v>
      </c>
      <c r="F438" t="s">
        <v>2639</v>
      </c>
      <c r="G438" t="s">
        <v>2640</v>
      </c>
      <c r="H438" s="11">
        <v>40217.636030092603</v>
      </c>
      <c r="I438" s="7" t="s">
        <v>33</v>
      </c>
    </row>
    <row r="439" spans="1:9" ht="15" customHeight="1" x14ac:dyDescent="0.3">
      <c r="A439" t="s">
        <v>2641</v>
      </c>
      <c r="B439" t="s">
        <v>2642</v>
      </c>
      <c r="C439" s="10">
        <v>25949</v>
      </c>
      <c r="D439" t="s">
        <v>2643</v>
      </c>
      <c r="E439" t="s">
        <v>2644</v>
      </c>
      <c r="F439" t="s">
        <v>2645</v>
      </c>
      <c r="G439" t="s">
        <v>2646</v>
      </c>
      <c r="H439" s="11">
        <v>40493.858854166698</v>
      </c>
      <c r="I439" s="7" t="s">
        <v>33</v>
      </c>
    </row>
    <row r="440" spans="1:9" ht="15" customHeight="1" x14ac:dyDescent="0.3">
      <c r="A440" t="s">
        <v>2647</v>
      </c>
      <c r="B440" t="s">
        <v>2648</v>
      </c>
      <c r="C440" s="10">
        <v>35729</v>
      </c>
      <c r="D440" t="s">
        <v>2649</v>
      </c>
      <c r="E440" t="s">
        <v>2650</v>
      </c>
      <c r="F440" t="s">
        <v>2651</v>
      </c>
      <c r="G440" t="s">
        <v>2652</v>
      </c>
      <c r="H440" s="11">
        <v>41839.453333333302</v>
      </c>
      <c r="I440" s="7" t="s">
        <v>71</v>
      </c>
    </row>
    <row r="441" spans="1:9" ht="15" customHeight="1" x14ac:dyDescent="0.3">
      <c r="A441" t="s">
        <v>2653</v>
      </c>
      <c r="B441" t="s">
        <v>2654</v>
      </c>
      <c r="C441" s="10">
        <v>31613</v>
      </c>
      <c r="D441" t="s">
        <v>2655</v>
      </c>
      <c r="E441" t="s">
        <v>2656</v>
      </c>
      <c r="F441" t="s">
        <v>2657</v>
      </c>
      <c r="G441" t="s">
        <v>2658</v>
      </c>
      <c r="H441" s="11">
        <v>41559.492581018501</v>
      </c>
      <c r="I441" s="7" t="s">
        <v>52</v>
      </c>
    </row>
    <row r="442" spans="1:9" ht="15" customHeight="1" x14ac:dyDescent="0.3">
      <c r="A442" t="s">
        <v>2659</v>
      </c>
      <c r="B442" t="s">
        <v>2660</v>
      </c>
      <c r="C442" s="10">
        <v>31785</v>
      </c>
      <c r="D442" t="s">
        <v>2661</v>
      </c>
      <c r="E442" t="s">
        <v>2662</v>
      </c>
      <c r="F442" t="s">
        <v>2663</v>
      </c>
      <c r="G442" t="s">
        <v>2664</v>
      </c>
      <c r="H442" s="11">
        <v>40305.466886574097</v>
      </c>
      <c r="I442" s="7" t="s">
        <v>33</v>
      </c>
    </row>
    <row r="443" spans="1:9" ht="15" customHeight="1" x14ac:dyDescent="0.3">
      <c r="A443" t="s">
        <v>2665</v>
      </c>
      <c r="B443" t="s">
        <v>2666</v>
      </c>
      <c r="C443" s="10">
        <v>34823</v>
      </c>
      <c r="D443" t="s">
        <v>2667</v>
      </c>
      <c r="E443" t="s">
        <v>2668</v>
      </c>
      <c r="F443" t="s">
        <v>2669</v>
      </c>
      <c r="G443" t="s">
        <v>2670</v>
      </c>
      <c r="H443" s="11">
        <v>39346.321539351899</v>
      </c>
      <c r="I443" s="7" t="s">
        <v>26</v>
      </c>
    </row>
    <row r="444" spans="1:9" ht="15" customHeight="1" x14ac:dyDescent="0.3">
      <c r="A444" t="s">
        <v>2671</v>
      </c>
      <c r="B444" t="s">
        <v>2672</v>
      </c>
      <c r="C444" s="10">
        <v>27734</v>
      </c>
      <c r="D444" t="s">
        <v>2673</v>
      </c>
      <c r="E444" t="s">
        <v>2674</v>
      </c>
      <c r="F444" t="s">
        <v>2675</v>
      </c>
      <c r="G444" t="s">
        <v>2676</v>
      </c>
      <c r="H444" s="11">
        <v>43330.941979166702</v>
      </c>
      <c r="I444" s="7" t="s">
        <v>71</v>
      </c>
    </row>
    <row r="445" spans="1:9" ht="15" customHeight="1" x14ac:dyDescent="0.3">
      <c r="A445" t="s">
        <v>2677</v>
      </c>
      <c r="B445" t="s">
        <v>2678</v>
      </c>
      <c r="C445" s="10">
        <v>27701</v>
      </c>
      <c r="D445" t="s">
        <v>2679</v>
      </c>
      <c r="E445" t="s">
        <v>2680</v>
      </c>
      <c r="F445" t="s">
        <v>2681</v>
      </c>
      <c r="G445" t="s">
        <v>2682</v>
      </c>
      <c r="H445" s="11">
        <v>38993.139895833301</v>
      </c>
      <c r="I445" s="7" t="s">
        <v>52</v>
      </c>
    </row>
    <row r="446" spans="1:9" ht="15" customHeight="1" x14ac:dyDescent="0.3">
      <c r="A446" t="s">
        <v>2683</v>
      </c>
      <c r="B446" t="s">
        <v>2684</v>
      </c>
      <c r="C446" s="10">
        <v>32941</v>
      </c>
      <c r="D446" t="s">
        <v>2685</v>
      </c>
      <c r="E446" t="s">
        <v>2686</v>
      </c>
      <c r="F446" t="s">
        <v>2687</v>
      </c>
      <c r="G446" t="s">
        <v>2688</v>
      </c>
      <c r="H446" s="11">
        <v>43841.9629166667</v>
      </c>
      <c r="I446" s="7" t="s">
        <v>33</v>
      </c>
    </row>
    <row r="447" spans="1:9" ht="15" customHeight="1" x14ac:dyDescent="0.3">
      <c r="A447" t="s">
        <v>2689</v>
      </c>
      <c r="B447" t="s">
        <v>2690</v>
      </c>
      <c r="C447" s="10">
        <v>30877</v>
      </c>
      <c r="D447" t="s">
        <v>2691</v>
      </c>
      <c r="E447" t="s">
        <v>2692</v>
      </c>
      <c r="F447" t="s">
        <v>2693</v>
      </c>
      <c r="G447" t="s">
        <v>2694</v>
      </c>
      <c r="H447" s="11">
        <v>42233.474837962996</v>
      </c>
      <c r="I447" s="7" t="s">
        <v>26</v>
      </c>
    </row>
    <row r="448" spans="1:9" ht="15" customHeight="1" x14ac:dyDescent="0.3">
      <c r="A448" t="s">
        <v>2695</v>
      </c>
      <c r="B448" t="s">
        <v>2696</v>
      </c>
      <c r="C448" s="10">
        <v>25743</v>
      </c>
      <c r="D448" t="s">
        <v>2697</v>
      </c>
      <c r="E448" t="s">
        <v>2698</v>
      </c>
      <c r="F448" t="s">
        <v>2699</v>
      </c>
      <c r="G448" t="s">
        <v>2700</v>
      </c>
      <c r="H448" s="11">
        <v>41060.554988425902</v>
      </c>
      <c r="I448" s="7" t="s">
        <v>33</v>
      </c>
    </row>
    <row r="449" spans="1:9" ht="15" customHeight="1" x14ac:dyDescent="0.3">
      <c r="A449" t="s">
        <v>2701</v>
      </c>
      <c r="B449" t="s">
        <v>2702</v>
      </c>
      <c r="C449" s="10">
        <v>30040</v>
      </c>
      <c r="D449" t="s">
        <v>2703</v>
      </c>
      <c r="E449" t="s">
        <v>2704</v>
      </c>
      <c r="F449" t="s">
        <v>2705</v>
      </c>
      <c r="G449" t="s">
        <v>2706</v>
      </c>
      <c r="H449" s="11">
        <v>42309.375231481499</v>
      </c>
      <c r="I449" s="7" t="s">
        <v>33</v>
      </c>
    </row>
    <row r="450" spans="1:9" ht="15" customHeight="1" x14ac:dyDescent="0.3">
      <c r="A450" t="s">
        <v>2707</v>
      </c>
      <c r="B450" t="s">
        <v>2708</v>
      </c>
      <c r="C450" s="10">
        <v>34209</v>
      </c>
      <c r="D450" t="s">
        <v>2709</v>
      </c>
      <c r="E450" t="s">
        <v>2710</v>
      </c>
      <c r="F450" t="s">
        <v>2711</v>
      </c>
      <c r="G450" t="s">
        <v>2712</v>
      </c>
      <c r="H450" s="11">
        <v>43885.972546296303</v>
      </c>
      <c r="I450" s="7" t="s">
        <v>71</v>
      </c>
    </row>
    <row r="451" spans="1:9" ht="15" customHeight="1" x14ac:dyDescent="0.3">
      <c r="A451" t="s">
        <v>2713</v>
      </c>
      <c r="B451" t="s">
        <v>2714</v>
      </c>
      <c r="C451" s="10">
        <v>31287</v>
      </c>
      <c r="D451" t="s">
        <v>2715</v>
      </c>
      <c r="E451" t="s">
        <v>2716</v>
      </c>
      <c r="F451" t="s">
        <v>2717</v>
      </c>
      <c r="G451" t="s">
        <v>2718</v>
      </c>
      <c r="H451" s="11">
        <v>40296.341481481497</v>
      </c>
      <c r="I451" s="7" t="s">
        <v>78</v>
      </c>
    </row>
    <row r="452" spans="1:9" ht="15" customHeight="1" x14ac:dyDescent="0.3">
      <c r="A452" t="s">
        <v>2719</v>
      </c>
      <c r="B452" t="s">
        <v>2720</v>
      </c>
      <c r="C452" s="10">
        <v>27532</v>
      </c>
      <c r="D452" t="s">
        <v>2721</v>
      </c>
      <c r="E452" t="s">
        <v>2722</v>
      </c>
      <c r="F452" t="s">
        <v>2723</v>
      </c>
      <c r="G452" t="s">
        <v>2724</v>
      </c>
      <c r="H452" s="11">
        <v>44309.167222222197</v>
      </c>
      <c r="I452" s="7" t="s">
        <v>71</v>
      </c>
    </row>
    <row r="453" spans="1:9" ht="15" customHeight="1" x14ac:dyDescent="0.3">
      <c r="A453" t="s">
        <v>2725</v>
      </c>
      <c r="B453" t="s">
        <v>2726</v>
      </c>
      <c r="C453" s="10">
        <v>29961</v>
      </c>
      <c r="D453" t="s">
        <v>2727</v>
      </c>
      <c r="E453" t="s">
        <v>2728</v>
      </c>
      <c r="F453" t="s">
        <v>2729</v>
      </c>
      <c r="G453" t="s">
        <v>2730</v>
      </c>
      <c r="H453" s="11">
        <v>40960.7553819444</v>
      </c>
      <c r="I453" s="7" t="s">
        <v>33</v>
      </c>
    </row>
    <row r="454" spans="1:9" ht="15" customHeight="1" x14ac:dyDescent="0.3">
      <c r="A454" t="s">
        <v>2731</v>
      </c>
      <c r="B454" t="s">
        <v>2732</v>
      </c>
      <c r="C454" s="10">
        <v>30118</v>
      </c>
      <c r="D454" t="s">
        <v>2733</v>
      </c>
      <c r="E454" t="s">
        <v>2734</v>
      </c>
      <c r="F454" t="s">
        <v>2735</v>
      </c>
      <c r="G454" t="s">
        <v>2736</v>
      </c>
      <c r="H454" s="11">
        <v>39781.432627314804</v>
      </c>
      <c r="I454" s="7" t="s">
        <v>78</v>
      </c>
    </row>
    <row r="455" spans="1:9" ht="15" customHeight="1" x14ac:dyDescent="0.3">
      <c r="A455" t="s">
        <v>2737</v>
      </c>
      <c r="B455" t="s">
        <v>2738</v>
      </c>
      <c r="C455" s="10">
        <v>28222</v>
      </c>
      <c r="D455" t="s">
        <v>2739</v>
      </c>
      <c r="E455" t="s">
        <v>2740</v>
      </c>
      <c r="F455" t="s">
        <v>2741</v>
      </c>
      <c r="G455" t="s">
        <v>2742</v>
      </c>
      <c r="H455" s="11">
        <v>43176.546365740702</v>
      </c>
      <c r="I455" s="7" t="s">
        <v>78</v>
      </c>
    </row>
    <row r="456" spans="1:9" ht="15" customHeight="1" x14ac:dyDescent="0.3">
      <c r="A456" t="s">
        <v>2743</v>
      </c>
      <c r="B456" t="s">
        <v>2744</v>
      </c>
      <c r="C456" s="10">
        <v>35938</v>
      </c>
      <c r="D456" t="s">
        <v>2745</v>
      </c>
      <c r="E456" t="s">
        <v>2746</v>
      </c>
      <c r="F456" t="s">
        <v>2747</v>
      </c>
      <c r="G456" t="s">
        <v>2748</v>
      </c>
      <c r="H456" s="11">
        <v>40678.880393518499</v>
      </c>
      <c r="I456" s="7" t="s">
        <v>71</v>
      </c>
    </row>
    <row r="457" spans="1:9" ht="15" customHeight="1" x14ac:dyDescent="0.3">
      <c r="A457" t="s">
        <v>2749</v>
      </c>
      <c r="B457" t="s">
        <v>2750</v>
      </c>
      <c r="C457" s="10">
        <v>32420</v>
      </c>
      <c r="D457" t="s">
        <v>2751</v>
      </c>
      <c r="E457" t="s">
        <v>2752</v>
      </c>
      <c r="F457" t="s">
        <v>2753</v>
      </c>
      <c r="G457" t="s">
        <v>2754</v>
      </c>
      <c r="H457" s="11">
        <v>41479.957280092603</v>
      </c>
      <c r="I457" s="7" t="s">
        <v>78</v>
      </c>
    </row>
    <row r="458" spans="1:9" ht="15" customHeight="1" x14ac:dyDescent="0.3">
      <c r="A458" t="s">
        <v>2755</v>
      </c>
      <c r="B458" t="s">
        <v>2756</v>
      </c>
      <c r="C458" s="10">
        <v>29681</v>
      </c>
      <c r="D458" t="s">
        <v>2757</v>
      </c>
      <c r="E458" t="s">
        <v>2758</v>
      </c>
      <c r="F458" t="s">
        <v>2759</v>
      </c>
      <c r="G458" t="s">
        <v>2760</v>
      </c>
      <c r="H458" s="11">
        <v>43263.136238425897</v>
      </c>
      <c r="I458" s="7" t="s">
        <v>71</v>
      </c>
    </row>
    <row r="459" spans="1:9" ht="15" customHeight="1" x14ac:dyDescent="0.3">
      <c r="A459" t="s">
        <v>2761</v>
      </c>
      <c r="B459" t="s">
        <v>2762</v>
      </c>
      <c r="C459" s="10">
        <v>35941</v>
      </c>
      <c r="D459" t="s">
        <v>2763</v>
      </c>
      <c r="E459" t="s">
        <v>2764</v>
      </c>
      <c r="F459" t="s">
        <v>2765</v>
      </c>
      <c r="G459" t="s">
        <v>2766</v>
      </c>
      <c r="H459" s="11">
        <v>42061.751898148199</v>
      </c>
      <c r="I459" s="7" t="s">
        <v>71</v>
      </c>
    </row>
    <row r="460" spans="1:9" ht="15" customHeight="1" x14ac:dyDescent="0.3">
      <c r="A460" t="s">
        <v>2767</v>
      </c>
      <c r="B460" t="s">
        <v>2768</v>
      </c>
      <c r="C460" s="10">
        <v>27440</v>
      </c>
      <c r="D460" t="s">
        <v>2769</v>
      </c>
      <c r="E460" t="s">
        <v>2770</v>
      </c>
      <c r="F460" t="s">
        <v>2771</v>
      </c>
      <c r="G460" t="s">
        <v>2772</v>
      </c>
      <c r="H460" s="11">
        <v>39327.306608796302</v>
      </c>
      <c r="I460" s="7" t="s">
        <v>33</v>
      </c>
    </row>
    <row r="461" spans="1:9" ht="15" customHeight="1" x14ac:dyDescent="0.3">
      <c r="A461" t="s">
        <v>2773</v>
      </c>
      <c r="B461" t="s">
        <v>2774</v>
      </c>
      <c r="C461" s="10">
        <v>28847</v>
      </c>
      <c r="D461" t="s">
        <v>2775</v>
      </c>
      <c r="E461" t="s">
        <v>2776</v>
      </c>
      <c r="F461" t="s">
        <v>2777</v>
      </c>
      <c r="G461" t="s">
        <v>2778</v>
      </c>
      <c r="H461" s="11">
        <v>43806.158067129603</v>
      </c>
      <c r="I461" s="7" t="s">
        <v>33</v>
      </c>
    </row>
    <row r="462" spans="1:9" ht="15" customHeight="1" x14ac:dyDescent="0.3">
      <c r="A462" t="s">
        <v>2779</v>
      </c>
      <c r="B462" t="s">
        <v>2780</v>
      </c>
      <c r="C462" s="10">
        <v>27211</v>
      </c>
      <c r="D462" t="s">
        <v>2781</v>
      </c>
      <c r="E462" t="s">
        <v>2782</v>
      </c>
      <c r="F462" t="s">
        <v>2783</v>
      </c>
      <c r="G462" t="s">
        <v>2784</v>
      </c>
      <c r="H462" s="11">
        <v>42030.860405092601</v>
      </c>
      <c r="I462" s="7" t="s">
        <v>78</v>
      </c>
    </row>
    <row r="463" spans="1:9" ht="15" customHeight="1" x14ac:dyDescent="0.3">
      <c r="A463" t="s">
        <v>2785</v>
      </c>
      <c r="B463" t="s">
        <v>2786</v>
      </c>
      <c r="C463" s="10">
        <v>27943</v>
      </c>
      <c r="D463" t="s">
        <v>2787</v>
      </c>
      <c r="E463" t="s">
        <v>2788</v>
      </c>
      <c r="F463" t="s">
        <v>2789</v>
      </c>
      <c r="G463" t="s">
        <v>2790</v>
      </c>
      <c r="H463" s="11">
        <v>41849.680972222202</v>
      </c>
      <c r="I463" s="7" t="s">
        <v>26</v>
      </c>
    </row>
    <row r="464" spans="1:9" ht="15" customHeight="1" x14ac:dyDescent="0.3">
      <c r="A464" t="s">
        <v>2791</v>
      </c>
      <c r="B464" t="s">
        <v>2792</v>
      </c>
      <c r="C464" s="10">
        <v>28991</v>
      </c>
      <c r="D464" t="s">
        <v>2793</v>
      </c>
      <c r="E464" t="s">
        <v>2794</v>
      </c>
      <c r="F464" t="s">
        <v>2795</v>
      </c>
      <c r="G464" t="s">
        <v>2796</v>
      </c>
      <c r="H464" s="11">
        <v>38441.913854166698</v>
      </c>
      <c r="I464" s="7" t="s">
        <v>26</v>
      </c>
    </row>
    <row r="465" spans="1:9" ht="15" customHeight="1" x14ac:dyDescent="0.3">
      <c r="A465" t="s">
        <v>2797</v>
      </c>
      <c r="B465" t="s">
        <v>2798</v>
      </c>
      <c r="C465" s="10">
        <v>26528</v>
      </c>
      <c r="D465" t="s">
        <v>2799</v>
      </c>
      <c r="E465" t="s">
        <v>2800</v>
      </c>
      <c r="F465" t="s">
        <v>2801</v>
      </c>
      <c r="G465" t="s">
        <v>2802</v>
      </c>
      <c r="H465" s="11">
        <v>43241.597152777802</v>
      </c>
      <c r="I465" s="7" t="s">
        <v>33</v>
      </c>
    </row>
    <row r="466" spans="1:9" ht="15" customHeight="1" x14ac:dyDescent="0.3">
      <c r="A466" t="s">
        <v>2803</v>
      </c>
      <c r="B466" t="s">
        <v>2804</v>
      </c>
      <c r="C466" s="10">
        <v>31862</v>
      </c>
      <c r="D466" t="s">
        <v>2805</v>
      </c>
      <c r="E466" t="s">
        <v>2806</v>
      </c>
      <c r="F466" t="s">
        <v>2807</v>
      </c>
      <c r="G466" t="s">
        <v>2808</v>
      </c>
      <c r="H466" s="11">
        <v>40848.8744560185</v>
      </c>
      <c r="I466" s="7" t="s">
        <v>33</v>
      </c>
    </row>
    <row r="467" spans="1:9" ht="15" customHeight="1" x14ac:dyDescent="0.3">
      <c r="A467" t="s">
        <v>2809</v>
      </c>
      <c r="B467" t="s">
        <v>2810</v>
      </c>
      <c r="C467" s="10">
        <v>28557</v>
      </c>
      <c r="D467" t="s">
        <v>2811</v>
      </c>
      <c r="E467" t="s">
        <v>2812</v>
      </c>
      <c r="F467" t="s">
        <v>2813</v>
      </c>
      <c r="G467" t="s">
        <v>2814</v>
      </c>
      <c r="H467" s="11">
        <v>42371.5620023148</v>
      </c>
      <c r="I467" s="7" t="s">
        <v>26</v>
      </c>
    </row>
    <row r="468" spans="1:9" ht="15" customHeight="1" x14ac:dyDescent="0.3">
      <c r="A468" t="s">
        <v>2815</v>
      </c>
      <c r="B468" t="s">
        <v>2816</v>
      </c>
      <c r="C468" s="10">
        <v>34274</v>
      </c>
      <c r="D468" t="s">
        <v>2817</v>
      </c>
      <c r="E468" t="s">
        <v>2818</v>
      </c>
      <c r="F468" t="s">
        <v>2819</v>
      </c>
      <c r="G468" t="s">
        <v>2820</v>
      </c>
      <c r="H468" s="11">
        <v>41144.163900462998</v>
      </c>
      <c r="I468" s="7" t="s">
        <v>78</v>
      </c>
    </row>
    <row r="469" spans="1:9" ht="15" customHeight="1" x14ac:dyDescent="0.3">
      <c r="A469" t="s">
        <v>2821</v>
      </c>
      <c r="B469" t="s">
        <v>2822</v>
      </c>
      <c r="C469" s="10">
        <v>30361</v>
      </c>
      <c r="D469" t="s">
        <v>2823</v>
      </c>
      <c r="E469" t="s">
        <v>2824</v>
      </c>
      <c r="F469" t="s">
        <v>2825</v>
      </c>
      <c r="G469" t="s">
        <v>2826</v>
      </c>
      <c r="H469" s="11">
        <v>41289.489016203697</v>
      </c>
      <c r="I469" s="7" t="s">
        <v>78</v>
      </c>
    </row>
    <row r="470" spans="1:9" ht="15" customHeight="1" x14ac:dyDescent="0.3">
      <c r="A470" t="s">
        <v>2827</v>
      </c>
      <c r="B470" t="s">
        <v>2828</v>
      </c>
      <c r="C470" s="10">
        <v>32667</v>
      </c>
      <c r="D470" t="s">
        <v>2829</v>
      </c>
      <c r="E470" t="s">
        <v>2830</v>
      </c>
      <c r="F470" t="s">
        <v>2831</v>
      </c>
      <c r="G470" t="s">
        <v>2832</v>
      </c>
      <c r="H470" s="11">
        <v>39942.6036342593</v>
      </c>
      <c r="I470" s="7" t="s">
        <v>78</v>
      </c>
    </row>
    <row r="471" spans="1:9" ht="15" customHeight="1" x14ac:dyDescent="0.3">
      <c r="A471" t="s">
        <v>2833</v>
      </c>
      <c r="B471" t="s">
        <v>2834</v>
      </c>
      <c r="C471" s="10">
        <v>35883</v>
      </c>
      <c r="D471" t="s">
        <v>2835</v>
      </c>
      <c r="E471" t="s">
        <v>2836</v>
      </c>
      <c r="F471" t="s">
        <v>2837</v>
      </c>
      <c r="G471" t="s">
        <v>2838</v>
      </c>
      <c r="H471" s="11">
        <v>40026.089710648201</v>
      </c>
      <c r="I471" s="7" t="s">
        <v>71</v>
      </c>
    </row>
    <row r="472" spans="1:9" ht="15" customHeight="1" x14ac:dyDescent="0.3">
      <c r="A472" t="s">
        <v>2839</v>
      </c>
      <c r="B472" t="s">
        <v>2840</v>
      </c>
      <c r="C472" s="10">
        <v>35934</v>
      </c>
      <c r="D472" t="s">
        <v>2841</v>
      </c>
      <c r="E472" t="s">
        <v>2842</v>
      </c>
      <c r="F472" t="s">
        <v>2843</v>
      </c>
      <c r="G472" t="s">
        <v>2844</v>
      </c>
      <c r="H472" s="11">
        <v>41625.276956018497</v>
      </c>
      <c r="I472" s="7" t="s">
        <v>26</v>
      </c>
    </row>
    <row r="473" spans="1:9" ht="15" customHeight="1" x14ac:dyDescent="0.3">
      <c r="A473" t="s">
        <v>2845</v>
      </c>
      <c r="B473" t="s">
        <v>2846</v>
      </c>
      <c r="C473" s="10">
        <v>27999</v>
      </c>
      <c r="D473" t="s">
        <v>2847</v>
      </c>
      <c r="E473" t="s">
        <v>2848</v>
      </c>
      <c r="F473" t="s">
        <v>2849</v>
      </c>
      <c r="G473" t="s">
        <v>2850</v>
      </c>
      <c r="H473" s="11">
        <v>40240.265752314801</v>
      </c>
      <c r="I473" s="7" t="s">
        <v>33</v>
      </c>
    </row>
    <row r="474" spans="1:9" ht="15" customHeight="1" x14ac:dyDescent="0.3">
      <c r="A474" t="s">
        <v>2851</v>
      </c>
      <c r="B474" t="s">
        <v>2852</v>
      </c>
      <c r="C474" s="10">
        <v>30717</v>
      </c>
      <c r="D474" t="s">
        <v>2853</v>
      </c>
      <c r="E474" t="s">
        <v>2854</v>
      </c>
      <c r="F474" t="s">
        <v>2855</v>
      </c>
      <c r="G474" t="s">
        <v>2856</v>
      </c>
      <c r="H474" s="11">
        <v>38762.590428240699</v>
      </c>
      <c r="I474" s="7" t="s">
        <v>78</v>
      </c>
    </row>
    <row r="475" spans="1:9" ht="15" customHeight="1" x14ac:dyDescent="0.3">
      <c r="A475" t="s">
        <v>2857</v>
      </c>
      <c r="B475" t="s">
        <v>2858</v>
      </c>
      <c r="C475" s="10">
        <v>30499</v>
      </c>
      <c r="D475" t="s">
        <v>2859</v>
      </c>
      <c r="E475" t="s">
        <v>2860</v>
      </c>
      <c r="F475" t="s">
        <v>2861</v>
      </c>
      <c r="G475" t="s">
        <v>2862</v>
      </c>
      <c r="H475" s="11">
        <v>39198.979768518497</v>
      </c>
      <c r="I475" s="7" t="s">
        <v>26</v>
      </c>
    </row>
    <row r="476" spans="1:9" ht="15" customHeight="1" x14ac:dyDescent="0.3">
      <c r="A476" t="s">
        <v>2863</v>
      </c>
      <c r="B476" t="s">
        <v>2864</v>
      </c>
      <c r="C476" s="10">
        <v>27395</v>
      </c>
      <c r="D476" t="s">
        <v>2865</v>
      </c>
      <c r="E476" t="s">
        <v>2866</v>
      </c>
      <c r="F476" t="s">
        <v>2867</v>
      </c>
      <c r="G476" t="s">
        <v>2868</v>
      </c>
      <c r="H476" s="11">
        <v>40170.650173611102</v>
      </c>
      <c r="I476" s="7" t="s">
        <v>71</v>
      </c>
    </row>
    <row r="477" spans="1:9" ht="15" customHeight="1" x14ac:dyDescent="0.3">
      <c r="A477" t="s">
        <v>2869</v>
      </c>
      <c r="B477" t="s">
        <v>2870</v>
      </c>
      <c r="C477" s="10">
        <v>35367</v>
      </c>
      <c r="D477" t="s">
        <v>2871</v>
      </c>
      <c r="E477" t="s">
        <v>2872</v>
      </c>
      <c r="F477" t="s">
        <v>2873</v>
      </c>
      <c r="G477" t="s">
        <v>2874</v>
      </c>
      <c r="H477" s="11">
        <v>42970.953449074099</v>
      </c>
      <c r="I477" s="7" t="s">
        <v>33</v>
      </c>
    </row>
    <row r="478" spans="1:9" ht="15" customHeight="1" x14ac:dyDescent="0.3">
      <c r="A478" t="s">
        <v>2875</v>
      </c>
      <c r="B478" t="s">
        <v>2876</v>
      </c>
      <c r="C478" s="10">
        <v>30313</v>
      </c>
      <c r="D478" t="s">
        <v>2877</v>
      </c>
      <c r="E478" t="s">
        <v>2878</v>
      </c>
      <c r="F478" t="s">
        <v>2879</v>
      </c>
      <c r="G478" t="s">
        <v>2880</v>
      </c>
      <c r="H478" s="11">
        <v>41323.584745370397</v>
      </c>
      <c r="I478" s="7" t="s">
        <v>78</v>
      </c>
    </row>
    <row r="479" spans="1:9" ht="15" customHeight="1" x14ac:dyDescent="0.3">
      <c r="A479" t="s">
        <v>2881</v>
      </c>
      <c r="B479" t="s">
        <v>2882</v>
      </c>
      <c r="C479" s="10">
        <v>28472</v>
      </c>
      <c r="D479" t="s">
        <v>2883</v>
      </c>
      <c r="E479" t="s">
        <v>2884</v>
      </c>
      <c r="F479" t="s">
        <v>2885</v>
      </c>
      <c r="G479" t="s">
        <v>2886</v>
      </c>
      <c r="H479" s="11">
        <v>41029.637974537</v>
      </c>
      <c r="I479" s="7" t="s">
        <v>33</v>
      </c>
    </row>
    <row r="480" spans="1:9" ht="15" customHeight="1" x14ac:dyDescent="0.3">
      <c r="A480" t="s">
        <v>2887</v>
      </c>
      <c r="B480" t="s">
        <v>2888</v>
      </c>
      <c r="C480" s="10">
        <v>31808</v>
      </c>
      <c r="D480" t="s">
        <v>2889</v>
      </c>
      <c r="E480" t="s">
        <v>2890</v>
      </c>
      <c r="F480" t="s">
        <v>2891</v>
      </c>
      <c r="G480" t="s">
        <v>2892</v>
      </c>
      <c r="H480" s="11">
        <v>39527.968622685199</v>
      </c>
      <c r="I480" s="7" t="s">
        <v>78</v>
      </c>
    </row>
    <row r="481" spans="1:9" ht="15" customHeight="1" x14ac:dyDescent="0.3">
      <c r="A481" t="s">
        <v>2893</v>
      </c>
      <c r="B481" t="s">
        <v>2894</v>
      </c>
      <c r="C481" s="10">
        <v>35915</v>
      </c>
      <c r="D481" t="s">
        <v>2895</v>
      </c>
      <c r="E481" t="s">
        <v>2896</v>
      </c>
      <c r="F481" t="s">
        <v>2897</v>
      </c>
      <c r="G481" t="s">
        <v>2898</v>
      </c>
      <c r="H481" s="11">
        <v>39375.977696759299</v>
      </c>
      <c r="I481" s="7" t="s">
        <v>33</v>
      </c>
    </row>
    <row r="482" spans="1:9" ht="15" customHeight="1" x14ac:dyDescent="0.3">
      <c r="A482" t="s">
        <v>2899</v>
      </c>
      <c r="B482" t="s">
        <v>2900</v>
      </c>
      <c r="C482" s="10">
        <v>33965</v>
      </c>
      <c r="D482" t="s">
        <v>2890</v>
      </c>
      <c r="E482" t="s">
        <v>2901</v>
      </c>
      <c r="F482" t="s">
        <v>2902</v>
      </c>
      <c r="G482" t="s">
        <v>1246</v>
      </c>
      <c r="H482" s="11">
        <v>38512.569224537001</v>
      </c>
      <c r="I482" s="7" t="s">
        <v>71</v>
      </c>
    </row>
    <row r="483" spans="1:9" ht="15" customHeight="1" x14ac:dyDescent="0.3">
      <c r="A483" t="s">
        <v>2903</v>
      </c>
      <c r="B483" t="s">
        <v>2904</v>
      </c>
      <c r="C483" s="10">
        <v>33722</v>
      </c>
      <c r="D483" t="s">
        <v>2905</v>
      </c>
      <c r="E483" t="s">
        <v>2890</v>
      </c>
      <c r="F483" t="s">
        <v>2906</v>
      </c>
      <c r="G483" t="s">
        <v>2907</v>
      </c>
      <c r="H483" s="11">
        <v>42655.610937500001</v>
      </c>
      <c r="I483" s="7" t="s">
        <v>78</v>
      </c>
    </row>
    <row r="484" spans="1:9" ht="15" customHeight="1" x14ac:dyDescent="0.3">
      <c r="A484" t="s">
        <v>2908</v>
      </c>
      <c r="B484" t="s">
        <v>2909</v>
      </c>
      <c r="C484" s="10">
        <v>26094</v>
      </c>
      <c r="D484" t="s">
        <v>2910</v>
      </c>
      <c r="E484" t="s">
        <v>2911</v>
      </c>
      <c r="F484" t="s">
        <v>2912</v>
      </c>
      <c r="G484" t="s">
        <v>2913</v>
      </c>
      <c r="H484" s="11">
        <v>39320.320532407401</v>
      </c>
      <c r="I484" s="7" t="s">
        <v>52</v>
      </c>
    </row>
    <row r="485" spans="1:9" ht="15" customHeight="1" x14ac:dyDescent="0.3">
      <c r="A485" t="s">
        <v>2914</v>
      </c>
      <c r="B485" t="s">
        <v>2915</v>
      </c>
      <c r="C485" s="10">
        <v>25933</v>
      </c>
      <c r="D485" t="s">
        <v>2890</v>
      </c>
      <c r="E485" t="s">
        <v>2916</v>
      </c>
      <c r="F485" t="s">
        <v>2917</v>
      </c>
      <c r="G485" t="s">
        <v>2918</v>
      </c>
      <c r="H485" s="11">
        <v>39280.830069444499</v>
      </c>
      <c r="I485" s="7" t="s">
        <v>71</v>
      </c>
    </row>
    <row r="486" spans="1:9" ht="15" customHeight="1" x14ac:dyDescent="0.3">
      <c r="A486" t="s">
        <v>2919</v>
      </c>
      <c r="B486" t="s">
        <v>2920</v>
      </c>
      <c r="C486" s="10">
        <v>36648</v>
      </c>
      <c r="D486" t="s">
        <v>2921</v>
      </c>
      <c r="E486" t="s">
        <v>2890</v>
      </c>
      <c r="F486" t="s">
        <v>2922</v>
      </c>
      <c r="G486" t="s">
        <v>2923</v>
      </c>
      <c r="H486" s="11">
        <v>40866.096319444398</v>
      </c>
      <c r="I486" s="7" t="s">
        <v>78</v>
      </c>
    </row>
    <row r="487" spans="1:9" ht="15" customHeight="1" x14ac:dyDescent="0.3">
      <c r="A487" t="s">
        <v>2924</v>
      </c>
      <c r="B487" t="s">
        <v>2925</v>
      </c>
      <c r="C487" s="10">
        <v>29069</v>
      </c>
      <c r="D487" t="s">
        <v>2926</v>
      </c>
      <c r="E487" t="s">
        <v>2927</v>
      </c>
      <c r="F487" t="s">
        <v>2928</v>
      </c>
      <c r="G487" t="s">
        <v>2929</v>
      </c>
      <c r="H487" s="11">
        <v>44001.318078703698</v>
      </c>
      <c r="I487" s="7" t="s">
        <v>71</v>
      </c>
    </row>
    <row r="488" spans="1:9" ht="15" customHeight="1" x14ac:dyDescent="0.3">
      <c r="A488" t="s">
        <v>2930</v>
      </c>
      <c r="B488" t="s">
        <v>2931</v>
      </c>
      <c r="C488" s="10">
        <v>33341</v>
      </c>
      <c r="D488" t="s">
        <v>2890</v>
      </c>
      <c r="E488" t="s">
        <v>2932</v>
      </c>
      <c r="F488" t="s">
        <v>2933</v>
      </c>
      <c r="G488" t="s">
        <v>2934</v>
      </c>
      <c r="H488" s="11">
        <v>38918.742800925902</v>
      </c>
      <c r="I488" s="7" t="s">
        <v>52</v>
      </c>
    </row>
    <row r="489" spans="1:9" ht="15" customHeight="1" x14ac:dyDescent="0.3">
      <c r="A489" t="s">
        <v>2935</v>
      </c>
      <c r="B489" t="s">
        <v>2936</v>
      </c>
      <c r="C489" s="10">
        <v>30260</v>
      </c>
      <c r="D489" t="s">
        <v>2937</v>
      </c>
      <c r="E489" t="s">
        <v>2890</v>
      </c>
      <c r="F489" t="s">
        <v>2938</v>
      </c>
      <c r="G489" t="s">
        <v>2939</v>
      </c>
      <c r="H489" s="11">
        <v>40637.337731481501</v>
      </c>
      <c r="I489" s="7" t="s">
        <v>52</v>
      </c>
    </row>
    <row r="490" spans="1:9" ht="15" customHeight="1" x14ac:dyDescent="0.3">
      <c r="A490" t="s">
        <v>2940</v>
      </c>
      <c r="B490" t="s">
        <v>2941</v>
      </c>
      <c r="C490" s="10">
        <v>36454</v>
      </c>
      <c r="D490" t="s">
        <v>2942</v>
      </c>
      <c r="E490" t="s">
        <v>2943</v>
      </c>
      <c r="F490" t="s">
        <v>2944</v>
      </c>
      <c r="G490" t="s">
        <v>2945</v>
      </c>
      <c r="H490" s="11">
        <v>38790.970196759299</v>
      </c>
      <c r="I490" s="7" t="s">
        <v>52</v>
      </c>
    </row>
    <row r="491" spans="1:9" ht="15" customHeight="1" x14ac:dyDescent="0.3">
      <c r="A491" t="s">
        <v>2946</v>
      </c>
      <c r="B491" t="s">
        <v>2947</v>
      </c>
      <c r="C491" s="10">
        <v>33268</v>
      </c>
      <c r="D491" t="s">
        <v>2890</v>
      </c>
      <c r="E491" t="s">
        <v>2948</v>
      </c>
      <c r="F491" t="s">
        <v>2949</v>
      </c>
      <c r="G491" t="s">
        <v>2950</v>
      </c>
      <c r="H491" s="11">
        <v>41373.765300925901</v>
      </c>
      <c r="I491" s="7" t="s">
        <v>26</v>
      </c>
    </row>
    <row r="492" spans="1:9" ht="15" customHeight="1" x14ac:dyDescent="0.3">
      <c r="A492" t="s">
        <v>2951</v>
      </c>
      <c r="B492" t="s">
        <v>2952</v>
      </c>
      <c r="C492" s="10">
        <v>33286</v>
      </c>
      <c r="D492" t="s">
        <v>2953</v>
      </c>
      <c r="E492" t="s">
        <v>2890</v>
      </c>
      <c r="F492" t="s">
        <v>2954</v>
      </c>
      <c r="G492" t="s">
        <v>2955</v>
      </c>
      <c r="H492" s="11">
        <v>38899.0953240741</v>
      </c>
      <c r="I492" s="7" t="s">
        <v>78</v>
      </c>
    </row>
    <row r="493" spans="1:9" ht="15" customHeight="1" x14ac:dyDescent="0.3">
      <c r="A493" t="s">
        <v>2956</v>
      </c>
      <c r="B493" t="s">
        <v>2957</v>
      </c>
      <c r="C493" s="10">
        <v>27009</v>
      </c>
      <c r="D493" t="s">
        <v>2958</v>
      </c>
      <c r="E493" t="s">
        <v>2959</v>
      </c>
      <c r="F493" t="s">
        <v>2960</v>
      </c>
      <c r="G493" t="s">
        <v>2961</v>
      </c>
      <c r="H493" s="11">
        <v>40319.049131944397</v>
      </c>
      <c r="I493" s="7" t="s">
        <v>71</v>
      </c>
    </row>
    <row r="494" spans="1:9" ht="15" customHeight="1" x14ac:dyDescent="0.3">
      <c r="A494" t="s">
        <v>2962</v>
      </c>
      <c r="B494" t="s">
        <v>2963</v>
      </c>
      <c r="C494" s="10">
        <v>31966</v>
      </c>
      <c r="D494" t="s">
        <v>2890</v>
      </c>
      <c r="E494" t="s">
        <v>2964</v>
      </c>
      <c r="F494" t="s">
        <v>2965</v>
      </c>
      <c r="G494" t="s">
        <v>2966</v>
      </c>
      <c r="H494" s="11">
        <v>41256.014849537001</v>
      </c>
      <c r="I494" s="7" t="s">
        <v>71</v>
      </c>
    </row>
    <row r="495" spans="1:9" ht="15" customHeight="1" x14ac:dyDescent="0.3">
      <c r="A495" t="s">
        <v>2967</v>
      </c>
      <c r="B495" t="s">
        <v>2968</v>
      </c>
      <c r="C495" s="10">
        <v>25733</v>
      </c>
      <c r="D495" t="s">
        <v>2969</v>
      </c>
      <c r="E495" t="s">
        <v>2890</v>
      </c>
      <c r="F495" t="s">
        <v>2970</v>
      </c>
      <c r="G495" t="s">
        <v>2971</v>
      </c>
      <c r="H495" s="11">
        <v>42296.472152777802</v>
      </c>
      <c r="I495" s="7" t="s">
        <v>52</v>
      </c>
    </row>
    <row r="496" spans="1:9" ht="15" customHeight="1" x14ac:dyDescent="0.3">
      <c r="A496" t="s">
        <v>2972</v>
      </c>
      <c r="B496" t="s">
        <v>2973</v>
      </c>
      <c r="C496" s="10">
        <v>31573</v>
      </c>
      <c r="D496" t="s">
        <v>2974</v>
      </c>
      <c r="E496" t="s">
        <v>2975</v>
      </c>
      <c r="F496" t="s">
        <v>2976</v>
      </c>
      <c r="G496" t="s">
        <v>2977</v>
      </c>
      <c r="H496" s="11">
        <v>39359.855995370403</v>
      </c>
      <c r="I496" s="7" t="s">
        <v>71</v>
      </c>
    </row>
    <row r="497" spans="1:9" ht="15" customHeight="1" x14ac:dyDescent="0.3">
      <c r="A497" t="s">
        <v>2978</v>
      </c>
      <c r="B497" t="s">
        <v>2979</v>
      </c>
      <c r="C497" s="10">
        <v>35214</v>
      </c>
      <c r="D497" t="s">
        <v>2890</v>
      </c>
      <c r="E497" t="s">
        <v>2980</v>
      </c>
      <c r="F497" t="s">
        <v>2981</v>
      </c>
      <c r="G497" t="s">
        <v>2982</v>
      </c>
      <c r="H497" s="11">
        <v>43951.228553240697</v>
      </c>
      <c r="I497" s="7" t="s">
        <v>33</v>
      </c>
    </row>
    <row r="498" spans="1:9" ht="15" customHeight="1" x14ac:dyDescent="0.3">
      <c r="A498" t="s">
        <v>2983</v>
      </c>
      <c r="B498" t="s">
        <v>2984</v>
      </c>
      <c r="C498" s="10">
        <v>26430</v>
      </c>
      <c r="D498" t="s">
        <v>2985</v>
      </c>
      <c r="E498" t="s">
        <v>2890</v>
      </c>
      <c r="F498" t="s">
        <v>2986</v>
      </c>
      <c r="G498" t="s">
        <v>2987</v>
      </c>
      <c r="H498" s="11">
        <v>42719.3616203704</v>
      </c>
      <c r="I498" s="7" t="s">
        <v>71</v>
      </c>
    </row>
    <row r="499" spans="1:9" ht="15" customHeight="1" x14ac:dyDescent="0.3">
      <c r="A499" t="s">
        <v>2988</v>
      </c>
      <c r="B499" t="s">
        <v>2989</v>
      </c>
      <c r="C499" s="10">
        <v>31169</v>
      </c>
      <c r="D499" t="s">
        <v>2990</v>
      </c>
      <c r="E499" t="s">
        <v>2991</v>
      </c>
      <c r="F499" t="s">
        <v>2992</v>
      </c>
      <c r="G499" t="s">
        <v>2993</v>
      </c>
      <c r="H499" s="11">
        <v>42501.584699074097</v>
      </c>
      <c r="I499" s="7" t="s">
        <v>52</v>
      </c>
    </row>
    <row r="500" spans="1:9" ht="15" customHeight="1" x14ac:dyDescent="0.3">
      <c r="A500" t="s">
        <v>2994</v>
      </c>
      <c r="B500" t="s">
        <v>2995</v>
      </c>
      <c r="C500" s="10">
        <v>36473</v>
      </c>
      <c r="D500" t="s">
        <v>2890</v>
      </c>
      <c r="E500" t="s">
        <v>2996</v>
      </c>
      <c r="F500" t="s">
        <v>2997</v>
      </c>
      <c r="G500" t="s">
        <v>2998</v>
      </c>
      <c r="H500" s="11">
        <v>41155.792314814797</v>
      </c>
      <c r="I500" s="7" t="s">
        <v>71</v>
      </c>
    </row>
    <row r="501" spans="1:9" ht="15" customHeight="1" x14ac:dyDescent="0.3">
      <c r="A501" t="s">
        <v>2999</v>
      </c>
      <c r="B501" t="s">
        <v>3000</v>
      </c>
      <c r="C501" s="10">
        <v>30856</v>
      </c>
      <c r="D501" t="s">
        <v>3001</v>
      </c>
      <c r="E501" t="s">
        <v>2890</v>
      </c>
      <c r="F501" t="s">
        <v>3002</v>
      </c>
      <c r="G501" t="s">
        <v>3003</v>
      </c>
      <c r="H501" s="11">
        <v>39007.760833333297</v>
      </c>
      <c r="I501" s="7" t="s">
        <v>71</v>
      </c>
    </row>
    <row r="502" spans="1:9" ht="15" customHeight="1" x14ac:dyDescent="0.3">
      <c r="A502" t="s">
        <v>3004</v>
      </c>
      <c r="B502" t="s">
        <v>3005</v>
      </c>
      <c r="C502" s="10">
        <v>33507</v>
      </c>
      <c r="D502" t="s">
        <v>3006</v>
      </c>
      <c r="E502" t="s">
        <v>3007</v>
      </c>
      <c r="F502" t="s">
        <v>3008</v>
      </c>
      <c r="G502" t="s">
        <v>3009</v>
      </c>
      <c r="H502" s="11">
        <v>42435.169930555603</v>
      </c>
      <c r="I502" s="7" t="s">
        <v>52</v>
      </c>
    </row>
    <row r="503" spans="1:9" ht="15" customHeight="1" x14ac:dyDescent="0.3">
      <c r="A503" t="s">
        <v>3010</v>
      </c>
      <c r="B503" t="s">
        <v>3011</v>
      </c>
      <c r="C503" s="10">
        <v>36106</v>
      </c>
      <c r="D503" t="s">
        <v>2890</v>
      </c>
      <c r="E503" t="s">
        <v>3012</v>
      </c>
      <c r="F503" t="s">
        <v>3013</v>
      </c>
      <c r="G503" t="s">
        <v>3014</v>
      </c>
      <c r="H503" s="11">
        <v>39783.546747685199</v>
      </c>
      <c r="I503" s="7" t="s">
        <v>52</v>
      </c>
    </row>
    <row r="504" spans="1:9" ht="15" customHeight="1" x14ac:dyDescent="0.3">
      <c r="A504" t="s">
        <v>3015</v>
      </c>
      <c r="B504" t="s">
        <v>3016</v>
      </c>
      <c r="C504" s="10">
        <v>36210</v>
      </c>
      <c r="D504" t="s">
        <v>3017</v>
      </c>
      <c r="E504" t="s">
        <v>2890</v>
      </c>
      <c r="F504" t="s">
        <v>3018</v>
      </c>
      <c r="G504" t="s">
        <v>3019</v>
      </c>
      <c r="H504" s="11">
        <v>38764.817118055602</v>
      </c>
      <c r="I504" s="7" t="s">
        <v>52</v>
      </c>
    </row>
    <row r="505" spans="1:9" ht="15" customHeight="1" x14ac:dyDescent="0.3">
      <c r="A505" t="s">
        <v>3020</v>
      </c>
      <c r="B505" t="s">
        <v>3021</v>
      </c>
      <c r="C505" s="10">
        <v>25819</v>
      </c>
      <c r="D505" t="s">
        <v>3022</v>
      </c>
      <c r="E505" t="s">
        <v>3023</v>
      </c>
      <c r="F505" t="s">
        <v>3024</v>
      </c>
      <c r="G505" t="s">
        <v>3025</v>
      </c>
      <c r="H505" s="11">
        <v>40231.861921296302</v>
      </c>
      <c r="I505" s="7" t="s">
        <v>52</v>
      </c>
    </row>
    <row r="506" spans="1:9" ht="15" customHeight="1" x14ac:dyDescent="0.3">
      <c r="A506" t="s">
        <v>3026</v>
      </c>
      <c r="B506" t="s">
        <v>3027</v>
      </c>
      <c r="C506" s="10">
        <v>26250</v>
      </c>
      <c r="D506" t="s">
        <v>2890</v>
      </c>
      <c r="E506" t="s">
        <v>3028</v>
      </c>
      <c r="F506" t="s">
        <v>3029</v>
      </c>
      <c r="G506" t="s">
        <v>3030</v>
      </c>
      <c r="H506" s="11">
        <v>38775.646087963003</v>
      </c>
      <c r="I506" s="7" t="s">
        <v>78</v>
      </c>
    </row>
    <row r="507" spans="1:9" ht="15" customHeight="1" x14ac:dyDescent="0.3">
      <c r="A507" t="s">
        <v>3031</v>
      </c>
      <c r="B507" t="s">
        <v>3032</v>
      </c>
      <c r="C507" s="10">
        <v>31443</v>
      </c>
      <c r="D507" t="s">
        <v>3033</v>
      </c>
      <c r="E507" t="s">
        <v>2890</v>
      </c>
      <c r="F507" t="s">
        <v>3034</v>
      </c>
      <c r="G507" t="s">
        <v>3035</v>
      </c>
      <c r="H507" s="11">
        <v>40115.736064814802</v>
      </c>
      <c r="I507" s="7" t="s">
        <v>78</v>
      </c>
    </row>
    <row r="508" spans="1:9" ht="15" customHeight="1" x14ac:dyDescent="0.3">
      <c r="A508" t="s">
        <v>3036</v>
      </c>
      <c r="B508" t="s">
        <v>3037</v>
      </c>
      <c r="C508" s="10">
        <v>32576</v>
      </c>
      <c r="D508" t="s">
        <v>3038</v>
      </c>
      <c r="E508" t="s">
        <v>3039</v>
      </c>
      <c r="F508" t="s">
        <v>3040</v>
      </c>
      <c r="G508" t="s">
        <v>3041</v>
      </c>
      <c r="H508" s="11">
        <v>42668.472245370402</v>
      </c>
      <c r="I508" s="7" t="s">
        <v>52</v>
      </c>
    </row>
    <row r="509" spans="1:9" ht="15" customHeight="1" x14ac:dyDescent="0.3">
      <c r="A509" t="s">
        <v>3042</v>
      </c>
      <c r="B509" t="s">
        <v>3043</v>
      </c>
      <c r="C509" s="10">
        <v>25961</v>
      </c>
      <c r="D509" t="s">
        <v>2890</v>
      </c>
      <c r="E509" t="s">
        <v>3044</v>
      </c>
      <c r="F509" t="s">
        <v>3045</v>
      </c>
      <c r="G509" t="s">
        <v>3046</v>
      </c>
      <c r="H509" s="11">
        <v>40959.624803240702</v>
      </c>
      <c r="I509" s="7" t="s">
        <v>33</v>
      </c>
    </row>
    <row r="510" spans="1:9" ht="15" customHeight="1" x14ac:dyDescent="0.3">
      <c r="A510" t="s">
        <v>3047</v>
      </c>
      <c r="B510" t="s">
        <v>3048</v>
      </c>
      <c r="C510" s="10">
        <v>33939</v>
      </c>
      <c r="D510" t="s">
        <v>3049</v>
      </c>
      <c r="E510" t="s">
        <v>2890</v>
      </c>
      <c r="F510" t="s">
        <v>3050</v>
      </c>
      <c r="G510" t="s">
        <v>3051</v>
      </c>
      <c r="H510" s="11">
        <v>43019.355486111097</v>
      </c>
      <c r="I510" s="7" t="s">
        <v>33</v>
      </c>
    </row>
    <row r="511" spans="1:9" ht="15" customHeight="1" x14ac:dyDescent="0.3">
      <c r="A511" t="s">
        <v>3052</v>
      </c>
      <c r="B511" t="s">
        <v>3053</v>
      </c>
      <c r="C511" s="10">
        <v>29664</v>
      </c>
      <c r="D511" t="s">
        <v>3054</v>
      </c>
      <c r="E511" t="s">
        <v>3055</v>
      </c>
      <c r="F511" t="s">
        <v>3056</v>
      </c>
      <c r="G511" t="s">
        <v>3057</v>
      </c>
      <c r="H511" s="11">
        <v>39510.062118055597</v>
      </c>
      <c r="I511" s="7" t="s">
        <v>33</v>
      </c>
    </row>
    <row r="512" spans="1:9" ht="15" customHeight="1" x14ac:dyDescent="0.3">
      <c r="A512" t="s">
        <v>3058</v>
      </c>
      <c r="B512" t="s">
        <v>3059</v>
      </c>
      <c r="C512" s="10">
        <v>29097</v>
      </c>
      <c r="D512" t="s">
        <v>2890</v>
      </c>
      <c r="E512" t="s">
        <v>3060</v>
      </c>
      <c r="F512" t="s">
        <v>3061</v>
      </c>
      <c r="G512" t="s">
        <v>3062</v>
      </c>
      <c r="H512" s="11">
        <v>42988.854907407404</v>
      </c>
      <c r="I512" s="7" t="s">
        <v>52</v>
      </c>
    </row>
    <row r="513" spans="1:9" ht="15" customHeight="1" x14ac:dyDescent="0.3">
      <c r="A513" t="s">
        <v>3063</v>
      </c>
      <c r="B513" t="s">
        <v>3064</v>
      </c>
      <c r="C513" s="10">
        <v>29873</v>
      </c>
      <c r="D513" t="s">
        <v>3065</v>
      </c>
      <c r="E513" t="s">
        <v>2890</v>
      </c>
      <c r="F513" t="s">
        <v>3066</v>
      </c>
      <c r="G513" t="s">
        <v>3067</v>
      </c>
      <c r="H513" s="11">
        <v>42766.142997685201</v>
      </c>
      <c r="I513" s="7" t="s">
        <v>26</v>
      </c>
    </row>
    <row r="514" spans="1:9" ht="15" customHeight="1" x14ac:dyDescent="0.3">
      <c r="A514" t="s">
        <v>3068</v>
      </c>
      <c r="B514" t="s">
        <v>3069</v>
      </c>
      <c r="C514" s="10">
        <v>26786</v>
      </c>
      <c r="D514" t="s">
        <v>3070</v>
      </c>
      <c r="E514" t="s">
        <v>3071</v>
      </c>
      <c r="F514" t="s">
        <v>3072</v>
      </c>
      <c r="G514" t="s">
        <v>3073</v>
      </c>
      <c r="H514" s="11">
        <v>42742.136296296303</v>
      </c>
      <c r="I514" s="7" t="s">
        <v>52</v>
      </c>
    </row>
    <row r="515" spans="1:9" ht="15" customHeight="1" x14ac:dyDescent="0.3">
      <c r="A515" t="s">
        <v>3074</v>
      </c>
      <c r="B515" t="s">
        <v>3075</v>
      </c>
      <c r="C515" s="10">
        <v>34794</v>
      </c>
      <c r="D515" t="s">
        <v>2890</v>
      </c>
      <c r="E515" t="s">
        <v>3076</v>
      </c>
      <c r="F515" t="s">
        <v>3077</v>
      </c>
      <c r="G515" t="s">
        <v>3078</v>
      </c>
      <c r="H515" s="11">
        <v>39860.200763888897</v>
      </c>
      <c r="I515" s="7" t="s">
        <v>33</v>
      </c>
    </row>
    <row r="516" spans="1:9" ht="15" customHeight="1" x14ac:dyDescent="0.3">
      <c r="A516" t="s">
        <v>3079</v>
      </c>
      <c r="B516" t="s">
        <v>3080</v>
      </c>
      <c r="C516" s="10">
        <v>35706</v>
      </c>
      <c r="D516" t="s">
        <v>3081</v>
      </c>
      <c r="E516" t="s">
        <v>2890</v>
      </c>
      <c r="F516" t="s">
        <v>3082</v>
      </c>
      <c r="G516" t="s">
        <v>3083</v>
      </c>
      <c r="H516" s="11">
        <v>39779.940011574101</v>
      </c>
      <c r="I516" s="7" t="s">
        <v>33</v>
      </c>
    </row>
    <row r="517" spans="1:9" ht="15" customHeight="1" x14ac:dyDescent="0.3">
      <c r="A517" t="s">
        <v>3084</v>
      </c>
      <c r="B517" t="s">
        <v>3085</v>
      </c>
      <c r="C517" s="10">
        <v>30797</v>
      </c>
      <c r="D517" t="s">
        <v>3086</v>
      </c>
      <c r="E517" t="s">
        <v>3087</v>
      </c>
      <c r="F517" t="s">
        <v>3088</v>
      </c>
      <c r="G517" t="s">
        <v>3089</v>
      </c>
      <c r="H517" s="11">
        <v>39813.8969560185</v>
      </c>
      <c r="I517" s="7" t="s">
        <v>71</v>
      </c>
    </row>
    <row r="518" spans="1:9" ht="15" customHeight="1" x14ac:dyDescent="0.3">
      <c r="A518" t="s">
        <v>3090</v>
      </c>
      <c r="B518" t="s">
        <v>3091</v>
      </c>
      <c r="C518" s="10">
        <v>34011</v>
      </c>
      <c r="D518" t="s">
        <v>2890</v>
      </c>
      <c r="E518" t="s">
        <v>3092</v>
      </c>
      <c r="F518" t="s">
        <v>3093</v>
      </c>
      <c r="G518" t="s">
        <v>3094</v>
      </c>
      <c r="H518" s="11">
        <v>43987.248668981498</v>
      </c>
      <c r="I518" s="7" t="s">
        <v>26</v>
      </c>
    </row>
    <row r="519" spans="1:9" ht="15" customHeight="1" x14ac:dyDescent="0.3">
      <c r="A519" t="s">
        <v>3095</v>
      </c>
      <c r="B519" t="s">
        <v>3096</v>
      </c>
      <c r="C519" s="10">
        <v>32785</v>
      </c>
      <c r="D519" t="s">
        <v>3097</v>
      </c>
      <c r="E519" t="s">
        <v>2890</v>
      </c>
      <c r="F519" t="s">
        <v>3098</v>
      </c>
      <c r="G519" t="s">
        <v>3099</v>
      </c>
      <c r="H519" s="11">
        <v>43596.223842592597</v>
      </c>
      <c r="I519" s="7" t="s">
        <v>78</v>
      </c>
    </row>
    <row r="520" spans="1:9" ht="15" customHeight="1" x14ac:dyDescent="0.3">
      <c r="A520" t="s">
        <v>3100</v>
      </c>
      <c r="B520" t="s">
        <v>3101</v>
      </c>
      <c r="C520" s="10">
        <v>34072</v>
      </c>
      <c r="D520" t="s">
        <v>3102</v>
      </c>
      <c r="E520" t="s">
        <v>3103</v>
      </c>
      <c r="F520" t="s">
        <v>3104</v>
      </c>
      <c r="G520" t="s">
        <v>3105</v>
      </c>
      <c r="H520" s="11">
        <v>43123.631296296298</v>
      </c>
      <c r="I520" s="7" t="s">
        <v>71</v>
      </c>
    </row>
    <row r="521" spans="1:9" ht="15" customHeight="1" x14ac:dyDescent="0.3">
      <c r="A521" t="s">
        <v>3106</v>
      </c>
      <c r="B521" t="s">
        <v>3107</v>
      </c>
      <c r="C521" s="10">
        <v>29544</v>
      </c>
      <c r="D521" t="s">
        <v>2890</v>
      </c>
      <c r="E521" t="s">
        <v>3108</v>
      </c>
      <c r="F521" t="s">
        <v>3109</v>
      </c>
      <c r="G521" t="s">
        <v>3110</v>
      </c>
      <c r="H521" s="11">
        <v>40863.966597222199</v>
      </c>
      <c r="I521" s="7" t="s">
        <v>33</v>
      </c>
    </row>
    <row r="522" spans="1:9" ht="15" customHeight="1" x14ac:dyDescent="0.3">
      <c r="A522" t="s">
        <v>3111</v>
      </c>
      <c r="B522" t="s">
        <v>3112</v>
      </c>
      <c r="C522" s="10">
        <v>27855</v>
      </c>
      <c r="D522" t="s">
        <v>3113</v>
      </c>
      <c r="E522" t="s">
        <v>2890</v>
      </c>
      <c r="F522" t="s">
        <v>3114</v>
      </c>
      <c r="G522" t="s">
        <v>3115</v>
      </c>
      <c r="H522" s="11">
        <v>39761.989247685196</v>
      </c>
      <c r="I522" s="7" t="s">
        <v>52</v>
      </c>
    </row>
    <row r="523" spans="1:9" ht="15" customHeight="1" x14ac:dyDescent="0.3">
      <c r="A523" t="s">
        <v>3116</v>
      </c>
      <c r="B523" t="s">
        <v>3117</v>
      </c>
      <c r="C523" s="10">
        <v>27708</v>
      </c>
      <c r="D523" t="s">
        <v>3118</v>
      </c>
      <c r="E523" t="s">
        <v>3119</v>
      </c>
      <c r="F523" t="s">
        <v>3120</v>
      </c>
      <c r="G523" t="s">
        <v>3121</v>
      </c>
      <c r="H523" s="11">
        <v>40169.900740740697</v>
      </c>
      <c r="I523" s="7" t="s">
        <v>71</v>
      </c>
    </row>
    <row r="524" spans="1:9" ht="15" customHeight="1" x14ac:dyDescent="0.3">
      <c r="A524" t="s">
        <v>3122</v>
      </c>
      <c r="B524" t="s">
        <v>3123</v>
      </c>
      <c r="C524" s="10">
        <v>27927</v>
      </c>
      <c r="D524" t="s">
        <v>2890</v>
      </c>
      <c r="E524" t="s">
        <v>3124</v>
      </c>
      <c r="F524" t="s">
        <v>3125</v>
      </c>
      <c r="G524" t="s">
        <v>3126</v>
      </c>
      <c r="H524" s="11">
        <v>40284.9425694444</v>
      </c>
      <c r="I524" s="7" t="s">
        <v>33</v>
      </c>
    </row>
    <row r="525" spans="1:9" ht="15" customHeight="1" x14ac:dyDescent="0.3">
      <c r="A525" t="s">
        <v>3127</v>
      </c>
      <c r="B525" t="s">
        <v>3128</v>
      </c>
      <c r="C525" s="10">
        <v>32052</v>
      </c>
      <c r="D525" t="s">
        <v>3129</v>
      </c>
      <c r="E525" t="s">
        <v>2890</v>
      </c>
      <c r="F525" t="s">
        <v>3130</v>
      </c>
      <c r="G525" t="s">
        <v>3131</v>
      </c>
      <c r="H525" s="11">
        <v>42208.687037037002</v>
      </c>
      <c r="I525" s="7" t="s">
        <v>33</v>
      </c>
    </row>
    <row r="526" spans="1:9" ht="15" customHeight="1" x14ac:dyDescent="0.3">
      <c r="A526" t="s">
        <v>3132</v>
      </c>
      <c r="B526" t="s">
        <v>3133</v>
      </c>
      <c r="C526" s="10">
        <v>29053</v>
      </c>
      <c r="D526" t="s">
        <v>3134</v>
      </c>
      <c r="E526" t="s">
        <v>3135</v>
      </c>
      <c r="F526" t="s">
        <v>3136</v>
      </c>
      <c r="G526" t="s">
        <v>3137</v>
      </c>
      <c r="H526" s="11">
        <v>42044.9051736111</v>
      </c>
      <c r="I526" s="7" t="s">
        <v>52</v>
      </c>
    </row>
    <row r="527" spans="1:9" ht="15" customHeight="1" x14ac:dyDescent="0.3">
      <c r="A527" t="s">
        <v>3138</v>
      </c>
      <c r="B527" t="s">
        <v>3139</v>
      </c>
      <c r="C527" s="10">
        <v>36016</v>
      </c>
      <c r="D527" t="s">
        <v>2890</v>
      </c>
      <c r="E527" t="s">
        <v>3140</v>
      </c>
      <c r="F527" t="s">
        <v>3141</v>
      </c>
      <c r="G527" t="s">
        <v>3142</v>
      </c>
      <c r="H527" s="11">
        <v>38458.951805555596</v>
      </c>
      <c r="I527" s="7" t="s">
        <v>26</v>
      </c>
    </row>
    <row r="528" spans="1:9" ht="15" customHeight="1" x14ac:dyDescent="0.3">
      <c r="A528" t="s">
        <v>3143</v>
      </c>
      <c r="B528" t="s">
        <v>3144</v>
      </c>
      <c r="C528" s="10">
        <v>36607</v>
      </c>
      <c r="D528" t="s">
        <v>3145</v>
      </c>
      <c r="E528" t="s">
        <v>2890</v>
      </c>
      <c r="F528" t="s">
        <v>3146</v>
      </c>
      <c r="G528" t="s">
        <v>3147</v>
      </c>
      <c r="H528" s="11">
        <v>42867.072094907402</v>
      </c>
      <c r="I528" s="7" t="s">
        <v>26</v>
      </c>
    </row>
    <row r="529" spans="1:9" ht="15" customHeight="1" x14ac:dyDescent="0.3">
      <c r="A529" t="s">
        <v>3148</v>
      </c>
      <c r="B529" t="s">
        <v>3149</v>
      </c>
      <c r="C529" s="10">
        <v>33323</v>
      </c>
      <c r="D529" t="s">
        <v>3150</v>
      </c>
      <c r="E529" t="s">
        <v>3151</v>
      </c>
      <c r="F529" t="s">
        <v>3152</v>
      </c>
      <c r="G529" t="s">
        <v>3153</v>
      </c>
      <c r="H529" s="11">
        <v>38697.5860300926</v>
      </c>
      <c r="I529" s="7" t="s">
        <v>33</v>
      </c>
    </row>
    <row r="530" spans="1:9" ht="15" customHeight="1" x14ac:dyDescent="0.3">
      <c r="A530" t="s">
        <v>3154</v>
      </c>
      <c r="B530" t="s">
        <v>3155</v>
      </c>
      <c r="C530" s="10">
        <v>30237</v>
      </c>
      <c r="D530" t="s">
        <v>2890</v>
      </c>
      <c r="E530" t="s">
        <v>3156</v>
      </c>
      <c r="F530" t="s">
        <v>3157</v>
      </c>
      <c r="G530" t="s">
        <v>3158</v>
      </c>
      <c r="H530" s="11">
        <v>40648.901921296303</v>
      </c>
      <c r="I530" s="7" t="s">
        <v>78</v>
      </c>
    </row>
    <row r="531" spans="1:9" ht="15" customHeight="1" x14ac:dyDescent="0.3">
      <c r="A531" t="s">
        <v>3159</v>
      </c>
      <c r="B531" t="s">
        <v>3160</v>
      </c>
      <c r="C531" s="10">
        <v>36127</v>
      </c>
      <c r="D531" t="s">
        <v>3161</v>
      </c>
      <c r="E531" t="s">
        <v>2890</v>
      </c>
      <c r="F531" t="s">
        <v>3162</v>
      </c>
      <c r="G531" t="s">
        <v>3163</v>
      </c>
      <c r="H531" s="11">
        <v>43151.250821759299</v>
      </c>
      <c r="I531" s="7" t="s">
        <v>33</v>
      </c>
    </row>
    <row r="532" spans="1:9" ht="15" customHeight="1" x14ac:dyDescent="0.3">
      <c r="A532" t="s">
        <v>3164</v>
      </c>
      <c r="B532" t="s">
        <v>3165</v>
      </c>
      <c r="C532" s="10">
        <v>30150</v>
      </c>
      <c r="D532" t="s">
        <v>3166</v>
      </c>
      <c r="E532" t="s">
        <v>3167</v>
      </c>
      <c r="F532" t="s">
        <v>3168</v>
      </c>
      <c r="G532" t="s">
        <v>3169</v>
      </c>
      <c r="H532" s="11">
        <v>38643.299201388902</v>
      </c>
      <c r="I532" s="7" t="s">
        <v>78</v>
      </c>
    </row>
    <row r="533" spans="1:9" ht="15" customHeight="1" x14ac:dyDescent="0.3">
      <c r="A533" t="s">
        <v>3170</v>
      </c>
      <c r="B533" t="s">
        <v>3171</v>
      </c>
      <c r="C533" s="10">
        <v>33517</v>
      </c>
      <c r="D533" t="s">
        <v>2890</v>
      </c>
      <c r="E533" t="s">
        <v>3172</v>
      </c>
      <c r="F533" t="s">
        <v>3173</v>
      </c>
      <c r="G533" t="s">
        <v>3174</v>
      </c>
      <c r="H533" s="11">
        <v>42940.784722222197</v>
      </c>
      <c r="I533" s="7" t="s">
        <v>33</v>
      </c>
    </row>
    <row r="534" spans="1:9" ht="15" customHeight="1" x14ac:dyDescent="0.3">
      <c r="A534" t="s">
        <v>3175</v>
      </c>
      <c r="B534" t="s">
        <v>3176</v>
      </c>
      <c r="C534" s="10">
        <v>35920</v>
      </c>
      <c r="D534" t="s">
        <v>3177</v>
      </c>
      <c r="E534" t="s">
        <v>2890</v>
      </c>
      <c r="F534" t="s">
        <v>3178</v>
      </c>
      <c r="G534" t="s">
        <v>3179</v>
      </c>
      <c r="H534" s="11">
        <v>39771.709386574097</v>
      </c>
      <c r="I534" s="7" t="s">
        <v>26</v>
      </c>
    </row>
    <row r="535" spans="1:9" ht="15" customHeight="1" x14ac:dyDescent="0.3">
      <c r="A535" t="s">
        <v>3180</v>
      </c>
      <c r="B535" t="s">
        <v>3181</v>
      </c>
      <c r="C535" s="10">
        <v>28362</v>
      </c>
      <c r="D535" t="s">
        <v>3182</v>
      </c>
      <c r="E535" t="s">
        <v>3183</v>
      </c>
      <c r="F535" t="s">
        <v>3184</v>
      </c>
      <c r="G535" t="s">
        <v>3185</v>
      </c>
      <c r="H535" s="11">
        <v>41364.1854282407</v>
      </c>
      <c r="I535" s="7" t="s">
        <v>52</v>
      </c>
    </row>
    <row r="536" spans="1:9" ht="15" customHeight="1" x14ac:dyDescent="0.3">
      <c r="A536" t="s">
        <v>3186</v>
      </c>
      <c r="B536" t="s">
        <v>3187</v>
      </c>
      <c r="C536" s="10">
        <v>30361</v>
      </c>
      <c r="D536" t="s">
        <v>2890</v>
      </c>
      <c r="E536" t="s">
        <v>3188</v>
      </c>
      <c r="F536" t="s">
        <v>3189</v>
      </c>
      <c r="G536" t="s">
        <v>3190</v>
      </c>
      <c r="H536" s="11">
        <v>43997.151678240698</v>
      </c>
      <c r="I536" s="7" t="s">
        <v>33</v>
      </c>
    </row>
    <row r="537" spans="1:9" ht="15" customHeight="1" x14ac:dyDescent="0.3">
      <c r="A537" t="s">
        <v>3191</v>
      </c>
      <c r="B537" t="s">
        <v>3192</v>
      </c>
      <c r="C537" s="10">
        <v>27838</v>
      </c>
      <c r="D537" t="s">
        <v>3193</v>
      </c>
      <c r="E537" t="s">
        <v>2890</v>
      </c>
      <c r="F537" t="s">
        <v>3194</v>
      </c>
      <c r="G537" t="s">
        <v>3195</v>
      </c>
      <c r="H537" s="11">
        <v>42825.3124074074</v>
      </c>
      <c r="I537" s="7" t="s">
        <v>71</v>
      </c>
    </row>
    <row r="538" spans="1:9" ht="15" customHeight="1" x14ac:dyDescent="0.3">
      <c r="A538" t="s">
        <v>3196</v>
      </c>
      <c r="B538" t="s">
        <v>3197</v>
      </c>
      <c r="C538" s="10">
        <v>29214</v>
      </c>
      <c r="D538" t="s">
        <v>3198</v>
      </c>
      <c r="E538" t="s">
        <v>3199</v>
      </c>
      <c r="F538" t="s">
        <v>3200</v>
      </c>
      <c r="G538" t="s">
        <v>3201</v>
      </c>
      <c r="H538" s="11">
        <v>39017.1621296296</v>
      </c>
      <c r="I538" s="7" t="s">
        <v>78</v>
      </c>
    </row>
    <row r="539" spans="1:9" ht="15" customHeight="1" x14ac:dyDescent="0.3">
      <c r="A539" t="s">
        <v>3202</v>
      </c>
      <c r="B539" t="s">
        <v>3203</v>
      </c>
      <c r="C539" s="10">
        <v>30793</v>
      </c>
      <c r="D539" t="s">
        <v>2890</v>
      </c>
      <c r="E539" t="s">
        <v>3204</v>
      </c>
      <c r="F539" t="s">
        <v>3205</v>
      </c>
      <c r="G539" t="s">
        <v>3206</v>
      </c>
      <c r="H539" s="11">
        <v>38821.366747685199</v>
      </c>
      <c r="I539" s="7" t="s">
        <v>71</v>
      </c>
    </row>
    <row r="540" spans="1:9" ht="15" customHeight="1" x14ac:dyDescent="0.3">
      <c r="A540" t="s">
        <v>3207</v>
      </c>
      <c r="B540" t="s">
        <v>3208</v>
      </c>
      <c r="C540" s="10">
        <v>27310</v>
      </c>
      <c r="D540" t="s">
        <v>3209</v>
      </c>
      <c r="E540" t="s">
        <v>2890</v>
      </c>
      <c r="F540" t="s">
        <v>3210</v>
      </c>
      <c r="G540" t="s">
        <v>3211</v>
      </c>
      <c r="H540" s="11">
        <v>39221.182083333297</v>
      </c>
      <c r="I540" s="7" t="s">
        <v>33</v>
      </c>
    </row>
    <row r="541" spans="1:9" ht="15" customHeight="1" x14ac:dyDescent="0.3">
      <c r="A541" t="s">
        <v>3212</v>
      </c>
      <c r="B541" t="s">
        <v>3213</v>
      </c>
      <c r="C541" s="10">
        <v>36605</v>
      </c>
      <c r="D541" t="s">
        <v>3214</v>
      </c>
      <c r="E541" t="s">
        <v>3215</v>
      </c>
      <c r="F541" t="s">
        <v>3216</v>
      </c>
      <c r="G541" t="s">
        <v>3217</v>
      </c>
      <c r="H541" s="11">
        <v>43536.058101851901</v>
      </c>
      <c r="I541" s="7" t="s">
        <v>26</v>
      </c>
    </row>
    <row r="542" spans="1:9" ht="15" customHeight="1" x14ac:dyDescent="0.3">
      <c r="A542" t="s">
        <v>3218</v>
      </c>
      <c r="B542" t="s">
        <v>3219</v>
      </c>
      <c r="C542" s="10">
        <v>31820</v>
      </c>
      <c r="D542" t="s">
        <v>2890</v>
      </c>
      <c r="E542" t="s">
        <v>3220</v>
      </c>
      <c r="F542" t="s">
        <v>3221</v>
      </c>
      <c r="G542" t="s">
        <v>3222</v>
      </c>
      <c r="H542" s="11">
        <v>38757.301041666702</v>
      </c>
      <c r="I542" s="7" t="s">
        <v>26</v>
      </c>
    </row>
    <row r="543" spans="1:9" ht="15" customHeight="1" x14ac:dyDescent="0.3">
      <c r="A543" t="s">
        <v>3223</v>
      </c>
      <c r="B543" t="s">
        <v>3224</v>
      </c>
      <c r="C543" s="10">
        <v>31858</v>
      </c>
      <c r="D543" t="s">
        <v>310</v>
      </c>
      <c r="E543" t="s">
        <v>2890</v>
      </c>
      <c r="F543" t="s">
        <v>3225</v>
      </c>
      <c r="G543" t="s">
        <v>3226</v>
      </c>
      <c r="H543" s="11">
        <v>41194.374386574098</v>
      </c>
      <c r="I543" s="7" t="s">
        <v>78</v>
      </c>
    </row>
    <row r="544" spans="1:9" ht="15" customHeight="1" x14ac:dyDescent="0.3">
      <c r="A544" t="s">
        <v>3227</v>
      </c>
      <c r="B544" t="s">
        <v>3228</v>
      </c>
      <c r="C544" s="10">
        <v>34036</v>
      </c>
      <c r="D544" t="s">
        <v>3229</v>
      </c>
      <c r="E544" t="s">
        <v>3230</v>
      </c>
      <c r="F544" t="s">
        <v>3231</v>
      </c>
      <c r="G544" t="s">
        <v>3232</v>
      </c>
      <c r="H544" s="11">
        <v>38926.931041666699</v>
      </c>
      <c r="I544" s="7" t="s">
        <v>71</v>
      </c>
    </row>
    <row r="545" spans="1:9" ht="15" customHeight="1" x14ac:dyDescent="0.3">
      <c r="A545" t="s">
        <v>3233</v>
      </c>
      <c r="B545" t="s">
        <v>3234</v>
      </c>
      <c r="C545" s="10">
        <v>30611</v>
      </c>
      <c r="D545" t="s">
        <v>2890</v>
      </c>
      <c r="E545" t="s">
        <v>3235</v>
      </c>
      <c r="F545" t="s">
        <v>3236</v>
      </c>
      <c r="G545" t="s">
        <v>3237</v>
      </c>
      <c r="H545" s="11">
        <v>39665.307303240697</v>
      </c>
      <c r="I545" s="7" t="s">
        <v>52</v>
      </c>
    </row>
    <row r="546" spans="1:9" ht="15" customHeight="1" x14ac:dyDescent="0.3">
      <c r="A546" t="s">
        <v>3238</v>
      </c>
      <c r="B546" t="s">
        <v>3239</v>
      </c>
      <c r="C546" s="10">
        <v>34349</v>
      </c>
      <c r="D546" t="s">
        <v>3240</v>
      </c>
      <c r="E546" t="s">
        <v>2890</v>
      </c>
      <c r="F546" t="s">
        <v>3241</v>
      </c>
      <c r="G546" t="s">
        <v>3242</v>
      </c>
      <c r="H546" s="11">
        <v>43572.948125000003</v>
      </c>
      <c r="I546" s="7" t="s">
        <v>26</v>
      </c>
    </row>
    <row r="547" spans="1:9" ht="15" customHeight="1" x14ac:dyDescent="0.3">
      <c r="A547" t="s">
        <v>3243</v>
      </c>
      <c r="B547" t="s">
        <v>3244</v>
      </c>
      <c r="C547" s="10">
        <v>25988</v>
      </c>
      <c r="D547" t="s">
        <v>3245</v>
      </c>
      <c r="E547" t="s">
        <v>3246</v>
      </c>
      <c r="F547" t="s">
        <v>3247</v>
      </c>
      <c r="G547" t="s">
        <v>3248</v>
      </c>
      <c r="H547" s="11">
        <v>43932.051412036999</v>
      </c>
      <c r="I547" s="7" t="s">
        <v>52</v>
      </c>
    </row>
    <row r="548" spans="1:9" ht="15" customHeight="1" x14ac:dyDescent="0.3">
      <c r="A548" t="s">
        <v>3249</v>
      </c>
      <c r="B548" t="s">
        <v>3250</v>
      </c>
      <c r="C548" s="10">
        <v>33620</v>
      </c>
      <c r="D548" t="s">
        <v>2890</v>
      </c>
      <c r="E548" t="s">
        <v>3251</v>
      </c>
      <c r="F548" t="s">
        <v>3252</v>
      </c>
      <c r="G548" t="s">
        <v>3253</v>
      </c>
      <c r="H548" s="11">
        <v>43817.920949074098</v>
      </c>
      <c r="I548" s="7" t="s">
        <v>71</v>
      </c>
    </row>
    <row r="549" spans="1:9" ht="15" customHeight="1" x14ac:dyDescent="0.3">
      <c r="A549" t="s">
        <v>3254</v>
      </c>
      <c r="B549" t="s">
        <v>3255</v>
      </c>
      <c r="C549" s="10">
        <v>28667</v>
      </c>
      <c r="D549" t="s">
        <v>3256</v>
      </c>
      <c r="E549" t="s">
        <v>2890</v>
      </c>
      <c r="F549" t="s">
        <v>3257</v>
      </c>
      <c r="G549" t="s">
        <v>3258</v>
      </c>
      <c r="H549" s="11">
        <v>43138.868240740703</v>
      </c>
      <c r="I549" s="7" t="s">
        <v>33</v>
      </c>
    </row>
    <row r="550" spans="1:9" ht="15" customHeight="1" x14ac:dyDescent="0.3">
      <c r="A550" t="s">
        <v>3259</v>
      </c>
      <c r="B550" t="s">
        <v>3260</v>
      </c>
      <c r="C550" s="10">
        <v>34590</v>
      </c>
      <c r="D550" t="s">
        <v>3261</v>
      </c>
      <c r="E550" t="s">
        <v>3262</v>
      </c>
      <c r="F550" t="s">
        <v>3263</v>
      </c>
      <c r="G550" t="s">
        <v>3264</v>
      </c>
      <c r="H550" s="11">
        <v>41170.480486111097</v>
      </c>
      <c r="I550" s="7" t="s">
        <v>52</v>
      </c>
    </row>
    <row r="551" spans="1:9" ht="15" customHeight="1" x14ac:dyDescent="0.3">
      <c r="A551" t="s">
        <v>3265</v>
      </c>
      <c r="B551" t="s">
        <v>3266</v>
      </c>
      <c r="C551" s="10">
        <v>25570</v>
      </c>
      <c r="D551" t="s">
        <v>2890</v>
      </c>
      <c r="E551" t="s">
        <v>3267</v>
      </c>
      <c r="F551" t="s">
        <v>3268</v>
      </c>
      <c r="G551" t="s">
        <v>3269</v>
      </c>
      <c r="H551" s="11">
        <v>43825.128634259301</v>
      </c>
      <c r="I551" s="7" t="s">
        <v>71</v>
      </c>
    </row>
    <row r="552" spans="1:9" ht="15" customHeight="1" x14ac:dyDescent="0.3">
      <c r="A552" t="s">
        <v>3270</v>
      </c>
      <c r="B552" t="s">
        <v>3271</v>
      </c>
      <c r="C552" s="10">
        <v>27093</v>
      </c>
      <c r="D552" t="s">
        <v>3272</v>
      </c>
      <c r="E552" t="s">
        <v>2890</v>
      </c>
      <c r="F552" t="s">
        <v>3273</v>
      </c>
      <c r="G552" t="s">
        <v>3274</v>
      </c>
      <c r="H552" s="11">
        <v>43194.756111111099</v>
      </c>
      <c r="I552" s="7" t="s">
        <v>78</v>
      </c>
    </row>
    <row r="553" spans="1:9" ht="15" customHeight="1" x14ac:dyDescent="0.3">
      <c r="A553" t="s">
        <v>3275</v>
      </c>
      <c r="B553" t="s">
        <v>3276</v>
      </c>
      <c r="C553" s="10">
        <v>32204</v>
      </c>
      <c r="D553" t="s">
        <v>3277</v>
      </c>
      <c r="E553" t="s">
        <v>3278</v>
      </c>
      <c r="F553" t="s">
        <v>3279</v>
      </c>
      <c r="G553" t="s">
        <v>3280</v>
      </c>
      <c r="H553" s="11">
        <v>43376.085763888899</v>
      </c>
      <c r="I553" s="7" t="s">
        <v>71</v>
      </c>
    </row>
    <row r="554" spans="1:9" ht="15" customHeight="1" x14ac:dyDescent="0.3">
      <c r="A554" t="s">
        <v>3281</v>
      </c>
      <c r="B554" t="s">
        <v>3282</v>
      </c>
      <c r="C554" s="10">
        <v>33994</v>
      </c>
      <c r="D554" t="s">
        <v>2890</v>
      </c>
      <c r="E554" t="s">
        <v>3283</v>
      </c>
      <c r="F554" t="s">
        <v>3284</v>
      </c>
      <c r="G554" t="s">
        <v>3285</v>
      </c>
      <c r="H554" s="11">
        <v>41051.193148148202</v>
      </c>
      <c r="I554" s="7" t="s">
        <v>26</v>
      </c>
    </row>
    <row r="555" spans="1:9" ht="15" customHeight="1" x14ac:dyDescent="0.3">
      <c r="A555" t="s">
        <v>3286</v>
      </c>
      <c r="B555" t="s">
        <v>3287</v>
      </c>
      <c r="C555" s="10">
        <v>26961</v>
      </c>
      <c r="D555" t="s">
        <v>3288</v>
      </c>
      <c r="E555" t="s">
        <v>2890</v>
      </c>
      <c r="F555" t="s">
        <v>3289</v>
      </c>
      <c r="G555" t="s">
        <v>3290</v>
      </c>
      <c r="H555" s="11">
        <v>43790.346354166701</v>
      </c>
      <c r="I555" s="7" t="s">
        <v>52</v>
      </c>
    </row>
    <row r="556" spans="1:9" ht="15" customHeight="1" x14ac:dyDescent="0.3">
      <c r="A556" t="s">
        <v>3291</v>
      </c>
      <c r="B556" t="s">
        <v>3292</v>
      </c>
      <c r="C556" s="10">
        <v>29234</v>
      </c>
      <c r="D556" t="s">
        <v>3293</v>
      </c>
      <c r="E556" t="s">
        <v>3294</v>
      </c>
      <c r="F556" t="s">
        <v>3295</v>
      </c>
      <c r="G556" t="s">
        <v>3296</v>
      </c>
      <c r="H556" s="11">
        <v>40134.954537037003</v>
      </c>
      <c r="I556" s="7" t="s">
        <v>33</v>
      </c>
    </row>
    <row r="557" spans="1:9" ht="15" customHeight="1" x14ac:dyDescent="0.3">
      <c r="A557" t="s">
        <v>3297</v>
      </c>
      <c r="B557" t="s">
        <v>3298</v>
      </c>
      <c r="C557" s="10">
        <v>32918</v>
      </c>
      <c r="D557" t="s">
        <v>2890</v>
      </c>
      <c r="E557" t="s">
        <v>3299</v>
      </c>
      <c r="F557" t="s">
        <v>3300</v>
      </c>
      <c r="G557" t="s">
        <v>3301</v>
      </c>
      <c r="H557" s="11">
        <v>41905.536249999997</v>
      </c>
      <c r="I557" s="7" t="s">
        <v>33</v>
      </c>
    </row>
    <row r="558" spans="1:9" ht="15" customHeight="1" x14ac:dyDescent="0.3">
      <c r="A558" t="s">
        <v>3302</v>
      </c>
      <c r="B558" t="s">
        <v>3303</v>
      </c>
      <c r="C558" s="10">
        <v>33712</v>
      </c>
      <c r="D558" t="s">
        <v>3304</v>
      </c>
      <c r="E558" t="s">
        <v>2890</v>
      </c>
      <c r="F558" t="s">
        <v>3305</v>
      </c>
      <c r="G558" t="s">
        <v>3306</v>
      </c>
      <c r="H558" s="11">
        <v>44102.861342592601</v>
      </c>
      <c r="I558" s="7" t="s">
        <v>78</v>
      </c>
    </row>
    <row r="559" spans="1:9" ht="15" customHeight="1" x14ac:dyDescent="0.3">
      <c r="A559" t="s">
        <v>3307</v>
      </c>
      <c r="B559" t="s">
        <v>3308</v>
      </c>
      <c r="C559" s="10">
        <v>30246</v>
      </c>
      <c r="D559" t="s">
        <v>3309</v>
      </c>
      <c r="E559" t="s">
        <v>3310</v>
      </c>
      <c r="F559" t="s">
        <v>3311</v>
      </c>
      <c r="G559" t="s">
        <v>3312</v>
      </c>
      <c r="H559" s="11">
        <v>43222.728900463</v>
      </c>
      <c r="I559" s="7" t="s">
        <v>33</v>
      </c>
    </row>
    <row r="560" spans="1:9" ht="15" customHeight="1" x14ac:dyDescent="0.3">
      <c r="A560" t="s">
        <v>3313</v>
      </c>
      <c r="B560" t="s">
        <v>3314</v>
      </c>
      <c r="C560" s="10">
        <v>33932</v>
      </c>
      <c r="D560" t="s">
        <v>2890</v>
      </c>
      <c r="E560" t="s">
        <v>3315</v>
      </c>
      <c r="F560" t="s">
        <v>3316</v>
      </c>
      <c r="G560" t="s">
        <v>3317</v>
      </c>
      <c r="H560" s="11">
        <v>44116.309050925898</v>
      </c>
      <c r="I560" s="7" t="s">
        <v>33</v>
      </c>
    </row>
    <row r="561" spans="1:9" ht="15" customHeight="1" x14ac:dyDescent="0.3">
      <c r="A561" t="s">
        <v>3318</v>
      </c>
      <c r="B561" t="s">
        <v>3319</v>
      </c>
      <c r="C561" s="10">
        <v>33746</v>
      </c>
      <c r="D561" t="s">
        <v>3320</v>
      </c>
      <c r="E561" t="s">
        <v>2890</v>
      </c>
      <c r="F561" t="s">
        <v>3321</v>
      </c>
      <c r="G561" t="s">
        <v>3322</v>
      </c>
      <c r="H561" s="11">
        <v>39515.051412036999</v>
      </c>
      <c r="I561" s="7" t="s">
        <v>52</v>
      </c>
    </row>
    <row r="562" spans="1:9" ht="15" customHeight="1" x14ac:dyDescent="0.3">
      <c r="A562" t="s">
        <v>3323</v>
      </c>
      <c r="B562" t="s">
        <v>3324</v>
      </c>
      <c r="C562" s="10">
        <v>32296</v>
      </c>
      <c r="D562" t="s">
        <v>3325</v>
      </c>
      <c r="E562" t="s">
        <v>3326</v>
      </c>
      <c r="F562" t="s">
        <v>3327</v>
      </c>
      <c r="G562" t="s">
        <v>3328</v>
      </c>
      <c r="H562" s="11">
        <v>41012.152164351901</v>
      </c>
      <c r="I562" s="7" t="s">
        <v>26</v>
      </c>
    </row>
    <row r="563" spans="1:9" ht="15" customHeight="1" x14ac:dyDescent="0.3">
      <c r="A563" t="s">
        <v>3329</v>
      </c>
      <c r="B563" t="s">
        <v>3330</v>
      </c>
      <c r="C563" s="10">
        <v>30605</v>
      </c>
      <c r="D563" t="s">
        <v>2890</v>
      </c>
      <c r="E563" t="s">
        <v>3331</v>
      </c>
      <c r="F563" t="s">
        <v>3332</v>
      </c>
      <c r="G563" t="s">
        <v>3333</v>
      </c>
      <c r="H563" s="11">
        <v>40857.188495370399</v>
      </c>
      <c r="I563" s="7" t="s">
        <v>71</v>
      </c>
    </row>
    <row r="564" spans="1:9" ht="15" customHeight="1" x14ac:dyDescent="0.3">
      <c r="A564" t="s">
        <v>3334</v>
      </c>
      <c r="B564" t="s">
        <v>3335</v>
      </c>
      <c r="C564" s="10">
        <v>33987</v>
      </c>
      <c r="D564" t="s">
        <v>3336</v>
      </c>
      <c r="E564" t="s">
        <v>2890</v>
      </c>
      <c r="F564" t="s">
        <v>3337</v>
      </c>
      <c r="G564" t="s">
        <v>3338</v>
      </c>
      <c r="H564" s="11">
        <v>41606.849282407398</v>
      </c>
      <c r="I564" s="7" t="s">
        <v>71</v>
      </c>
    </row>
    <row r="565" spans="1:9" ht="15" customHeight="1" x14ac:dyDescent="0.3">
      <c r="A565" t="s">
        <v>3339</v>
      </c>
      <c r="B565" t="s">
        <v>3340</v>
      </c>
      <c r="C565" s="10">
        <v>31255</v>
      </c>
      <c r="D565" t="s">
        <v>3341</v>
      </c>
      <c r="E565" t="s">
        <v>3342</v>
      </c>
      <c r="F565" t="s">
        <v>3343</v>
      </c>
      <c r="G565" t="s">
        <v>3344</v>
      </c>
      <c r="H565" s="11">
        <v>43362.956215277802</v>
      </c>
      <c r="I565" s="7" t="s">
        <v>78</v>
      </c>
    </row>
    <row r="566" spans="1:9" ht="15" customHeight="1" x14ac:dyDescent="0.3">
      <c r="A566" t="s">
        <v>3345</v>
      </c>
      <c r="B566" t="s">
        <v>3346</v>
      </c>
      <c r="C566" s="10">
        <v>33396</v>
      </c>
      <c r="D566" t="s">
        <v>2890</v>
      </c>
      <c r="E566" t="s">
        <v>3347</v>
      </c>
      <c r="F566" t="s">
        <v>3348</v>
      </c>
      <c r="G566" t="s">
        <v>3349</v>
      </c>
      <c r="H566" s="11">
        <v>43494.343182870398</v>
      </c>
      <c r="I566" s="7" t="s">
        <v>71</v>
      </c>
    </row>
    <row r="567" spans="1:9" ht="15" customHeight="1" x14ac:dyDescent="0.3">
      <c r="A567" t="s">
        <v>3350</v>
      </c>
      <c r="B567" t="s">
        <v>3351</v>
      </c>
      <c r="C567" s="10">
        <v>31186</v>
      </c>
      <c r="D567" t="s">
        <v>3352</v>
      </c>
      <c r="E567" t="s">
        <v>2890</v>
      </c>
      <c r="F567" t="s">
        <v>3353</v>
      </c>
      <c r="G567" t="s">
        <v>3354</v>
      </c>
      <c r="H567" s="11">
        <v>43786.778877314799</v>
      </c>
      <c r="I567" s="7" t="s">
        <v>71</v>
      </c>
    </row>
    <row r="568" spans="1:9" ht="15" customHeight="1" x14ac:dyDescent="0.3">
      <c r="A568" t="s">
        <v>3355</v>
      </c>
      <c r="B568" t="s">
        <v>3356</v>
      </c>
      <c r="C568" s="10">
        <v>26814</v>
      </c>
      <c r="D568" t="s">
        <v>3357</v>
      </c>
      <c r="E568" t="s">
        <v>3358</v>
      </c>
      <c r="F568" t="s">
        <v>3359</v>
      </c>
      <c r="G568" t="s">
        <v>3360</v>
      </c>
      <c r="H568" s="11">
        <v>43437.397662037001</v>
      </c>
      <c r="I568" s="7" t="s">
        <v>52</v>
      </c>
    </row>
    <row r="569" spans="1:9" ht="15" customHeight="1" x14ac:dyDescent="0.3">
      <c r="A569" t="s">
        <v>3361</v>
      </c>
      <c r="B569" t="s">
        <v>3362</v>
      </c>
      <c r="C569" s="10">
        <v>25754</v>
      </c>
      <c r="D569" t="s">
        <v>2890</v>
      </c>
      <c r="E569" t="s">
        <v>3363</v>
      </c>
      <c r="F569" t="s">
        <v>3364</v>
      </c>
      <c r="G569" t="s">
        <v>3365</v>
      </c>
      <c r="H569" s="11">
        <v>39858.491122685198</v>
      </c>
      <c r="I569" s="7" t="s">
        <v>33</v>
      </c>
    </row>
    <row r="570" spans="1:9" ht="15" customHeight="1" x14ac:dyDescent="0.3">
      <c r="A570" t="s">
        <v>3366</v>
      </c>
      <c r="B570" t="s">
        <v>3367</v>
      </c>
      <c r="C570" s="10">
        <v>30006</v>
      </c>
      <c r="D570" t="s">
        <v>3368</v>
      </c>
      <c r="E570" t="s">
        <v>2890</v>
      </c>
      <c r="F570" t="s">
        <v>3369</v>
      </c>
      <c r="G570" t="s">
        <v>3370</v>
      </c>
      <c r="H570" s="11">
        <v>40924.777291666702</v>
      </c>
      <c r="I570" s="7" t="s">
        <v>33</v>
      </c>
    </row>
    <row r="571" spans="1:9" ht="15" customHeight="1" x14ac:dyDescent="0.3">
      <c r="A571" t="s">
        <v>3371</v>
      </c>
      <c r="B571" t="s">
        <v>3372</v>
      </c>
      <c r="C571" s="10">
        <v>27399</v>
      </c>
      <c r="D571" t="s">
        <v>3373</v>
      </c>
      <c r="E571" t="s">
        <v>3374</v>
      </c>
      <c r="F571" t="s">
        <v>3375</v>
      </c>
      <c r="G571" t="s">
        <v>3376</v>
      </c>
      <c r="H571" s="11">
        <v>40233.646377314799</v>
      </c>
      <c r="I571" s="7" t="s">
        <v>78</v>
      </c>
    </row>
    <row r="572" spans="1:9" ht="15" customHeight="1" x14ac:dyDescent="0.3">
      <c r="A572" t="s">
        <v>3377</v>
      </c>
      <c r="B572" t="s">
        <v>3378</v>
      </c>
      <c r="C572" s="10">
        <v>33442</v>
      </c>
      <c r="D572" t="s">
        <v>2890</v>
      </c>
      <c r="E572" t="s">
        <v>3379</v>
      </c>
      <c r="F572" t="s">
        <v>3380</v>
      </c>
      <c r="G572" t="s">
        <v>138</v>
      </c>
      <c r="H572" s="11">
        <v>44064.029710648101</v>
      </c>
      <c r="I572" s="7" t="s">
        <v>26</v>
      </c>
    </row>
    <row r="573" spans="1:9" ht="15" customHeight="1" x14ac:dyDescent="0.3">
      <c r="A573" t="s">
        <v>3381</v>
      </c>
      <c r="B573" t="s">
        <v>3382</v>
      </c>
      <c r="C573" s="10">
        <v>27503</v>
      </c>
      <c r="D573" t="s">
        <v>3383</v>
      </c>
      <c r="E573" t="s">
        <v>2890</v>
      </c>
      <c r="F573" t="s">
        <v>3384</v>
      </c>
      <c r="G573" t="s">
        <v>3385</v>
      </c>
      <c r="H573" s="11">
        <v>40485.733506944503</v>
      </c>
      <c r="I573" s="7" t="s">
        <v>78</v>
      </c>
    </row>
    <row r="574" spans="1:9" ht="15" customHeight="1" x14ac:dyDescent="0.3">
      <c r="A574" t="s">
        <v>3386</v>
      </c>
      <c r="B574" t="s">
        <v>3387</v>
      </c>
      <c r="C574" s="10">
        <v>29199</v>
      </c>
      <c r="D574" t="s">
        <v>3388</v>
      </c>
      <c r="E574" t="s">
        <v>3389</v>
      </c>
      <c r="F574" t="s">
        <v>3390</v>
      </c>
      <c r="G574" t="s">
        <v>390</v>
      </c>
      <c r="H574" s="11">
        <v>43645.656215277799</v>
      </c>
      <c r="I574" s="7" t="s">
        <v>71</v>
      </c>
    </row>
    <row r="575" spans="1:9" ht="15" customHeight="1" x14ac:dyDescent="0.3">
      <c r="A575" t="s">
        <v>3391</v>
      </c>
      <c r="B575" t="s">
        <v>3392</v>
      </c>
      <c r="C575" s="10">
        <v>31062</v>
      </c>
      <c r="D575" t="s">
        <v>2890</v>
      </c>
      <c r="E575" t="s">
        <v>3393</v>
      </c>
      <c r="F575" t="s">
        <v>3394</v>
      </c>
      <c r="G575" t="s">
        <v>3395</v>
      </c>
      <c r="H575" s="11">
        <v>43428.074988425898</v>
      </c>
      <c r="I575" s="7" t="s">
        <v>33</v>
      </c>
    </row>
    <row r="576" spans="1:9" ht="15" customHeight="1" x14ac:dyDescent="0.3">
      <c r="A576" t="s">
        <v>3396</v>
      </c>
      <c r="B576" t="s">
        <v>3397</v>
      </c>
      <c r="C576" s="10">
        <v>32150</v>
      </c>
      <c r="D576" t="s">
        <v>3398</v>
      </c>
      <c r="E576" t="s">
        <v>2890</v>
      </c>
      <c r="F576" t="s">
        <v>3399</v>
      </c>
      <c r="G576" t="s">
        <v>3400</v>
      </c>
      <c r="H576" s="11">
        <v>38658.5210069444</v>
      </c>
      <c r="I576" s="7" t="s">
        <v>52</v>
      </c>
    </row>
    <row r="577" spans="1:9" ht="15" customHeight="1" x14ac:dyDescent="0.3">
      <c r="A577" t="s">
        <v>3401</v>
      </c>
      <c r="B577" t="s">
        <v>3402</v>
      </c>
      <c r="C577" s="10">
        <v>36445</v>
      </c>
      <c r="D577" t="s">
        <v>3403</v>
      </c>
      <c r="E577" t="s">
        <v>3404</v>
      </c>
      <c r="F577" t="s">
        <v>3405</v>
      </c>
      <c r="G577" t="s">
        <v>3406</v>
      </c>
      <c r="H577" s="11">
        <v>38656.982048611098</v>
      </c>
      <c r="I577" s="7" t="s">
        <v>78</v>
      </c>
    </row>
    <row r="578" spans="1:9" ht="15" customHeight="1" x14ac:dyDescent="0.3">
      <c r="A578" t="s">
        <v>3407</v>
      </c>
      <c r="B578" t="s">
        <v>3408</v>
      </c>
      <c r="C578" s="10">
        <v>35768</v>
      </c>
      <c r="D578" t="s">
        <v>2890</v>
      </c>
      <c r="E578" t="s">
        <v>3409</v>
      </c>
      <c r="F578" t="s">
        <v>3410</v>
      </c>
      <c r="G578" t="s">
        <v>3411</v>
      </c>
      <c r="H578" s="11">
        <v>40185.839409722197</v>
      </c>
      <c r="I578" s="7" t="s">
        <v>26</v>
      </c>
    </row>
    <row r="579" spans="1:9" ht="15" customHeight="1" x14ac:dyDescent="0.3">
      <c r="A579" t="s">
        <v>3412</v>
      </c>
      <c r="B579" t="s">
        <v>3413</v>
      </c>
      <c r="C579" s="10">
        <v>27538</v>
      </c>
      <c r="D579" t="s">
        <v>3414</v>
      </c>
      <c r="E579" t="s">
        <v>2890</v>
      </c>
      <c r="F579" t="s">
        <v>3415</v>
      </c>
      <c r="G579" t="s">
        <v>3416</v>
      </c>
      <c r="H579" s="11">
        <v>42592.498460648101</v>
      </c>
      <c r="I579" s="7" t="s">
        <v>26</v>
      </c>
    </row>
    <row r="580" spans="1:9" ht="15" customHeight="1" x14ac:dyDescent="0.3">
      <c r="A580" t="s">
        <v>3417</v>
      </c>
      <c r="B580" t="s">
        <v>3418</v>
      </c>
      <c r="C580" s="10">
        <v>32453</v>
      </c>
      <c r="D580" t="s">
        <v>3419</v>
      </c>
      <c r="E580" t="s">
        <v>3420</v>
      </c>
      <c r="F580" t="s">
        <v>3421</v>
      </c>
      <c r="G580" t="s">
        <v>3422</v>
      </c>
      <c r="H580" s="11">
        <v>40199.992164351897</v>
      </c>
      <c r="I580" s="7" t="s">
        <v>26</v>
      </c>
    </row>
    <row r="581" spans="1:9" ht="15" customHeight="1" x14ac:dyDescent="0.3">
      <c r="A581" t="s">
        <v>3423</v>
      </c>
      <c r="B581" t="s">
        <v>3424</v>
      </c>
      <c r="C581" s="10">
        <v>29482</v>
      </c>
      <c r="D581" t="s">
        <v>2890</v>
      </c>
      <c r="E581" t="s">
        <v>3425</v>
      </c>
      <c r="F581" t="s">
        <v>3426</v>
      </c>
      <c r="G581" t="s">
        <v>3427</v>
      </c>
      <c r="H581" s="11">
        <v>41405.984375</v>
      </c>
      <c r="I581" s="7" t="s">
        <v>33</v>
      </c>
    </row>
    <row r="582" spans="1:9" ht="15" customHeight="1" x14ac:dyDescent="0.3">
      <c r="A582" t="s">
        <v>3428</v>
      </c>
      <c r="B582" t="s">
        <v>3429</v>
      </c>
      <c r="C582" s="10">
        <v>33516</v>
      </c>
      <c r="D582" t="s">
        <v>3430</v>
      </c>
      <c r="E582" t="s">
        <v>2890</v>
      </c>
      <c r="F582" t="s">
        <v>3431</v>
      </c>
      <c r="G582" t="s">
        <v>3432</v>
      </c>
      <c r="H582" s="11">
        <v>39502.659421296303</v>
      </c>
      <c r="I582" s="7" t="s">
        <v>52</v>
      </c>
    </row>
    <row r="583" spans="1:9" ht="15" customHeight="1" x14ac:dyDescent="0.3">
      <c r="A583" t="s">
        <v>3433</v>
      </c>
      <c r="B583" t="s">
        <v>3434</v>
      </c>
      <c r="C583" s="10">
        <v>29850</v>
      </c>
      <c r="D583" t="s">
        <v>3435</v>
      </c>
      <c r="E583" t="s">
        <v>3436</v>
      </c>
      <c r="F583" t="s">
        <v>3437</v>
      </c>
      <c r="G583" t="s">
        <v>3438</v>
      </c>
      <c r="H583" s="11">
        <v>42568.665844907402</v>
      </c>
      <c r="I583" s="7" t="s">
        <v>26</v>
      </c>
    </row>
    <row r="584" spans="1:9" ht="15" customHeight="1" x14ac:dyDescent="0.3">
      <c r="A584" t="s">
        <v>3439</v>
      </c>
      <c r="B584" t="s">
        <v>3440</v>
      </c>
      <c r="C584" s="10">
        <v>33901</v>
      </c>
      <c r="D584" t="s">
        <v>2890</v>
      </c>
      <c r="E584" t="s">
        <v>3441</v>
      </c>
      <c r="F584" t="s">
        <v>3442</v>
      </c>
      <c r="G584" t="s">
        <v>3443</v>
      </c>
      <c r="H584" s="11">
        <v>40872.167500000003</v>
      </c>
      <c r="I584" s="7" t="s">
        <v>33</v>
      </c>
    </row>
    <row r="585" spans="1:9" ht="15" customHeight="1" x14ac:dyDescent="0.3">
      <c r="A585" t="s">
        <v>3444</v>
      </c>
      <c r="B585" t="s">
        <v>3445</v>
      </c>
      <c r="C585" s="10">
        <v>36060</v>
      </c>
      <c r="D585" t="s">
        <v>3446</v>
      </c>
      <c r="E585" t="s">
        <v>2890</v>
      </c>
      <c r="F585" t="s">
        <v>3447</v>
      </c>
      <c r="G585" t="s">
        <v>3448</v>
      </c>
      <c r="H585" s="11">
        <v>38592.106006944399</v>
      </c>
      <c r="I585" s="7" t="s">
        <v>33</v>
      </c>
    </row>
    <row r="586" spans="1:9" ht="15" customHeight="1" x14ac:dyDescent="0.3">
      <c r="A586" t="s">
        <v>3449</v>
      </c>
      <c r="B586" t="s">
        <v>3450</v>
      </c>
      <c r="C586" s="10">
        <v>31952</v>
      </c>
      <c r="D586" t="s">
        <v>3451</v>
      </c>
      <c r="E586" t="s">
        <v>3452</v>
      </c>
      <c r="F586" t="s">
        <v>3453</v>
      </c>
      <c r="G586" t="s">
        <v>3454</v>
      </c>
      <c r="H586" s="11">
        <v>39371.014895833301</v>
      </c>
      <c r="I586" s="7" t="s">
        <v>78</v>
      </c>
    </row>
    <row r="587" spans="1:9" ht="15" customHeight="1" x14ac:dyDescent="0.3">
      <c r="A587" t="s">
        <v>3455</v>
      </c>
      <c r="B587" t="s">
        <v>3456</v>
      </c>
      <c r="C587" s="10">
        <v>35842</v>
      </c>
      <c r="D587" t="s">
        <v>2890</v>
      </c>
      <c r="E587" t="s">
        <v>3457</v>
      </c>
      <c r="F587" t="s">
        <v>3458</v>
      </c>
      <c r="G587" t="s">
        <v>3459</v>
      </c>
      <c r="H587" s="11">
        <v>43301.497546296298</v>
      </c>
      <c r="I587" s="7" t="s">
        <v>78</v>
      </c>
    </row>
    <row r="588" spans="1:9" ht="15" customHeight="1" x14ac:dyDescent="0.3">
      <c r="A588" t="s">
        <v>3460</v>
      </c>
      <c r="B588" t="s">
        <v>3461</v>
      </c>
      <c r="C588" s="10">
        <v>26044</v>
      </c>
      <c r="D588" t="s">
        <v>3462</v>
      </c>
      <c r="E588" t="s">
        <v>2890</v>
      </c>
      <c r="F588" t="s">
        <v>3463</v>
      </c>
      <c r="G588" t="s">
        <v>3464</v>
      </c>
      <c r="H588" s="11">
        <v>39936.895613425899</v>
      </c>
      <c r="I588" s="7" t="s">
        <v>71</v>
      </c>
    </row>
    <row r="589" spans="1:9" ht="15" customHeight="1" x14ac:dyDescent="0.3">
      <c r="A589" t="s">
        <v>3465</v>
      </c>
      <c r="B589" t="s">
        <v>3466</v>
      </c>
      <c r="C589" s="10">
        <v>36283</v>
      </c>
      <c r="D589" t="s">
        <v>3467</v>
      </c>
      <c r="E589" t="s">
        <v>3468</v>
      </c>
      <c r="F589" t="s">
        <v>3469</v>
      </c>
      <c r="G589" t="s">
        <v>3470</v>
      </c>
      <c r="H589" s="11">
        <v>40486.182800925897</v>
      </c>
      <c r="I589" s="7" t="s">
        <v>33</v>
      </c>
    </row>
    <row r="590" spans="1:9" ht="15" customHeight="1" x14ac:dyDescent="0.3">
      <c r="A590" t="s">
        <v>3471</v>
      </c>
      <c r="B590" t="s">
        <v>3472</v>
      </c>
      <c r="C590" s="10">
        <v>34631</v>
      </c>
      <c r="D590" t="s">
        <v>2890</v>
      </c>
      <c r="E590" t="s">
        <v>3473</v>
      </c>
      <c r="F590" t="s">
        <v>3474</v>
      </c>
      <c r="G590" t="s">
        <v>3475</v>
      </c>
      <c r="H590" s="11">
        <v>42386.730578703697</v>
      </c>
      <c r="I590" s="7" t="s">
        <v>71</v>
      </c>
    </row>
    <row r="591" spans="1:9" ht="15" customHeight="1" x14ac:dyDescent="0.3">
      <c r="A591" t="s">
        <v>3476</v>
      </c>
      <c r="B591" t="s">
        <v>3477</v>
      </c>
      <c r="C591" s="10">
        <v>31545</v>
      </c>
      <c r="D591" t="s">
        <v>3478</v>
      </c>
      <c r="E591" t="s">
        <v>2890</v>
      </c>
      <c r="F591" t="s">
        <v>3479</v>
      </c>
      <c r="G591" t="s">
        <v>3480</v>
      </c>
      <c r="H591" s="11">
        <v>41438.1158796296</v>
      </c>
      <c r="I591" s="7" t="s">
        <v>71</v>
      </c>
    </row>
    <row r="592" spans="1:9" ht="15" customHeight="1" x14ac:dyDescent="0.3">
      <c r="A592" t="s">
        <v>3481</v>
      </c>
      <c r="B592" t="s">
        <v>3482</v>
      </c>
      <c r="C592" s="10">
        <v>32766</v>
      </c>
      <c r="D592" t="s">
        <v>3483</v>
      </c>
      <c r="E592" t="s">
        <v>3484</v>
      </c>
      <c r="F592" t="s">
        <v>3485</v>
      </c>
      <c r="G592" t="s">
        <v>3486</v>
      </c>
      <c r="H592" s="11">
        <v>40982.447962963</v>
      </c>
      <c r="I592" s="7" t="s">
        <v>78</v>
      </c>
    </row>
    <row r="593" spans="1:9" ht="15" customHeight="1" x14ac:dyDescent="0.3">
      <c r="A593" t="s">
        <v>3487</v>
      </c>
      <c r="B593" t="s">
        <v>3488</v>
      </c>
      <c r="C593" s="10">
        <v>32984</v>
      </c>
      <c r="D593" t="s">
        <v>2890</v>
      </c>
      <c r="E593" t="s">
        <v>3489</v>
      </c>
      <c r="F593" t="s">
        <v>3490</v>
      </c>
      <c r="G593" t="s">
        <v>3491</v>
      </c>
      <c r="H593" s="11">
        <v>40200.213240740697</v>
      </c>
      <c r="I593" s="7" t="s">
        <v>71</v>
      </c>
    </row>
    <row r="594" spans="1:9" ht="15" customHeight="1" x14ac:dyDescent="0.3">
      <c r="A594" t="s">
        <v>3492</v>
      </c>
      <c r="B594" t="s">
        <v>3493</v>
      </c>
      <c r="C594" s="10">
        <v>29723</v>
      </c>
      <c r="D594" t="s">
        <v>3494</v>
      </c>
      <c r="E594" t="s">
        <v>2890</v>
      </c>
      <c r="F594" t="s">
        <v>3495</v>
      </c>
      <c r="G594" t="s">
        <v>3496</v>
      </c>
      <c r="H594" s="11">
        <v>43453.252604166701</v>
      </c>
      <c r="I594" s="7" t="s">
        <v>26</v>
      </c>
    </row>
    <row r="595" spans="1:9" ht="15" customHeight="1" x14ac:dyDescent="0.3">
      <c r="A595" t="s">
        <v>3497</v>
      </c>
      <c r="B595" t="s">
        <v>3498</v>
      </c>
      <c r="C595" s="10">
        <v>29096</v>
      </c>
      <c r="D595" t="s">
        <v>3499</v>
      </c>
      <c r="E595" t="s">
        <v>3500</v>
      </c>
      <c r="F595" t="s">
        <v>3501</v>
      </c>
      <c r="G595" t="s">
        <v>3502</v>
      </c>
      <c r="H595" s="11">
        <v>40594.650312500002</v>
      </c>
      <c r="I595" s="7" t="s">
        <v>52</v>
      </c>
    </row>
    <row r="596" spans="1:9" ht="15" customHeight="1" x14ac:dyDescent="0.3">
      <c r="A596" t="s">
        <v>3503</v>
      </c>
      <c r="B596" t="s">
        <v>3504</v>
      </c>
      <c r="C596" s="10">
        <v>27056</v>
      </c>
      <c r="D596" t="s">
        <v>2890</v>
      </c>
      <c r="E596" t="s">
        <v>3505</v>
      </c>
      <c r="F596" t="s">
        <v>3506</v>
      </c>
      <c r="G596" t="s">
        <v>3507</v>
      </c>
      <c r="H596" s="11">
        <v>39415.045439814799</v>
      </c>
      <c r="I596" s="7" t="s">
        <v>26</v>
      </c>
    </row>
    <row r="597" spans="1:9" ht="15" customHeight="1" x14ac:dyDescent="0.3">
      <c r="A597" t="s">
        <v>3508</v>
      </c>
      <c r="B597" t="s">
        <v>3509</v>
      </c>
      <c r="C597" s="10">
        <v>31626</v>
      </c>
      <c r="D597" t="s">
        <v>3510</v>
      </c>
      <c r="E597" t="s">
        <v>2890</v>
      </c>
      <c r="F597" t="s">
        <v>3511</v>
      </c>
      <c r="G597" t="s">
        <v>3512</v>
      </c>
      <c r="H597" s="11">
        <v>41820.083969907399</v>
      </c>
      <c r="I597" s="7" t="s">
        <v>78</v>
      </c>
    </row>
    <row r="598" spans="1:9" ht="15" customHeight="1" x14ac:dyDescent="0.3">
      <c r="A598" t="s">
        <v>3513</v>
      </c>
      <c r="B598" t="s">
        <v>3514</v>
      </c>
      <c r="C598" s="10">
        <v>33208</v>
      </c>
      <c r="D598" t="s">
        <v>3515</v>
      </c>
      <c r="E598" t="s">
        <v>3516</v>
      </c>
      <c r="F598" t="s">
        <v>3517</v>
      </c>
      <c r="G598" t="s">
        <v>3518</v>
      </c>
      <c r="H598" s="11">
        <v>41605.891493055598</v>
      </c>
      <c r="I598" s="7" t="s">
        <v>26</v>
      </c>
    </row>
    <row r="599" spans="1:9" ht="15" customHeight="1" x14ac:dyDescent="0.3">
      <c r="A599" t="s">
        <v>3519</v>
      </c>
      <c r="B599" t="s">
        <v>3520</v>
      </c>
      <c r="C599" s="10">
        <v>35994</v>
      </c>
      <c r="D599" t="s">
        <v>2890</v>
      </c>
      <c r="E599" t="s">
        <v>3521</v>
      </c>
      <c r="F599" t="s">
        <v>3522</v>
      </c>
      <c r="G599" t="s">
        <v>3523</v>
      </c>
      <c r="H599" s="11">
        <v>38727.482326388897</v>
      </c>
      <c r="I599" s="7" t="s">
        <v>71</v>
      </c>
    </row>
    <row r="600" spans="1:9" ht="15" customHeight="1" x14ac:dyDescent="0.3">
      <c r="A600" t="s">
        <v>3524</v>
      </c>
      <c r="B600" t="s">
        <v>3525</v>
      </c>
      <c r="C600" s="10">
        <v>33708</v>
      </c>
      <c r="D600" t="s">
        <v>3526</v>
      </c>
      <c r="E600" t="s">
        <v>2890</v>
      </c>
      <c r="F600" t="s">
        <v>3527</v>
      </c>
      <c r="G600" t="s">
        <v>3528</v>
      </c>
      <c r="H600" s="11">
        <v>39419.307905092603</v>
      </c>
      <c r="I600" s="7" t="s">
        <v>26</v>
      </c>
    </row>
    <row r="601" spans="1:9" ht="15" customHeight="1" x14ac:dyDescent="0.3">
      <c r="A601" t="s">
        <v>3529</v>
      </c>
      <c r="B601" t="s">
        <v>3530</v>
      </c>
      <c r="C601" s="10">
        <v>26549</v>
      </c>
      <c r="D601" t="s">
        <v>3531</v>
      </c>
      <c r="E601" t="s">
        <v>3532</v>
      </c>
      <c r="F601" t="s">
        <v>3533</v>
      </c>
      <c r="G601" t="s">
        <v>3534</v>
      </c>
      <c r="H601" s="11">
        <v>40300.540405092601</v>
      </c>
      <c r="I601" s="7" t="s">
        <v>26</v>
      </c>
    </row>
    <row r="602" spans="1:9" ht="15" customHeight="1" x14ac:dyDescent="0.3">
      <c r="A602" t="s">
        <v>3535</v>
      </c>
      <c r="B602" t="s">
        <v>3536</v>
      </c>
      <c r="C602" s="10">
        <v>32982</v>
      </c>
      <c r="D602" t="s">
        <v>2890</v>
      </c>
      <c r="E602" t="s">
        <v>3537</v>
      </c>
      <c r="F602" t="s">
        <v>3538</v>
      </c>
      <c r="G602" t="s">
        <v>3539</v>
      </c>
      <c r="H602" s="11">
        <v>39297.459386574097</v>
      </c>
      <c r="I602" s="7" t="s">
        <v>26</v>
      </c>
    </row>
    <row r="603" spans="1:9" ht="15" customHeight="1" x14ac:dyDescent="0.3">
      <c r="A603" t="s">
        <v>3540</v>
      </c>
      <c r="B603" t="s">
        <v>3541</v>
      </c>
      <c r="C603" s="10">
        <v>36421</v>
      </c>
      <c r="D603" t="s">
        <v>3542</v>
      </c>
      <c r="E603" t="s">
        <v>2890</v>
      </c>
      <c r="F603" t="s">
        <v>3543</v>
      </c>
      <c r="G603" t="s">
        <v>3544</v>
      </c>
      <c r="H603" s="11">
        <v>43544.039247685199</v>
      </c>
      <c r="I603" s="7" t="s">
        <v>26</v>
      </c>
    </row>
    <row r="604" spans="1:9" ht="15" customHeight="1" x14ac:dyDescent="0.3">
      <c r="A604" t="s">
        <v>3545</v>
      </c>
      <c r="B604" t="s">
        <v>3546</v>
      </c>
      <c r="C604" s="10">
        <v>28132</v>
      </c>
      <c r="D604" t="s">
        <v>3547</v>
      </c>
      <c r="E604" t="s">
        <v>3548</v>
      </c>
      <c r="F604" t="s">
        <v>3549</v>
      </c>
      <c r="G604" t="s">
        <v>3550</v>
      </c>
      <c r="H604" s="11">
        <v>39005.619699074101</v>
      </c>
      <c r="I604" s="7" t="s">
        <v>78</v>
      </c>
    </row>
    <row r="605" spans="1:9" ht="15" customHeight="1" x14ac:dyDescent="0.3">
      <c r="A605" t="s">
        <v>3551</v>
      </c>
      <c r="B605" t="s">
        <v>3552</v>
      </c>
      <c r="C605" s="10">
        <v>32613</v>
      </c>
      <c r="D605" t="s">
        <v>2890</v>
      </c>
      <c r="E605" t="s">
        <v>3553</v>
      </c>
      <c r="F605" t="s">
        <v>3554</v>
      </c>
      <c r="G605" t="s">
        <v>3555</v>
      </c>
      <c r="H605" s="11">
        <v>41847.720856481501</v>
      </c>
      <c r="I605" s="7" t="s">
        <v>78</v>
      </c>
    </row>
    <row r="606" spans="1:9" ht="15" customHeight="1" x14ac:dyDescent="0.3">
      <c r="A606" t="s">
        <v>3556</v>
      </c>
      <c r="B606" t="s">
        <v>3557</v>
      </c>
      <c r="C606" s="10">
        <v>32984</v>
      </c>
      <c r="D606" t="s">
        <v>3558</v>
      </c>
      <c r="E606" t="s">
        <v>2890</v>
      </c>
      <c r="F606" t="s">
        <v>3559</v>
      </c>
      <c r="G606" t="s">
        <v>3560</v>
      </c>
      <c r="H606" s="11">
        <v>40410.1571064815</v>
      </c>
      <c r="I606" s="7" t="s">
        <v>33</v>
      </c>
    </row>
    <row r="607" spans="1:9" ht="15" customHeight="1" x14ac:dyDescent="0.3">
      <c r="A607" t="s">
        <v>3561</v>
      </c>
      <c r="B607" t="s">
        <v>3562</v>
      </c>
      <c r="C607" s="10">
        <v>33540</v>
      </c>
      <c r="D607" t="s">
        <v>3563</v>
      </c>
      <c r="E607" t="s">
        <v>3564</v>
      </c>
      <c r="F607" t="s">
        <v>3565</v>
      </c>
      <c r="G607" t="s">
        <v>3566</v>
      </c>
      <c r="H607" s="11">
        <v>42282.564837963</v>
      </c>
      <c r="I607" s="7" t="s">
        <v>71</v>
      </c>
    </row>
    <row r="608" spans="1:9" ht="15" customHeight="1" x14ac:dyDescent="0.3">
      <c r="A608" t="s">
        <v>3567</v>
      </c>
      <c r="B608" t="s">
        <v>3568</v>
      </c>
      <c r="C608" s="10">
        <v>29463</v>
      </c>
      <c r="D608" t="s">
        <v>2890</v>
      </c>
      <c r="E608" t="s">
        <v>3569</v>
      </c>
      <c r="F608" t="s">
        <v>3570</v>
      </c>
      <c r="G608" t="s">
        <v>3571</v>
      </c>
      <c r="H608" s="11">
        <v>43915.478761574101</v>
      </c>
      <c r="I608" s="7" t="s">
        <v>52</v>
      </c>
    </row>
    <row r="609" spans="1:9" ht="15" customHeight="1" x14ac:dyDescent="0.3">
      <c r="A609" t="s">
        <v>3572</v>
      </c>
      <c r="B609" t="s">
        <v>3573</v>
      </c>
      <c r="C609" s="10">
        <v>26946</v>
      </c>
      <c r="D609" t="s">
        <v>3574</v>
      </c>
      <c r="E609" t="s">
        <v>2890</v>
      </c>
      <c r="F609" t="s">
        <v>3575</v>
      </c>
      <c r="G609" t="s">
        <v>3576</v>
      </c>
      <c r="H609" s="11">
        <v>39930.420636574097</v>
      </c>
      <c r="I609" s="7" t="s">
        <v>78</v>
      </c>
    </row>
    <row r="610" spans="1:9" ht="15" customHeight="1" x14ac:dyDescent="0.3">
      <c r="A610" t="s">
        <v>3577</v>
      </c>
      <c r="B610" t="s">
        <v>3578</v>
      </c>
      <c r="C610" s="10">
        <v>33625</v>
      </c>
      <c r="D610" t="s">
        <v>3579</v>
      </c>
      <c r="E610" t="s">
        <v>3580</v>
      </c>
      <c r="F610" t="s">
        <v>3581</v>
      </c>
      <c r="G610" t="s">
        <v>3582</v>
      </c>
      <c r="H610" s="11">
        <v>43100.1471296296</v>
      </c>
      <c r="I610" s="7" t="s">
        <v>71</v>
      </c>
    </row>
    <row r="611" spans="1:9" ht="15" customHeight="1" x14ac:dyDescent="0.3">
      <c r="A611" t="s">
        <v>3583</v>
      </c>
      <c r="B611" t="s">
        <v>3584</v>
      </c>
      <c r="C611" s="10">
        <v>29452</v>
      </c>
      <c r="D611" t="s">
        <v>2890</v>
      </c>
      <c r="E611" t="s">
        <v>3585</v>
      </c>
      <c r="F611" t="s">
        <v>3586</v>
      </c>
      <c r="G611" t="s">
        <v>3587</v>
      </c>
      <c r="H611" s="11">
        <v>42833.844722222202</v>
      </c>
      <c r="I611" s="7" t="s">
        <v>78</v>
      </c>
    </row>
    <row r="612" spans="1:9" ht="15" customHeight="1" x14ac:dyDescent="0.3">
      <c r="A612" t="s">
        <v>3588</v>
      </c>
      <c r="B612" t="s">
        <v>3589</v>
      </c>
      <c r="C612" s="10">
        <v>28579</v>
      </c>
      <c r="D612" t="s">
        <v>3590</v>
      </c>
      <c r="E612" t="s">
        <v>2890</v>
      </c>
      <c r="F612" t="s">
        <v>3591</v>
      </c>
      <c r="G612" t="s">
        <v>3592</v>
      </c>
      <c r="H612" s="11">
        <v>44057.112002314803</v>
      </c>
      <c r="I612" s="7" t="s">
        <v>52</v>
      </c>
    </row>
    <row r="613" spans="1:9" ht="15" customHeight="1" x14ac:dyDescent="0.3">
      <c r="A613" t="s">
        <v>3593</v>
      </c>
      <c r="B613" t="s">
        <v>3594</v>
      </c>
      <c r="C613" s="10">
        <v>32146</v>
      </c>
      <c r="D613" t="s">
        <v>3595</v>
      </c>
      <c r="E613" t="s">
        <v>3596</v>
      </c>
      <c r="F613" t="s">
        <v>3597</v>
      </c>
      <c r="G613" t="s">
        <v>3598</v>
      </c>
      <c r="H613" s="11">
        <v>38762.825405092597</v>
      </c>
      <c r="I613" s="7" t="s">
        <v>26</v>
      </c>
    </row>
    <row r="614" spans="1:9" ht="15" customHeight="1" x14ac:dyDescent="0.3">
      <c r="A614" t="s">
        <v>3599</v>
      </c>
      <c r="B614" t="s">
        <v>3600</v>
      </c>
      <c r="C614" s="10">
        <v>27942</v>
      </c>
      <c r="D614" t="s">
        <v>2890</v>
      </c>
      <c r="E614" t="s">
        <v>3601</v>
      </c>
      <c r="F614" t="s">
        <v>3602</v>
      </c>
      <c r="G614" t="s">
        <v>3603</v>
      </c>
      <c r="H614" s="11">
        <v>42441.580312500002</v>
      </c>
      <c r="I614" s="7" t="s">
        <v>26</v>
      </c>
    </row>
    <row r="615" spans="1:9" ht="15" customHeight="1" x14ac:dyDescent="0.3">
      <c r="A615" t="s">
        <v>3604</v>
      </c>
      <c r="B615" t="s">
        <v>3605</v>
      </c>
      <c r="C615" s="10">
        <v>29382</v>
      </c>
      <c r="D615" t="s">
        <v>3606</v>
      </c>
      <c r="E615" t="s">
        <v>2890</v>
      </c>
      <c r="F615" t="s">
        <v>3607</v>
      </c>
      <c r="G615" t="s">
        <v>3608</v>
      </c>
      <c r="H615" s="11">
        <v>39303.910671296297</v>
      </c>
      <c r="I615" s="7" t="s">
        <v>26</v>
      </c>
    </row>
    <row r="616" spans="1:9" ht="15" customHeight="1" x14ac:dyDescent="0.3">
      <c r="A616" t="s">
        <v>3609</v>
      </c>
      <c r="B616" t="s">
        <v>3610</v>
      </c>
      <c r="C616" s="10">
        <v>27932</v>
      </c>
      <c r="D616" t="s">
        <v>3611</v>
      </c>
      <c r="E616" t="s">
        <v>3612</v>
      </c>
      <c r="F616" t="s">
        <v>3613</v>
      </c>
      <c r="G616" t="s">
        <v>3614</v>
      </c>
      <c r="H616" s="11">
        <v>39783.514270833301</v>
      </c>
      <c r="I616" s="7" t="s">
        <v>78</v>
      </c>
    </row>
    <row r="617" spans="1:9" ht="15" customHeight="1" x14ac:dyDescent="0.3">
      <c r="A617" t="s">
        <v>3615</v>
      </c>
      <c r="B617" t="s">
        <v>3616</v>
      </c>
      <c r="C617" s="10">
        <v>36126</v>
      </c>
      <c r="D617" t="s">
        <v>2890</v>
      </c>
      <c r="E617" t="s">
        <v>3617</v>
      </c>
      <c r="F617" t="s">
        <v>3618</v>
      </c>
      <c r="G617" t="s">
        <v>3619</v>
      </c>
      <c r="H617" s="11">
        <v>43819.191817129598</v>
      </c>
      <c r="I617" s="7" t="s">
        <v>78</v>
      </c>
    </row>
    <row r="618" spans="1:9" ht="15" customHeight="1" x14ac:dyDescent="0.3">
      <c r="A618" t="s">
        <v>3620</v>
      </c>
      <c r="B618" t="s">
        <v>3621</v>
      </c>
      <c r="C618" s="10">
        <v>34636</v>
      </c>
      <c r="D618" t="s">
        <v>3622</v>
      </c>
      <c r="E618" t="s">
        <v>2890</v>
      </c>
      <c r="F618" t="s">
        <v>3623</v>
      </c>
      <c r="G618" t="s">
        <v>2939</v>
      </c>
      <c r="H618" s="11">
        <v>42281.165081018502</v>
      </c>
      <c r="I618" s="7" t="s">
        <v>52</v>
      </c>
    </row>
    <row r="619" spans="1:9" ht="15" customHeight="1" x14ac:dyDescent="0.3">
      <c r="A619" t="s">
        <v>3624</v>
      </c>
      <c r="B619" t="s">
        <v>3625</v>
      </c>
      <c r="C619" s="10">
        <v>31716</v>
      </c>
      <c r="D619" t="s">
        <v>3626</v>
      </c>
      <c r="E619" t="s">
        <v>3627</v>
      </c>
      <c r="F619" t="s">
        <v>3628</v>
      </c>
      <c r="G619" t="s">
        <v>3629</v>
      </c>
      <c r="H619" s="11">
        <v>42025.406134259298</v>
      </c>
      <c r="I619" s="7" t="s">
        <v>71</v>
      </c>
    </row>
    <row r="620" spans="1:9" ht="15" customHeight="1" x14ac:dyDescent="0.3">
      <c r="A620" t="s">
        <v>3630</v>
      </c>
      <c r="B620" t="s">
        <v>3631</v>
      </c>
      <c r="C620" s="10">
        <v>25911</v>
      </c>
      <c r="D620" t="s">
        <v>2890</v>
      </c>
      <c r="E620" t="s">
        <v>3632</v>
      </c>
      <c r="F620" t="s">
        <v>3633</v>
      </c>
      <c r="G620" t="s">
        <v>3634</v>
      </c>
      <c r="H620" s="11">
        <v>43699.444224537001</v>
      </c>
      <c r="I620" s="7" t="s">
        <v>71</v>
      </c>
    </row>
    <row r="621" spans="1:9" ht="15" customHeight="1" x14ac:dyDescent="0.3">
      <c r="A621" t="s">
        <v>3635</v>
      </c>
      <c r="B621" t="s">
        <v>3636</v>
      </c>
      <c r="C621" s="10">
        <v>26991</v>
      </c>
      <c r="D621" t="s">
        <v>3637</v>
      </c>
      <c r="E621" t="s">
        <v>2890</v>
      </c>
      <c r="F621" t="s">
        <v>3638</v>
      </c>
      <c r="G621" t="s">
        <v>3639</v>
      </c>
      <c r="H621" s="11">
        <v>43576.3903125</v>
      </c>
      <c r="I621" s="7" t="s">
        <v>78</v>
      </c>
    </row>
    <row r="622" spans="1:9" ht="15" customHeight="1" x14ac:dyDescent="0.3">
      <c r="A622" t="s">
        <v>3640</v>
      </c>
      <c r="B622" t="s">
        <v>3641</v>
      </c>
      <c r="C622" s="10">
        <v>30777</v>
      </c>
      <c r="D622" t="s">
        <v>3642</v>
      </c>
      <c r="E622" t="s">
        <v>3643</v>
      </c>
      <c r="F622" t="s">
        <v>3644</v>
      </c>
      <c r="G622" t="s">
        <v>3645</v>
      </c>
      <c r="H622" s="11">
        <v>39272.199814814798</v>
      </c>
      <c r="I622" s="7" t="s">
        <v>33</v>
      </c>
    </row>
    <row r="623" spans="1:9" ht="15" customHeight="1" x14ac:dyDescent="0.3">
      <c r="A623" t="s">
        <v>3646</v>
      </c>
      <c r="B623" t="s">
        <v>3647</v>
      </c>
      <c r="C623" s="10">
        <v>32771</v>
      </c>
      <c r="D623" t="s">
        <v>2890</v>
      </c>
      <c r="E623" t="s">
        <v>3648</v>
      </c>
      <c r="F623" t="s">
        <v>3649</v>
      </c>
      <c r="G623" t="s">
        <v>3650</v>
      </c>
      <c r="H623" s="11">
        <v>41301.514432870397</v>
      </c>
      <c r="I623" s="7" t="s">
        <v>78</v>
      </c>
    </row>
    <row r="624" spans="1:9" ht="15" customHeight="1" x14ac:dyDescent="0.3">
      <c r="A624" t="s">
        <v>3651</v>
      </c>
      <c r="B624" t="s">
        <v>3652</v>
      </c>
      <c r="C624" s="10">
        <v>35951</v>
      </c>
      <c r="D624" t="s">
        <v>3653</v>
      </c>
      <c r="E624" t="s">
        <v>2890</v>
      </c>
      <c r="F624" t="s">
        <v>3654</v>
      </c>
      <c r="G624" t="s">
        <v>3655</v>
      </c>
      <c r="H624" s="11">
        <v>38484.898807870399</v>
      </c>
      <c r="I624" s="7" t="s">
        <v>78</v>
      </c>
    </row>
    <row r="625" spans="1:9" ht="15" customHeight="1" x14ac:dyDescent="0.3">
      <c r="A625" t="s">
        <v>3656</v>
      </c>
      <c r="B625" t="s">
        <v>3657</v>
      </c>
      <c r="C625" s="10">
        <v>32481</v>
      </c>
      <c r="D625" t="s">
        <v>3658</v>
      </c>
      <c r="E625" t="s">
        <v>3659</v>
      </c>
      <c r="F625" t="s">
        <v>3660</v>
      </c>
      <c r="G625" t="s">
        <v>3661</v>
      </c>
      <c r="H625" s="11">
        <v>40331.4746296296</v>
      </c>
      <c r="I625" s="7" t="s">
        <v>33</v>
      </c>
    </row>
    <row r="626" spans="1:9" ht="15" customHeight="1" x14ac:dyDescent="0.3">
      <c r="A626" t="s">
        <v>3662</v>
      </c>
      <c r="B626" t="s">
        <v>3663</v>
      </c>
      <c r="C626" s="10">
        <v>32994</v>
      </c>
      <c r="D626" t="s">
        <v>2890</v>
      </c>
      <c r="E626" t="s">
        <v>3664</v>
      </c>
      <c r="F626" t="s">
        <v>3665</v>
      </c>
      <c r="G626" t="s">
        <v>3666</v>
      </c>
      <c r="H626" s="11">
        <v>40282.743206018502</v>
      </c>
      <c r="I626" s="7" t="s">
        <v>33</v>
      </c>
    </row>
    <row r="627" spans="1:9" ht="15" customHeight="1" x14ac:dyDescent="0.3">
      <c r="A627" t="s">
        <v>3667</v>
      </c>
      <c r="B627" t="s">
        <v>3668</v>
      </c>
      <c r="C627" s="10">
        <v>35046</v>
      </c>
      <c r="D627" t="s">
        <v>3669</v>
      </c>
      <c r="E627" t="s">
        <v>2890</v>
      </c>
      <c r="F627" t="s">
        <v>3670</v>
      </c>
      <c r="G627" t="s">
        <v>3671</v>
      </c>
      <c r="H627" s="11">
        <v>38793.933993055602</v>
      </c>
      <c r="I627" s="7" t="s">
        <v>33</v>
      </c>
    </row>
    <row r="628" spans="1:9" ht="15" customHeight="1" x14ac:dyDescent="0.3">
      <c r="A628" t="s">
        <v>3672</v>
      </c>
      <c r="B628" t="s">
        <v>3673</v>
      </c>
      <c r="C628" s="10">
        <v>31960</v>
      </c>
      <c r="D628" t="s">
        <v>3674</v>
      </c>
      <c r="E628" t="s">
        <v>3675</v>
      </c>
      <c r="F628" t="s">
        <v>3676</v>
      </c>
      <c r="G628" t="s">
        <v>3677</v>
      </c>
      <c r="H628" s="11">
        <v>43873.834687499999</v>
      </c>
      <c r="I628" s="7" t="s">
        <v>26</v>
      </c>
    </row>
    <row r="629" spans="1:9" ht="15" customHeight="1" x14ac:dyDescent="0.3">
      <c r="A629" t="s">
        <v>3678</v>
      </c>
      <c r="B629" t="s">
        <v>3679</v>
      </c>
      <c r="C629" s="10">
        <v>28848</v>
      </c>
      <c r="D629" t="s">
        <v>2890</v>
      </c>
      <c r="E629" t="s">
        <v>3680</v>
      </c>
      <c r="F629" t="s">
        <v>3681</v>
      </c>
      <c r="G629" t="s">
        <v>3682</v>
      </c>
      <c r="H629" s="11">
        <v>41267.297025462998</v>
      </c>
      <c r="I629" s="7" t="s">
        <v>52</v>
      </c>
    </row>
    <row r="630" spans="1:9" ht="15" customHeight="1" x14ac:dyDescent="0.3">
      <c r="A630" t="s">
        <v>3683</v>
      </c>
      <c r="B630" t="s">
        <v>3684</v>
      </c>
      <c r="C630" s="10">
        <v>36321</v>
      </c>
      <c r="D630" t="s">
        <v>3685</v>
      </c>
      <c r="E630" t="s">
        <v>2890</v>
      </c>
      <c r="F630" t="s">
        <v>3686</v>
      </c>
      <c r="G630" t="s">
        <v>3687</v>
      </c>
      <c r="H630" s="11">
        <v>38608.433263888903</v>
      </c>
      <c r="I630" s="7" t="s">
        <v>33</v>
      </c>
    </row>
    <row r="631" spans="1:9" ht="15" customHeight="1" x14ac:dyDescent="0.3">
      <c r="A631" t="s">
        <v>3688</v>
      </c>
      <c r="B631" t="s">
        <v>3689</v>
      </c>
      <c r="C631" s="10">
        <v>26871</v>
      </c>
      <c r="D631" t="s">
        <v>3690</v>
      </c>
      <c r="E631" t="s">
        <v>3691</v>
      </c>
      <c r="F631" t="s">
        <v>3692</v>
      </c>
      <c r="G631" t="s">
        <v>3693</v>
      </c>
      <c r="H631" s="11">
        <v>42084.867407407401</v>
      </c>
      <c r="I631" s="7" t="s">
        <v>78</v>
      </c>
    </row>
    <row r="632" spans="1:9" ht="15" customHeight="1" x14ac:dyDescent="0.3">
      <c r="A632" t="s">
        <v>3694</v>
      </c>
      <c r="B632" t="s">
        <v>3695</v>
      </c>
      <c r="C632" s="10">
        <v>34211</v>
      </c>
      <c r="D632" t="s">
        <v>2890</v>
      </c>
      <c r="E632" t="s">
        <v>3696</v>
      </c>
      <c r="F632" t="s">
        <v>3697</v>
      </c>
      <c r="G632" t="s">
        <v>3698</v>
      </c>
      <c r="H632" s="11">
        <v>39611.9210648148</v>
      </c>
      <c r="I632" s="7" t="s">
        <v>52</v>
      </c>
    </row>
    <row r="633" spans="1:9" ht="15" customHeight="1" x14ac:dyDescent="0.3">
      <c r="A633" t="s">
        <v>3699</v>
      </c>
      <c r="B633" t="s">
        <v>3700</v>
      </c>
      <c r="C633" s="10">
        <v>25910</v>
      </c>
      <c r="D633" t="s">
        <v>3701</v>
      </c>
      <c r="E633" t="s">
        <v>2890</v>
      </c>
      <c r="F633" t="s">
        <v>3702</v>
      </c>
      <c r="G633" t="s">
        <v>3703</v>
      </c>
      <c r="H633" s="11">
        <v>44109.427407407398</v>
      </c>
      <c r="I633" s="7" t="s">
        <v>26</v>
      </c>
    </row>
    <row r="634" spans="1:9" ht="15" customHeight="1" x14ac:dyDescent="0.3">
      <c r="A634" t="s">
        <v>3704</v>
      </c>
      <c r="B634" t="s">
        <v>3705</v>
      </c>
      <c r="C634" s="10">
        <v>32362</v>
      </c>
      <c r="D634" t="s">
        <v>3706</v>
      </c>
      <c r="E634" t="s">
        <v>3707</v>
      </c>
      <c r="F634" t="s">
        <v>3708</v>
      </c>
      <c r="G634" t="s">
        <v>3709</v>
      </c>
      <c r="H634" s="11">
        <v>40541.2977777778</v>
      </c>
      <c r="I634" s="7" t="s">
        <v>71</v>
      </c>
    </row>
    <row r="635" spans="1:9" ht="15" customHeight="1" x14ac:dyDescent="0.3">
      <c r="A635" t="s">
        <v>3710</v>
      </c>
      <c r="B635" t="s">
        <v>3711</v>
      </c>
      <c r="C635" s="10">
        <v>27133</v>
      </c>
      <c r="D635" t="s">
        <v>2890</v>
      </c>
      <c r="E635" t="s">
        <v>3712</v>
      </c>
      <c r="F635" t="s">
        <v>3713</v>
      </c>
      <c r="G635" t="s">
        <v>3714</v>
      </c>
      <c r="H635" s="11">
        <v>40371.741863425901</v>
      </c>
      <c r="I635" s="7" t="s">
        <v>52</v>
      </c>
    </row>
    <row r="636" spans="1:9" ht="15" customHeight="1" x14ac:dyDescent="0.3">
      <c r="A636" t="s">
        <v>3715</v>
      </c>
      <c r="B636" t="s">
        <v>3716</v>
      </c>
      <c r="C636" s="10">
        <v>26375</v>
      </c>
      <c r="D636" t="s">
        <v>3717</v>
      </c>
      <c r="E636" t="s">
        <v>2890</v>
      </c>
      <c r="F636" t="s">
        <v>3718</v>
      </c>
      <c r="G636" t="s">
        <v>3719</v>
      </c>
      <c r="H636" s="11">
        <v>40949.313657407401</v>
      </c>
      <c r="I636" s="7" t="s">
        <v>52</v>
      </c>
    </row>
    <row r="637" spans="1:9" ht="15" customHeight="1" x14ac:dyDescent="0.3">
      <c r="A637" t="s">
        <v>3720</v>
      </c>
      <c r="B637" t="s">
        <v>3721</v>
      </c>
      <c r="C637" s="10">
        <v>36089</v>
      </c>
      <c r="D637" t="s">
        <v>3722</v>
      </c>
      <c r="E637" t="s">
        <v>3723</v>
      </c>
      <c r="F637" t="s">
        <v>3724</v>
      </c>
      <c r="G637" t="s">
        <v>3725</v>
      </c>
      <c r="H637" s="11">
        <v>39971.835775462998</v>
      </c>
      <c r="I637" s="7" t="s">
        <v>26</v>
      </c>
    </row>
    <row r="638" spans="1:9" ht="15" customHeight="1" x14ac:dyDescent="0.3">
      <c r="A638" t="s">
        <v>3726</v>
      </c>
      <c r="B638" t="s">
        <v>3727</v>
      </c>
      <c r="C638" s="10">
        <v>30919</v>
      </c>
      <c r="D638" t="s">
        <v>2890</v>
      </c>
      <c r="E638" t="s">
        <v>3728</v>
      </c>
      <c r="F638" t="s">
        <v>3729</v>
      </c>
      <c r="G638" t="s">
        <v>3730</v>
      </c>
      <c r="H638" s="11">
        <v>39148.3672337963</v>
      </c>
      <c r="I638" s="7" t="s">
        <v>78</v>
      </c>
    </row>
    <row r="639" spans="1:9" ht="15" customHeight="1" x14ac:dyDescent="0.3">
      <c r="A639" t="s">
        <v>3731</v>
      </c>
      <c r="B639" t="s">
        <v>3732</v>
      </c>
      <c r="C639" s="10">
        <v>27042</v>
      </c>
      <c r="D639" t="s">
        <v>3733</v>
      </c>
      <c r="E639" t="s">
        <v>2890</v>
      </c>
      <c r="F639" t="s">
        <v>3734</v>
      </c>
      <c r="G639" t="s">
        <v>3735</v>
      </c>
      <c r="H639" s="11">
        <v>38580.681030092601</v>
      </c>
      <c r="I639" s="7" t="s">
        <v>71</v>
      </c>
    </row>
    <row r="640" spans="1:9" ht="15" customHeight="1" x14ac:dyDescent="0.3">
      <c r="A640" t="s">
        <v>3736</v>
      </c>
      <c r="B640" t="s">
        <v>3737</v>
      </c>
      <c r="C640" s="10">
        <v>29189</v>
      </c>
      <c r="D640" t="s">
        <v>3738</v>
      </c>
      <c r="E640" t="s">
        <v>3739</v>
      </c>
      <c r="F640" t="s">
        <v>3740</v>
      </c>
      <c r="G640" t="s">
        <v>3741</v>
      </c>
      <c r="H640" s="11">
        <v>42292.856076388904</v>
      </c>
      <c r="I640" s="7" t="s">
        <v>71</v>
      </c>
    </row>
    <row r="641" spans="1:9" ht="15" customHeight="1" x14ac:dyDescent="0.3">
      <c r="A641" t="s">
        <v>3742</v>
      </c>
      <c r="B641" t="s">
        <v>3743</v>
      </c>
      <c r="C641" s="10">
        <v>26655</v>
      </c>
      <c r="D641" t="s">
        <v>2890</v>
      </c>
      <c r="E641" t="s">
        <v>3744</v>
      </c>
      <c r="F641" t="s">
        <v>3745</v>
      </c>
      <c r="G641" t="s">
        <v>3746</v>
      </c>
      <c r="H641" s="11">
        <v>40950.153113425898</v>
      </c>
      <c r="I641" s="7" t="s">
        <v>33</v>
      </c>
    </row>
    <row r="642" spans="1:9" ht="15" customHeight="1" x14ac:dyDescent="0.3">
      <c r="A642" t="s">
        <v>3747</v>
      </c>
      <c r="B642" t="s">
        <v>3748</v>
      </c>
      <c r="C642" s="10">
        <v>30018</v>
      </c>
      <c r="D642" t="s">
        <v>3749</v>
      </c>
      <c r="E642" t="s">
        <v>2890</v>
      </c>
      <c r="F642" t="s">
        <v>3750</v>
      </c>
      <c r="G642" t="s">
        <v>3751</v>
      </c>
      <c r="H642" s="11">
        <v>42667.532164351898</v>
      </c>
      <c r="I642" s="7" t="s">
        <v>52</v>
      </c>
    </row>
    <row r="643" spans="1:9" ht="15" customHeight="1" x14ac:dyDescent="0.3">
      <c r="A643" t="s">
        <v>3752</v>
      </c>
      <c r="B643" t="s">
        <v>3753</v>
      </c>
      <c r="C643" s="10">
        <v>27565</v>
      </c>
      <c r="D643" t="s">
        <v>3754</v>
      </c>
      <c r="E643" t="s">
        <v>3755</v>
      </c>
      <c r="F643" t="s">
        <v>3756</v>
      </c>
      <c r="G643" t="s">
        <v>3757</v>
      </c>
      <c r="H643" s="11">
        <v>41820.206863425898</v>
      </c>
      <c r="I643" s="7" t="s">
        <v>71</v>
      </c>
    </row>
    <row r="644" spans="1:9" ht="15" customHeight="1" x14ac:dyDescent="0.3">
      <c r="A644" t="s">
        <v>3758</v>
      </c>
      <c r="B644" t="s">
        <v>3759</v>
      </c>
      <c r="C644" s="10">
        <v>34949</v>
      </c>
      <c r="D644" t="s">
        <v>2890</v>
      </c>
      <c r="E644" t="s">
        <v>3760</v>
      </c>
      <c r="F644" t="s">
        <v>3761</v>
      </c>
      <c r="G644" t="s">
        <v>3762</v>
      </c>
      <c r="H644" s="11">
        <v>40088.984074074098</v>
      </c>
      <c r="I644" s="7" t="s">
        <v>26</v>
      </c>
    </row>
    <row r="645" spans="1:9" ht="15" customHeight="1" x14ac:dyDescent="0.3">
      <c r="A645" t="s">
        <v>3763</v>
      </c>
      <c r="B645" t="s">
        <v>3764</v>
      </c>
      <c r="C645" s="10">
        <v>29323</v>
      </c>
      <c r="D645" t="s">
        <v>3765</v>
      </c>
      <c r="E645" t="s">
        <v>2890</v>
      </c>
      <c r="F645" t="s">
        <v>3766</v>
      </c>
      <c r="G645" t="s">
        <v>3767</v>
      </c>
      <c r="H645" s="11">
        <v>43859.276481481502</v>
      </c>
      <c r="I645" s="7" t="s">
        <v>52</v>
      </c>
    </row>
    <row r="646" spans="1:9" ht="15" customHeight="1" x14ac:dyDescent="0.3">
      <c r="A646" t="s">
        <v>3768</v>
      </c>
      <c r="B646" t="s">
        <v>3769</v>
      </c>
      <c r="C646" s="10">
        <v>34897</v>
      </c>
      <c r="D646" t="s">
        <v>3770</v>
      </c>
      <c r="E646" t="s">
        <v>3771</v>
      </c>
      <c r="F646" t="s">
        <v>3772</v>
      </c>
      <c r="G646" t="s">
        <v>3773</v>
      </c>
      <c r="H646" s="11">
        <v>40568.162060185197</v>
      </c>
      <c r="I646" s="7" t="s">
        <v>78</v>
      </c>
    </row>
    <row r="647" spans="1:9" ht="15" customHeight="1" x14ac:dyDescent="0.3">
      <c r="A647" t="s">
        <v>3774</v>
      </c>
      <c r="B647" t="s">
        <v>3775</v>
      </c>
      <c r="C647" s="10">
        <v>35028</v>
      </c>
      <c r="D647" t="s">
        <v>2890</v>
      </c>
      <c r="E647" t="s">
        <v>3776</v>
      </c>
      <c r="F647" t="s">
        <v>3777</v>
      </c>
      <c r="G647" t="s">
        <v>3778</v>
      </c>
      <c r="H647" s="11">
        <v>39175.154247685197</v>
      </c>
      <c r="I647" s="7" t="s">
        <v>33</v>
      </c>
    </row>
    <row r="648" spans="1:9" ht="15" customHeight="1" x14ac:dyDescent="0.3">
      <c r="A648" t="s">
        <v>3779</v>
      </c>
      <c r="B648" t="s">
        <v>3780</v>
      </c>
      <c r="C648" s="10">
        <v>31902</v>
      </c>
      <c r="D648" t="s">
        <v>3781</v>
      </c>
      <c r="E648" t="s">
        <v>2890</v>
      </c>
      <c r="F648" t="s">
        <v>3782</v>
      </c>
      <c r="G648" t="s">
        <v>3783</v>
      </c>
      <c r="H648" s="11">
        <v>41064.895115740699</v>
      </c>
      <c r="I648" s="7" t="s">
        <v>71</v>
      </c>
    </row>
    <row r="649" spans="1:9" ht="15" customHeight="1" x14ac:dyDescent="0.3">
      <c r="A649" t="s">
        <v>3784</v>
      </c>
      <c r="B649" t="s">
        <v>3785</v>
      </c>
      <c r="C649" s="10">
        <v>29310</v>
      </c>
      <c r="D649" t="s">
        <v>3786</v>
      </c>
      <c r="E649" t="s">
        <v>3787</v>
      </c>
      <c r="F649" t="s">
        <v>3788</v>
      </c>
      <c r="G649" t="s">
        <v>3789</v>
      </c>
      <c r="H649" s="11">
        <v>40562.144999999997</v>
      </c>
      <c r="I649" s="7" t="s">
        <v>33</v>
      </c>
    </row>
    <row r="650" spans="1:9" ht="15" customHeight="1" x14ac:dyDescent="0.3">
      <c r="A650" t="s">
        <v>3790</v>
      </c>
      <c r="B650" t="s">
        <v>3791</v>
      </c>
      <c r="C650" s="10">
        <v>35549</v>
      </c>
      <c r="D650" t="s">
        <v>2890</v>
      </c>
      <c r="E650" t="s">
        <v>3792</v>
      </c>
      <c r="F650" t="s">
        <v>3793</v>
      </c>
      <c r="G650" t="s">
        <v>3794</v>
      </c>
      <c r="H650" s="11">
        <v>40124.719780092601</v>
      </c>
      <c r="I650" s="7" t="s">
        <v>26</v>
      </c>
    </row>
    <row r="651" spans="1:9" ht="15" customHeight="1" x14ac:dyDescent="0.3">
      <c r="A651" t="s">
        <v>3795</v>
      </c>
      <c r="B651" t="s">
        <v>3796</v>
      </c>
      <c r="C651" s="10">
        <v>30538</v>
      </c>
      <c r="D651" t="s">
        <v>3797</v>
      </c>
      <c r="E651" t="s">
        <v>2890</v>
      </c>
      <c r="F651" t="s">
        <v>3798</v>
      </c>
      <c r="G651" t="s">
        <v>3799</v>
      </c>
      <c r="H651" s="11">
        <v>39571.325219907398</v>
      </c>
      <c r="I651" s="7" t="s">
        <v>71</v>
      </c>
    </row>
    <row r="652" spans="1:9" ht="15" customHeight="1" x14ac:dyDescent="0.3">
      <c r="A652" t="s">
        <v>3800</v>
      </c>
      <c r="B652" t="s">
        <v>3801</v>
      </c>
      <c r="C652" s="10">
        <v>31407</v>
      </c>
      <c r="D652" t="s">
        <v>3802</v>
      </c>
      <c r="E652" t="s">
        <v>3803</v>
      </c>
      <c r="F652" t="s">
        <v>3804</v>
      </c>
      <c r="G652" t="s">
        <v>3805</v>
      </c>
      <c r="H652" s="11">
        <v>42883.115763888898</v>
      </c>
      <c r="I652" s="7" t="s">
        <v>26</v>
      </c>
    </row>
    <row r="653" spans="1:9" ht="15" customHeight="1" x14ac:dyDescent="0.3">
      <c r="A653" t="s">
        <v>3806</v>
      </c>
      <c r="B653" t="s">
        <v>3807</v>
      </c>
      <c r="C653" s="10">
        <v>27479</v>
      </c>
      <c r="D653" t="s">
        <v>2890</v>
      </c>
      <c r="E653" t="s">
        <v>3808</v>
      </c>
      <c r="F653" t="s">
        <v>3809</v>
      </c>
      <c r="G653" t="s">
        <v>3810</v>
      </c>
      <c r="H653" s="11">
        <v>43853.830312500002</v>
      </c>
      <c r="I653" s="7" t="s">
        <v>78</v>
      </c>
    </row>
    <row r="654" spans="1:9" ht="15" customHeight="1" x14ac:dyDescent="0.3">
      <c r="A654" t="s">
        <v>3811</v>
      </c>
      <c r="B654" t="s">
        <v>3812</v>
      </c>
      <c r="C654" s="10">
        <v>33164</v>
      </c>
      <c r="D654" t="s">
        <v>3813</v>
      </c>
      <c r="E654" t="s">
        <v>2890</v>
      </c>
      <c r="F654" t="s">
        <v>3814</v>
      </c>
      <c r="G654" t="s">
        <v>3815</v>
      </c>
      <c r="H654" s="11">
        <v>42909.227939814802</v>
      </c>
      <c r="I654" s="7" t="s">
        <v>78</v>
      </c>
    </row>
    <row r="655" spans="1:9" ht="15" customHeight="1" x14ac:dyDescent="0.3">
      <c r="A655" t="s">
        <v>3816</v>
      </c>
      <c r="B655" t="s">
        <v>3817</v>
      </c>
      <c r="C655" s="10">
        <v>32173</v>
      </c>
      <c r="D655" t="s">
        <v>3818</v>
      </c>
      <c r="E655" t="s">
        <v>3819</v>
      </c>
      <c r="F655" t="s">
        <v>3820</v>
      </c>
      <c r="G655" t="s">
        <v>3821</v>
      </c>
      <c r="H655" s="11">
        <v>42309.8982986111</v>
      </c>
      <c r="I655" s="7" t="s">
        <v>26</v>
      </c>
    </row>
    <row r="656" spans="1:9" ht="15" customHeight="1" x14ac:dyDescent="0.3">
      <c r="A656" t="s">
        <v>3822</v>
      </c>
      <c r="B656" t="s">
        <v>3823</v>
      </c>
      <c r="C656" s="10">
        <v>34092</v>
      </c>
      <c r="D656" t="s">
        <v>2890</v>
      </c>
      <c r="E656" t="s">
        <v>3824</v>
      </c>
      <c r="F656" t="s">
        <v>3825</v>
      </c>
      <c r="G656" t="s">
        <v>3826</v>
      </c>
      <c r="H656" s="11">
        <v>40312.931458333303</v>
      </c>
      <c r="I656" s="7" t="s">
        <v>78</v>
      </c>
    </row>
    <row r="657" spans="1:9" ht="15" customHeight="1" x14ac:dyDescent="0.3">
      <c r="A657" t="s">
        <v>3827</v>
      </c>
      <c r="B657" t="s">
        <v>3828</v>
      </c>
      <c r="C657" s="10">
        <v>34113</v>
      </c>
      <c r="D657" t="s">
        <v>3829</v>
      </c>
      <c r="E657" t="s">
        <v>2890</v>
      </c>
      <c r="F657" t="s">
        <v>3830</v>
      </c>
      <c r="G657" t="s">
        <v>3831</v>
      </c>
      <c r="H657" s="11">
        <v>39299.021851851903</v>
      </c>
      <c r="I657" s="7" t="s">
        <v>71</v>
      </c>
    </row>
    <row r="658" spans="1:9" ht="15" customHeight="1" x14ac:dyDescent="0.3">
      <c r="A658" t="s">
        <v>3832</v>
      </c>
      <c r="B658" t="s">
        <v>3833</v>
      </c>
      <c r="C658" s="10">
        <v>29859</v>
      </c>
      <c r="D658" t="s">
        <v>3834</v>
      </c>
      <c r="E658" t="s">
        <v>3835</v>
      </c>
      <c r="F658" t="s">
        <v>3836</v>
      </c>
      <c r="G658" t="s">
        <v>3837</v>
      </c>
      <c r="H658" s="11">
        <v>41218.821956018503</v>
      </c>
      <c r="I658" s="7" t="s">
        <v>78</v>
      </c>
    </row>
    <row r="659" spans="1:9" ht="15" customHeight="1" x14ac:dyDescent="0.3">
      <c r="A659" t="s">
        <v>3838</v>
      </c>
      <c r="B659" t="s">
        <v>3839</v>
      </c>
      <c r="C659" s="10">
        <v>31871</v>
      </c>
      <c r="D659" t="s">
        <v>2890</v>
      </c>
      <c r="E659" t="s">
        <v>3840</v>
      </c>
      <c r="F659" t="s">
        <v>3841</v>
      </c>
      <c r="G659" t="s">
        <v>792</v>
      </c>
      <c r="H659" s="11">
        <v>38844.930509259299</v>
      </c>
      <c r="I659" s="7" t="s">
        <v>52</v>
      </c>
    </row>
    <row r="660" spans="1:9" ht="15" customHeight="1" x14ac:dyDescent="0.3">
      <c r="A660" t="s">
        <v>3842</v>
      </c>
      <c r="B660" t="s">
        <v>3843</v>
      </c>
      <c r="C660" s="10">
        <v>30891</v>
      </c>
      <c r="D660" t="s">
        <v>3844</v>
      </c>
      <c r="E660" t="s">
        <v>2890</v>
      </c>
      <c r="F660" t="s">
        <v>3845</v>
      </c>
      <c r="G660" t="s">
        <v>3846</v>
      </c>
      <c r="H660" s="11">
        <v>39060.987662036998</v>
      </c>
      <c r="I660" s="7" t="s">
        <v>52</v>
      </c>
    </row>
    <row r="661" spans="1:9" ht="15" customHeight="1" x14ac:dyDescent="0.3">
      <c r="A661" t="s">
        <v>3847</v>
      </c>
      <c r="B661" t="s">
        <v>3848</v>
      </c>
      <c r="C661" s="10">
        <v>35128</v>
      </c>
      <c r="D661" t="s">
        <v>3849</v>
      </c>
      <c r="E661" t="s">
        <v>3850</v>
      </c>
      <c r="F661" t="s">
        <v>3851</v>
      </c>
      <c r="G661" t="s">
        <v>3852</v>
      </c>
      <c r="H661" s="11">
        <v>41082.216921296298</v>
      </c>
      <c r="I661" s="7" t="s">
        <v>33</v>
      </c>
    </row>
    <row r="662" spans="1:9" ht="15" customHeight="1" x14ac:dyDescent="0.3">
      <c r="A662" t="s">
        <v>3853</v>
      </c>
      <c r="B662" t="s">
        <v>3854</v>
      </c>
      <c r="C662" s="10">
        <v>30865</v>
      </c>
      <c r="D662" t="s">
        <v>2890</v>
      </c>
      <c r="E662" t="s">
        <v>3855</v>
      </c>
      <c r="F662" t="s">
        <v>3856</v>
      </c>
      <c r="G662" t="s">
        <v>3857</v>
      </c>
      <c r="H662" s="11">
        <v>42168.551574074103</v>
      </c>
      <c r="I662" s="7" t="s">
        <v>52</v>
      </c>
    </row>
    <row r="663" spans="1:9" ht="15" customHeight="1" x14ac:dyDescent="0.3">
      <c r="A663" t="s">
        <v>3858</v>
      </c>
      <c r="B663" t="s">
        <v>3859</v>
      </c>
      <c r="C663" s="10">
        <v>30104</v>
      </c>
      <c r="D663" t="s">
        <v>3860</v>
      </c>
      <c r="E663" t="s">
        <v>2890</v>
      </c>
      <c r="F663" t="s">
        <v>3861</v>
      </c>
      <c r="G663" t="s">
        <v>3862</v>
      </c>
      <c r="H663" s="11">
        <v>39016.2644560185</v>
      </c>
      <c r="I663" s="7" t="s">
        <v>26</v>
      </c>
    </row>
    <row r="664" spans="1:9" ht="15" customHeight="1" x14ac:dyDescent="0.3">
      <c r="A664" t="s">
        <v>3863</v>
      </c>
      <c r="B664" t="s">
        <v>3864</v>
      </c>
      <c r="C664" s="10">
        <v>33797</v>
      </c>
      <c r="D664" t="s">
        <v>3865</v>
      </c>
      <c r="E664" t="s">
        <v>3866</v>
      </c>
      <c r="F664" t="s">
        <v>3867</v>
      </c>
      <c r="G664" t="s">
        <v>3868</v>
      </c>
      <c r="H664" s="11">
        <v>41548.126180555599</v>
      </c>
      <c r="I664" s="7" t="s">
        <v>33</v>
      </c>
    </row>
    <row r="665" spans="1:9" ht="15" customHeight="1" x14ac:dyDescent="0.3">
      <c r="A665" t="s">
        <v>3869</v>
      </c>
      <c r="B665" t="s">
        <v>3870</v>
      </c>
      <c r="C665" s="10">
        <v>26731</v>
      </c>
      <c r="D665" t="s">
        <v>2890</v>
      </c>
      <c r="E665" t="s">
        <v>3871</v>
      </c>
      <c r="F665" t="s">
        <v>3872</v>
      </c>
      <c r="G665" t="s">
        <v>3873</v>
      </c>
      <c r="H665" s="11">
        <v>44269.968958333302</v>
      </c>
      <c r="I665" s="7" t="s">
        <v>78</v>
      </c>
    </row>
    <row r="666" spans="1:9" ht="15" customHeight="1" x14ac:dyDescent="0.3">
      <c r="A666" t="s">
        <v>3874</v>
      </c>
      <c r="B666" t="s">
        <v>3875</v>
      </c>
      <c r="C666" s="10">
        <v>34041</v>
      </c>
      <c r="D666" t="s">
        <v>3876</v>
      </c>
      <c r="E666" t="s">
        <v>2890</v>
      </c>
      <c r="F666" t="s">
        <v>3877</v>
      </c>
      <c r="G666" t="s">
        <v>3878</v>
      </c>
      <c r="H666" s="11">
        <v>42301.663356481498</v>
      </c>
      <c r="I666" s="7" t="s">
        <v>33</v>
      </c>
    </row>
    <row r="667" spans="1:9" ht="15" customHeight="1" x14ac:dyDescent="0.3">
      <c r="A667" t="s">
        <v>3879</v>
      </c>
      <c r="B667" t="s">
        <v>3880</v>
      </c>
      <c r="C667" s="10">
        <v>28248</v>
      </c>
      <c r="D667" t="s">
        <v>3881</v>
      </c>
      <c r="E667" t="s">
        <v>3882</v>
      </c>
      <c r="F667" t="s">
        <v>3883</v>
      </c>
      <c r="G667" t="s">
        <v>3884</v>
      </c>
      <c r="H667" s="11">
        <v>44239.9823032407</v>
      </c>
      <c r="I667" s="7" t="s">
        <v>33</v>
      </c>
    </row>
    <row r="668" spans="1:9" ht="15" customHeight="1" x14ac:dyDescent="0.3">
      <c r="A668" t="s">
        <v>3885</v>
      </c>
      <c r="B668" t="s">
        <v>3886</v>
      </c>
      <c r="C668" s="10">
        <v>30465</v>
      </c>
      <c r="D668" t="s">
        <v>2890</v>
      </c>
      <c r="E668" t="s">
        <v>3887</v>
      </c>
      <c r="F668" t="s">
        <v>3888</v>
      </c>
      <c r="G668" t="s">
        <v>3889</v>
      </c>
      <c r="H668" s="11">
        <v>42797.515879629602</v>
      </c>
      <c r="I668" s="7" t="s">
        <v>33</v>
      </c>
    </row>
    <row r="669" spans="1:9" ht="15" customHeight="1" x14ac:dyDescent="0.3">
      <c r="A669" t="s">
        <v>3890</v>
      </c>
      <c r="B669" t="s">
        <v>3891</v>
      </c>
      <c r="C669" s="10">
        <v>27448</v>
      </c>
      <c r="D669" t="s">
        <v>3892</v>
      </c>
      <c r="E669" t="s">
        <v>2890</v>
      </c>
      <c r="F669" t="s">
        <v>3893</v>
      </c>
      <c r="G669" t="s">
        <v>3894</v>
      </c>
      <c r="H669" s="11">
        <v>38850.953553240703</v>
      </c>
      <c r="I669" s="7" t="s">
        <v>33</v>
      </c>
    </row>
    <row r="670" spans="1:9" ht="15" customHeight="1" x14ac:dyDescent="0.3">
      <c r="A670" t="s">
        <v>3895</v>
      </c>
      <c r="B670" t="s">
        <v>3896</v>
      </c>
      <c r="C670" s="10">
        <v>30631</v>
      </c>
      <c r="D670" t="s">
        <v>3897</v>
      </c>
      <c r="E670" t="s">
        <v>3898</v>
      </c>
      <c r="F670" t="s">
        <v>3899</v>
      </c>
      <c r="G670" t="s">
        <v>3900</v>
      </c>
      <c r="H670" s="11">
        <v>43764.358194444401</v>
      </c>
      <c r="I670" s="7" t="s">
        <v>71</v>
      </c>
    </row>
    <row r="671" spans="1:9" ht="15" customHeight="1" x14ac:dyDescent="0.3">
      <c r="A671" t="s">
        <v>3901</v>
      </c>
      <c r="B671" t="s">
        <v>3902</v>
      </c>
      <c r="C671" s="10">
        <v>27150</v>
      </c>
      <c r="D671" t="s">
        <v>2890</v>
      </c>
      <c r="E671" t="s">
        <v>3903</v>
      </c>
      <c r="F671" t="s">
        <v>3904</v>
      </c>
      <c r="G671" t="s">
        <v>3905</v>
      </c>
      <c r="H671" s="11">
        <v>42838.9123958333</v>
      </c>
      <c r="I671" s="7" t="s">
        <v>26</v>
      </c>
    </row>
    <row r="672" spans="1:9" ht="15" customHeight="1" x14ac:dyDescent="0.3">
      <c r="A672" t="s">
        <v>3906</v>
      </c>
      <c r="B672" t="s">
        <v>3907</v>
      </c>
      <c r="C672" s="10">
        <v>26242</v>
      </c>
      <c r="D672" t="s">
        <v>3908</v>
      </c>
      <c r="E672" t="s">
        <v>2890</v>
      </c>
      <c r="F672" t="s">
        <v>3909</v>
      </c>
      <c r="G672" t="s">
        <v>3910</v>
      </c>
      <c r="H672" s="11">
        <v>44045.210659722201</v>
      </c>
      <c r="I672" s="7" t="s">
        <v>52</v>
      </c>
    </row>
    <row r="673" spans="1:9" ht="15" customHeight="1" x14ac:dyDescent="0.3">
      <c r="A673" t="s">
        <v>3911</v>
      </c>
      <c r="B673" t="s">
        <v>3912</v>
      </c>
      <c r="C673" s="10">
        <v>27925</v>
      </c>
      <c r="D673" t="s">
        <v>3913</v>
      </c>
      <c r="E673" t="s">
        <v>3914</v>
      </c>
      <c r="F673" t="s">
        <v>3915</v>
      </c>
      <c r="G673" t="s">
        <v>3916</v>
      </c>
      <c r="H673" s="11">
        <v>44175.837662037004</v>
      </c>
      <c r="I673" s="7" t="s">
        <v>26</v>
      </c>
    </row>
    <row r="674" spans="1:9" ht="15" customHeight="1" x14ac:dyDescent="0.3">
      <c r="A674" t="s">
        <v>3917</v>
      </c>
      <c r="B674" t="s">
        <v>3918</v>
      </c>
      <c r="C674" s="10">
        <v>27985</v>
      </c>
      <c r="D674" t="s">
        <v>2890</v>
      </c>
      <c r="E674" t="s">
        <v>3919</v>
      </c>
      <c r="F674" t="s">
        <v>3920</v>
      </c>
      <c r="G674" t="s">
        <v>3921</v>
      </c>
      <c r="H674" s="11">
        <v>39929.033761574101</v>
      </c>
      <c r="I674" s="7" t="s">
        <v>26</v>
      </c>
    </row>
    <row r="675" spans="1:9" ht="15" customHeight="1" x14ac:dyDescent="0.3">
      <c r="A675" t="s">
        <v>3922</v>
      </c>
      <c r="B675" t="s">
        <v>3923</v>
      </c>
      <c r="C675" s="10">
        <v>28127</v>
      </c>
      <c r="D675" t="s">
        <v>3924</v>
      </c>
      <c r="E675" t="s">
        <v>2890</v>
      </c>
      <c r="F675" t="s">
        <v>3925</v>
      </c>
      <c r="G675" t="s">
        <v>3926</v>
      </c>
      <c r="H675" s="11">
        <v>41843.332847222198</v>
      </c>
      <c r="I675" s="7" t="s">
        <v>71</v>
      </c>
    </row>
    <row r="676" spans="1:9" ht="15" customHeight="1" x14ac:dyDescent="0.3">
      <c r="A676" t="s">
        <v>3927</v>
      </c>
      <c r="B676" t="s">
        <v>3928</v>
      </c>
      <c r="C676" s="10">
        <v>35881</v>
      </c>
      <c r="D676" t="s">
        <v>3929</v>
      </c>
      <c r="E676" t="s">
        <v>3930</v>
      </c>
      <c r="F676" t="s">
        <v>3931</v>
      </c>
      <c r="G676" t="s">
        <v>3932</v>
      </c>
      <c r="H676" s="11">
        <v>39306.225011574097</v>
      </c>
      <c r="I676" s="7" t="s">
        <v>33</v>
      </c>
    </row>
    <row r="677" spans="1:9" ht="15" customHeight="1" x14ac:dyDescent="0.3">
      <c r="A677" t="s">
        <v>3933</v>
      </c>
      <c r="B677" t="s">
        <v>3934</v>
      </c>
      <c r="C677" s="10">
        <v>28092</v>
      </c>
      <c r="D677" t="s">
        <v>2890</v>
      </c>
      <c r="E677" t="s">
        <v>3935</v>
      </c>
      <c r="F677" t="s">
        <v>3936</v>
      </c>
      <c r="G677" t="s">
        <v>3937</v>
      </c>
      <c r="H677" s="11">
        <v>42477.303460648203</v>
      </c>
      <c r="I677" s="7" t="s">
        <v>71</v>
      </c>
    </row>
    <row r="678" spans="1:9" ht="15" customHeight="1" x14ac:dyDescent="0.3">
      <c r="A678" t="s">
        <v>3938</v>
      </c>
      <c r="B678" t="s">
        <v>3939</v>
      </c>
      <c r="C678" s="10">
        <v>31624</v>
      </c>
      <c r="D678" t="s">
        <v>3940</v>
      </c>
      <c r="E678" t="s">
        <v>2890</v>
      </c>
      <c r="F678" t="s">
        <v>3941</v>
      </c>
      <c r="G678" t="s">
        <v>3942</v>
      </c>
      <c r="H678" s="11">
        <v>39493.355381944399</v>
      </c>
      <c r="I678" s="7" t="s">
        <v>78</v>
      </c>
    </row>
    <row r="679" spans="1:9" ht="15" customHeight="1" x14ac:dyDescent="0.3">
      <c r="A679" t="s">
        <v>3943</v>
      </c>
      <c r="B679" t="s">
        <v>3944</v>
      </c>
      <c r="C679" s="10">
        <v>34199</v>
      </c>
      <c r="D679" t="s">
        <v>3945</v>
      </c>
      <c r="E679" t="s">
        <v>3946</v>
      </c>
      <c r="F679" t="s">
        <v>3947</v>
      </c>
      <c r="G679" t="s">
        <v>3948</v>
      </c>
      <c r="H679" s="11">
        <v>39082.134189814802</v>
      </c>
      <c r="I679" s="7" t="s">
        <v>78</v>
      </c>
    </row>
    <row r="680" spans="1:9" ht="15" customHeight="1" x14ac:dyDescent="0.3">
      <c r="A680" t="s">
        <v>3949</v>
      </c>
      <c r="B680" t="s">
        <v>3950</v>
      </c>
      <c r="C680" s="10">
        <v>27368</v>
      </c>
      <c r="D680" t="s">
        <v>2890</v>
      </c>
      <c r="E680" t="s">
        <v>3951</v>
      </c>
      <c r="F680" t="s">
        <v>3952</v>
      </c>
      <c r="G680" t="s">
        <v>3953</v>
      </c>
      <c r="H680" s="11">
        <v>40536.733946759297</v>
      </c>
      <c r="I680" s="7" t="s">
        <v>71</v>
      </c>
    </row>
    <row r="681" spans="1:9" ht="15" customHeight="1" x14ac:dyDescent="0.3">
      <c r="A681" t="s">
        <v>3954</v>
      </c>
      <c r="B681" t="s">
        <v>3955</v>
      </c>
      <c r="C681" s="10">
        <v>35829</v>
      </c>
      <c r="D681" t="s">
        <v>3956</v>
      </c>
      <c r="E681" t="s">
        <v>2890</v>
      </c>
      <c r="F681" t="s">
        <v>3957</v>
      </c>
      <c r="G681" t="s">
        <v>3958</v>
      </c>
      <c r="H681" s="11">
        <v>39202.260532407403</v>
      </c>
      <c r="I681" s="7" t="s">
        <v>33</v>
      </c>
    </row>
    <row r="682" spans="1:9" ht="15" customHeight="1" x14ac:dyDescent="0.3">
      <c r="A682" t="s">
        <v>3959</v>
      </c>
      <c r="B682" t="s">
        <v>3960</v>
      </c>
      <c r="C682" s="10">
        <v>25705</v>
      </c>
      <c r="D682" t="s">
        <v>3961</v>
      </c>
      <c r="E682" t="s">
        <v>3962</v>
      </c>
      <c r="F682" t="s">
        <v>3963</v>
      </c>
      <c r="G682" t="s">
        <v>3964</v>
      </c>
      <c r="H682" s="11">
        <v>39576.140636574099</v>
      </c>
      <c r="I682" s="7" t="s">
        <v>52</v>
      </c>
    </row>
    <row r="683" spans="1:9" ht="15" customHeight="1" x14ac:dyDescent="0.3">
      <c r="A683" t="s">
        <v>3965</v>
      </c>
      <c r="B683" t="s">
        <v>3966</v>
      </c>
      <c r="C683" s="10">
        <v>30501</v>
      </c>
      <c r="D683" t="s">
        <v>2890</v>
      </c>
      <c r="E683" t="s">
        <v>3967</v>
      </c>
      <c r="F683" t="s">
        <v>3968</v>
      </c>
      <c r="G683" t="s">
        <v>3969</v>
      </c>
      <c r="H683" s="11">
        <v>39117.7687731482</v>
      </c>
      <c r="I683" s="7" t="s">
        <v>52</v>
      </c>
    </row>
    <row r="684" spans="1:9" ht="15" customHeight="1" x14ac:dyDescent="0.3">
      <c r="A684" t="s">
        <v>3970</v>
      </c>
      <c r="B684" t="s">
        <v>3971</v>
      </c>
      <c r="C684" s="10">
        <v>32308</v>
      </c>
      <c r="D684" t="s">
        <v>3972</v>
      </c>
      <c r="E684" t="s">
        <v>2890</v>
      </c>
      <c r="F684" t="s">
        <v>3973</v>
      </c>
      <c r="G684" t="s">
        <v>3974</v>
      </c>
      <c r="H684" s="11">
        <v>38927.117256944497</v>
      </c>
      <c r="I684" s="7" t="s">
        <v>71</v>
      </c>
    </row>
    <row r="685" spans="1:9" ht="15" customHeight="1" x14ac:dyDescent="0.3">
      <c r="A685" t="s">
        <v>3975</v>
      </c>
      <c r="B685" t="s">
        <v>3976</v>
      </c>
      <c r="C685" s="10">
        <v>28490</v>
      </c>
      <c r="D685" t="s">
        <v>3977</v>
      </c>
      <c r="E685" t="s">
        <v>3978</v>
      </c>
      <c r="F685" t="s">
        <v>3979</v>
      </c>
      <c r="G685" t="s">
        <v>3980</v>
      </c>
      <c r="H685" s="11">
        <v>44270.880081018498</v>
      </c>
      <c r="I685" s="7" t="s">
        <v>33</v>
      </c>
    </row>
    <row r="686" spans="1:9" ht="15" customHeight="1" x14ac:dyDescent="0.3">
      <c r="A686" t="s">
        <v>3981</v>
      </c>
      <c r="B686" t="s">
        <v>3982</v>
      </c>
      <c r="C686" s="10">
        <v>31019</v>
      </c>
      <c r="D686" t="s">
        <v>2890</v>
      </c>
      <c r="E686" t="s">
        <v>3983</v>
      </c>
      <c r="F686" t="s">
        <v>3984</v>
      </c>
      <c r="G686" t="s">
        <v>3985</v>
      </c>
      <c r="H686" s="11">
        <v>40194.4057060185</v>
      </c>
      <c r="I686" s="7" t="s">
        <v>52</v>
      </c>
    </row>
    <row r="687" spans="1:9" ht="15" customHeight="1" x14ac:dyDescent="0.3">
      <c r="A687" t="s">
        <v>3986</v>
      </c>
      <c r="B687" t="s">
        <v>3987</v>
      </c>
      <c r="C687" s="10">
        <v>26418</v>
      </c>
      <c r="D687" t="s">
        <v>3988</v>
      </c>
      <c r="E687" t="s">
        <v>2890</v>
      </c>
      <c r="F687" t="s">
        <v>3989</v>
      </c>
      <c r="G687" t="s">
        <v>3990</v>
      </c>
      <c r="H687" s="11">
        <v>42177.801053240699</v>
      </c>
      <c r="I687" s="7" t="s">
        <v>78</v>
      </c>
    </row>
    <row r="688" spans="1:9" ht="15" customHeight="1" x14ac:dyDescent="0.3">
      <c r="A688" t="s">
        <v>3991</v>
      </c>
      <c r="B688" t="s">
        <v>3992</v>
      </c>
      <c r="C688" s="10">
        <v>31039</v>
      </c>
      <c r="D688" t="s">
        <v>3993</v>
      </c>
      <c r="E688" t="s">
        <v>3994</v>
      </c>
      <c r="F688" t="s">
        <v>3995</v>
      </c>
      <c r="G688" t="s">
        <v>3996</v>
      </c>
      <c r="H688" s="11">
        <v>42404.738368055601</v>
      </c>
      <c r="I688" s="7" t="s">
        <v>33</v>
      </c>
    </row>
    <row r="689" spans="1:9" ht="15" customHeight="1" x14ac:dyDescent="0.3">
      <c r="A689" t="s">
        <v>3997</v>
      </c>
      <c r="B689" t="s">
        <v>3998</v>
      </c>
      <c r="C689" s="10">
        <v>25671</v>
      </c>
      <c r="D689" t="s">
        <v>2890</v>
      </c>
      <c r="E689" t="s">
        <v>3999</v>
      </c>
      <c r="F689" t="s">
        <v>4000</v>
      </c>
      <c r="G689" t="s">
        <v>4001</v>
      </c>
      <c r="H689" s="11">
        <v>40693.788055555597</v>
      </c>
      <c r="I689" s="7" t="s">
        <v>71</v>
      </c>
    </row>
    <row r="690" spans="1:9" ht="15" customHeight="1" x14ac:dyDescent="0.3">
      <c r="A690" t="s">
        <v>4002</v>
      </c>
      <c r="B690" t="s">
        <v>4003</v>
      </c>
      <c r="C690" s="10">
        <v>28197</v>
      </c>
      <c r="D690" t="s">
        <v>4004</v>
      </c>
      <c r="E690" t="s">
        <v>2890</v>
      </c>
      <c r="F690" t="s">
        <v>4005</v>
      </c>
      <c r="G690" t="s">
        <v>4006</v>
      </c>
      <c r="H690" s="11">
        <v>41824.2184837963</v>
      </c>
      <c r="I690" s="7" t="s">
        <v>78</v>
      </c>
    </row>
    <row r="691" spans="1:9" ht="15" customHeight="1" x14ac:dyDescent="0.3">
      <c r="A691" t="s">
        <v>4007</v>
      </c>
      <c r="B691" t="s">
        <v>4008</v>
      </c>
      <c r="C691" s="10">
        <v>30775</v>
      </c>
      <c r="D691" t="s">
        <v>4009</v>
      </c>
      <c r="E691" t="s">
        <v>4010</v>
      </c>
      <c r="F691" t="s">
        <v>4011</v>
      </c>
      <c r="G691" t="s">
        <v>4012</v>
      </c>
      <c r="H691" s="11">
        <v>43393.850185185198</v>
      </c>
      <c r="I691" s="7" t="s">
        <v>52</v>
      </c>
    </row>
    <row r="692" spans="1:9" ht="15" customHeight="1" x14ac:dyDescent="0.3">
      <c r="A692" t="s">
        <v>4013</v>
      </c>
      <c r="B692" t="s">
        <v>4014</v>
      </c>
      <c r="C692" s="10">
        <v>30465</v>
      </c>
      <c r="D692" t="s">
        <v>2890</v>
      </c>
      <c r="E692" t="s">
        <v>4015</v>
      </c>
      <c r="F692" t="s">
        <v>4016</v>
      </c>
      <c r="G692" t="s">
        <v>4017</v>
      </c>
      <c r="H692" s="11">
        <v>40657.717766203699</v>
      </c>
      <c r="I692" s="7" t="s">
        <v>33</v>
      </c>
    </row>
    <row r="693" spans="1:9" ht="15" customHeight="1" x14ac:dyDescent="0.3">
      <c r="A693" t="s">
        <v>4018</v>
      </c>
      <c r="B693" t="s">
        <v>4019</v>
      </c>
      <c r="C693" s="10">
        <v>34333</v>
      </c>
      <c r="D693" t="s">
        <v>411</v>
      </c>
      <c r="E693" t="s">
        <v>2890</v>
      </c>
      <c r="F693" t="s">
        <v>4020</v>
      </c>
      <c r="G693" t="s">
        <v>4021</v>
      </c>
      <c r="H693" s="11">
        <v>38920.365914351903</v>
      </c>
      <c r="I693" s="7" t="s">
        <v>71</v>
      </c>
    </row>
    <row r="694" spans="1:9" ht="15" customHeight="1" x14ac:dyDescent="0.3">
      <c r="A694" t="s">
        <v>4022</v>
      </c>
      <c r="B694" t="s">
        <v>4023</v>
      </c>
      <c r="C694" s="10">
        <v>29574</v>
      </c>
      <c r="D694" t="s">
        <v>4024</v>
      </c>
      <c r="E694" t="s">
        <v>4025</v>
      </c>
      <c r="F694" t="s">
        <v>4026</v>
      </c>
      <c r="G694" t="s">
        <v>4027</v>
      </c>
      <c r="H694" s="11">
        <v>40938.2043865741</v>
      </c>
      <c r="I694" s="7" t="s">
        <v>26</v>
      </c>
    </row>
    <row r="695" spans="1:9" ht="15" customHeight="1" x14ac:dyDescent="0.3">
      <c r="A695" t="s">
        <v>4028</v>
      </c>
      <c r="B695" t="s">
        <v>4029</v>
      </c>
      <c r="C695" s="10">
        <v>33286</v>
      </c>
      <c r="D695" t="s">
        <v>2890</v>
      </c>
      <c r="E695" t="s">
        <v>4030</v>
      </c>
      <c r="F695" t="s">
        <v>4031</v>
      </c>
      <c r="G695" t="s">
        <v>4032</v>
      </c>
      <c r="H695" s="11">
        <v>38473.098784722199</v>
      </c>
      <c r="I695" s="7" t="s">
        <v>71</v>
      </c>
    </row>
    <row r="696" spans="1:9" ht="15" customHeight="1" x14ac:dyDescent="0.3">
      <c r="A696" t="s">
        <v>4033</v>
      </c>
      <c r="B696" t="s">
        <v>4034</v>
      </c>
      <c r="C696" s="10">
        <v>26922</v>
      </c>
      <c r="D696" t="s">
        <v>4035</v>
      </c>
      <c r="E696" t="s">
        <v>2890</v>
      </c>
      <c r="F696" t="s">
        <v>4036</v>
      </c>
      <c r="G696" t="s">
        <v>4037</v>
      </c>
      <c r="H696" s="11">
        <v>39691.305937500001</v>
      </c>
      <c r="I696" s="7" t="s">
        <v>26</v>
      </c>
    </row>
    <row r="697" spans="1:9" ht="15" customHeight="1" x14ac:dyDescent="0.3">
      <c r="A697" t="s">
        <v>4038</v>
      </c>
      <c r="B697" t="s">
        <v>4039</v>
      </c>
      <c r="C697" s="10">
        <v>28197</v>
      </c>
      <c r="D697" t="s">
        <v>4040</v>
      </c>
      <c r="E697" t="s">
        <v>4041</v>
      </c>
      <c r="F697" t="s">
        <v>4042</v>
      </c>
      <c r="G697" t="s">
        <v>4043</v>
      </c>
      <c r="H697" s="11">
        <v>39900.889293981498</v>
      </c>
      <c r="I697" s="7" t="s">
        <v>52</v>
      </c>
    </row>
    <row r="698" spans="1:9" ht="15" customHeight="1" x14ac:dyDescent="0.3">
      <c r="A698" t="s">
        <v>4044</v>
      </c>
      <c r="B698" t="s">
        <v>4045</v>
      </c>
      <c r="C698" s="10">
        <v>34350</v>
      </c>
      <c r="D698" t="s">
        <v>2890</v>
      </c>
      <c r="E698" t="s">
        <v>4046</v>
      </c>
      <c r="F698" t="s">
        <v>4047</v>
      </c>
      <c r="G698" t="s">
        <v>4048</v>
      </c>
      <c r="H698" s="11">
        <v>41373.123194444401</v>
      </c>
      <c r="I698" s="7" t="s">
        <v>52</v>
      </c>
    </row>
    <row r="699" spans="1:9" ht="15" customHeight="1" x14ac:dyDescent="0.3">
      <c r="A699" t="s">
        <v>4049</v>
      </c>
      <c r="B699" t="s">
        <v>4050</v>
      </c>
      <c r="C699" s="10">
        <v>26286</v>
      </c>
      <c r="D699" t="s">
        <v>4051</v>
      </c>
      <c r="E699" t="s">
        <v>2890</v>
      </c>
      <c r="F699" t="s">
        <v>4052</v>
      </c>
      <c r="G699" t="s">
        <v>4053</v>
      </c>
      <c r="H699" s="11">
        <v>43001.872546296298</v>
      </c>
      <c r="I699" s="7" t="s">
        <v>71</v>
      </c>
    </row>
    <row r="700" spans="1:9" ht="15" customHeight="1" x14ac:dyDescent="0.3">
      <c r="A700" t="s">
        <v>4054</v>
      </c>
      <c r="B700" t="s">
        <v>4055</v>
      </c>
      <c r="C700" s="10">
        <v>32550</v>
      </c>
      <c r="D700" t="s">
        <v>4056</v>
      </c>
      <c r="E700" t="s">
        <v>4057</v>
      </c>
      <c r="F700" t="s">
        <v>4058</v>
      </c>
      <c r="G700" t="s">
        <v>4059</v>
      </c>
      <c r="H700" s="11">
        <v>38654.639780092599</v>
      </c>
      <c r="I700" s="7" t="s">
        <v>52</v>
      </c>
    </row>
    <row r="701" spans="1:9" ht="15" customHeight="1" x14ac:dyDescent="0.3">
      <c r="A701" t="s">
        <v>4060</v>
      </c>
      <c r="B701" t="s">
        <v>4061</v>
      </c>
      <c r="C701" s="10">
        <v>29162</v>
      </c>
      <c r="D701" t="s">
        <v>2890</v>
      </c>
      <c r="E701" t="s">
        <v>4062</v>
      </c>
      <c r="F701" t="s">
        <v>4063</v>
      </c>
      <c r="G701" t="s">
        <v>4064</v>
      </c>
      <c r="H701" s="11">
        <v>43215.082418981503</v>
      </c>
      <c r="I701" s="7" t="s">
        <v>26</v>
      </c>
    </row>
    <row r="702" spans="1:9" ht="15" customHeight="1" x14ac:dyDescent="0.3">
      <c r="A702" t="s">
        <v>4065</v>
      </c>
      <c r="B702" t="s">
        <v>4066</v>
      </c>
      <c r="C702" s="10">
        <v>27991</v>
      </c>
      <c r="D702" t="s">
        <v>4067</v>
      </c>
      <c r="E702" t="s">
        <v>2890</v>
      </c>
      <c r="F702" t="s">
        <v>4068</v>
      </c>
      <c r="G702" t="s">
        <v>4069</v>
      </c>
      <c r="H702" s="11">
        <v>39861.3997453704</v>
      </c>
      <c r="I702" s="7" t="s">
        <v>71</v>
      </c>
    </row>
    <row r="703" spans="1:9" ht="15" customHeight="1" x14ac:dyDescent="0.3">
      <c r="A703" t="s">
        <v>4070</v>
      </c>
      <c r="B703" t="s">
        <v>4071</v>
      </c>
      <c r="C703" s="10">
        <v>31034</v>
      </c>
      <c r="D703" t="s">
        <v>4072</v>
      </c>
      <c r="E703" t="s">
        <v>4073</v>
      </c>
      <c r="F703" t="s">
        <v>4074</v>
      </c>
      <c r="G703" t="s">
        <v>594</v>
      </c>
      <c r="H703" s="11">
        <v>40736.415648148199</v>
      </c>
      <c r="I703" s="7" t="s">
        <v>71</v>
      </c>
    </row>
    <row r="704" spans="1:9" ht="15" customHeight="1" x14ac:dyDescent="0.3">
      <c r="A704" t="s">
        <v>4075</v>
      </c>
      <c r="B704" t="s">
        <v>4076</v>
      </c>
      <c r="C704" s="10">
        <v>33848</v>
      </c>
      <c r="D704" t="s">
        <v>2890</v>
      </c>
      <c r="E704" t="s">
        <v>4077</v>
      </c>
      <c r="F704" t="s">
        <v>4078</v>
      </c>
      <c r="G704" t="s">
        <v>4079</v>
      </c>
      <c r="H704" s="11">
        <v>44104.994351851899</v>
      </c>
      <c r="I704" s="7" t="s">
        <v>78</v>
      </c>
    </row>
    <row r="705" spans="1:9" ht="15" customHeight="1" x14ac:dyDescent="0.3">
      <c r="A705" t="s">
        <v>4080</v>
      </c>
      <c r="B705" t="s">
        <v>4081</v>
      </c>
      <c r="C705" s="10">
        <v>26724</v>
      </c>
      <c r="D705" t="s">
        <v>4082</v>
      </c>
      <c r="E705" t="s">
        <v>2890</v>
      </c>
      <c r="F705" t="s">
        <v>4083</v>
      </c>
      <c r="G705" t="s">
        <v>4084</v>
      </c>
      <c r="H705" s="11">
        <v>42127.5835532407</v>
      </c>
      <c r="I705" s="7" t="s">
        <v>52</v>
      </c>
    </row>
    <row r="706" spans="1:9" ht="15" customHeight="1" x14ac:dyDescent="0.3">
      <c r="A706" t="s">
        <v>4085</v>
      </c>
      <c r="B706" t="s">
        <v>4086</v>
      </c>
      <c r="C706" s="10">
        <v>27545</v>
      </c>
      <c r="D706" t="s">
        <v>4087</v>
      </c>
      <c r="E706" t="s">
        <v>4088</v>
      </c>
      <c r="F706" t="s">
        <v>4089</v>
      </c>
      <c r="G706" t="s">
        <v>4090</v>
      </c>
      <c r="H706" s="11">
        <v>42076.595405092601</v>
      </c>
      <c r="I706" s="7" t="s">
        <v>26</v>
      </c>
    </row>
    <row r="707" spans="1:9" ht="15" customHeight="1" x14ac:dyDescent="0.3">
      <c r="A707" t="s">
        <v>4091</v>
      </c>
      <c r="B707" t="s">
        <v>4092</v>
      </c>
      <c r="C707" s="10">
        <v>28748</v>
      </c>
      <c r="D707" t="s">
        <v>2890</v>
      </c>
      <c r="E707" t="s">
        <v>4093</v>
      </c>
      <c r="F707" t="s">
        <v>4094</v>
      </c>
      <c r="G707" t="s">
        <v>4095</v>
      </c>
      <c r="H707" s="11">
        <v>38950.725208333301</v>
      </c>
      <c r="I707" s="7" t="s">
        <v>26</v>
      </c>
    </row>
    <row r="708" spans="1:9" ht="15" customHeight="1" x14ac:dyDescent="0.3">
      <c r="A708" t="s">
        <v>4096</v>
      </c>
      <c r="B708" t="s">
        <v>4097</v>
      </c>
      <c r="C708" s="10">
        <v>29624</v>
      </c>
      <c r="D708" t="s">
        <v>4098</v>
      </c>
      <c r="E708" t="s">
        <v>2890</v>
      </c>
      <c r="F708" t="s">
        <v>4099</v>
      </c>
      <c r="G708" t="s">
        <v>4100</v>
      </c>
      <c r="H708" s="11">
        <v>41708.800821759301</v>
      </c>
      <c r="I708" s="7" t="s">
        <v>78</v>
      </c>
    </row>
    <row r="709" spans="1:9" ht="15" customHeight="1" x14ac:dyDescent="0.3">
      <c r="A709" t="s">
        <v>4101</v>
      </c>
      <c r="B709" t="s">
        <v>4102</v>
      </c>
      <c r="C709" s="10">
        <v>32517</v>
      </c>
      <c r="D709" t="s">
        <v>4103</v>
      </c>
      <c r="E709" t="s">
        <v>4104</v>
      </c>
      <c r="F709" t="s">
        <v>4105</v>
      </c>
      <c r="G709" t="s">
        <v>4106</v>
      </c>
      <c r="H709" s="11">
        <v>41786.562685185199</v>
      </c>
      <c r="I709" s="7" t="s">
        <v>26</v>
      </c>
    </row>
    <row r="710" spans="1:9" ht="15" customHeight="1" x14ac:dyDescent="0.3">
      <c r="A710" t="s">
        <v>4107</v>
      </c>
      <c r="B710" t="s">
        <v>4108</v>
      </c>
      <c r="C710" s="10">
        <v>28443</v>
      </c>
      <c r="D710" t="s">
        <v>2890</v>
      </c>
      <c r="E710" t="s">
        <v>4109</v>
      </c>
      <c r="F710" t="s">
        <v>4110</v>
      </c>
      <c r="G710" t="s">
        <v>4111</v>
      </c>
      <c r="H710" s="11">
        <v>41130.728483796302</v>
      </c>
      <c r="I710" s="7" t="s">
        <v>26</v>
      </c>
    </row>
    <row r="711" spans="1:9" ht="15" customHeight="1" x14ac:dyDescent="0.3">
      <c r="A711" t="s">
        <v>4112</v>
      </c>
      <c r="B711" t="s">
        <v>4113</v>
      </c>
      <c r="C711" s="10">
        <v>25826</v>
      </c>
      <c r="D711" t="s">
        <v>4114</v>
      </c>
      <c r="E711" t="s">
        <v>2890</v>
      </c>
      <c r="F711" t="s">
        <v>4115</v>
      </c>
      <c r="G711" t="s">
        <v>4116</v>
      </c>
      <c r="H711" s="11">
        <v>39997.168275463002</v>
      </c>
      <c r="I711" s="7" t="s">
        <v>78</v>
      </c>
    </row>
    <row r="712" spans="1:9" ht="15" customHeight="1" x14ac:dyDescent="0.3">
      <c r="A712" t="s">
        <v>4117</v>
      </c>
      <c r="B712" t="s">
        <v>4118</v>
      </c>
      <c r="C712" s="10">
        <v>36192</v>
      </c>
      <c r="D712" t="s">
        <v>4119</v>
      </c>
      <c r="E712" t="s">
        <v>4120</v>
      </c>
      <c r="F712" t="s">
        <v>4121</v>
      </c>
      <c r="G712" t="s">
        <v>4122</v>
      </c>
      <c r="H712" s="11">
        <v>43470.4093981482</v>
      </c>
      <c r="I712" s="7" t="s">
        <v>71</v>
      </c>
    </row>
    <row r="713" spans="1:9" ht="15" customHeight="1" x14ac:dyDescent="0.3">
      <c r="A713" t="s">
        <v>4123</v>
      </c>
      <c r="B713" t="s">
        <v>4124</v>
      </c>
      <c r="C713" s="10">
        <v>35267</v>
      </c>
      <c r="D713" t="s">
        <v>2890</v>
      </c>
      <c r="E713" t="s">
        <v>4125</v>
      </c>
      <c r="F713" t="s">
        <v>4126</v>
      </c>
      <c r="G713" t="s">
        <v>4127</v>
      </c>
      <c r="H713" s="11">
        <v>44199.0148611111</v>
      </c>
      <c r="I713" s="7" t="s">
        <v>78</v>
      </c>
    </row>
    <row r="714" spans="1:9" ht="15" customHeight="1" x14ac:dyDescent="0.3">
      <c r="A714" t="s">
        <v>4128</v>
      </c>
      <c r="B714" t="s">
        <v>4129</v>
      </c>
      <c r="C714" s="10">
        <v>36076</v>
      </c>
      <c r="D714" t="s">
        <v>4130</v>
      </c>
      <c r="E714" t="s">
        <v>2890</v>
      </c>
      <c r="F714" t="s">
        <v>4131</v>
      </c>
      <c r="G714" t="s">
        <v>4132</v>
      </c>
      <c r="H714" s="11">
        <v>40151.573206018496</v>
      </c>
      <c r="I714" s="7" t="s">
        <v>33</v>
      </c>
    </row>
    <row r="715" spans="1:9" ht="15" customHeight="1" x14ac:dyDescent="0.3">
      <c r="A715" t="s">
        <v>4133</v>
      </c>
      <c r="B715" t="s">
        <v>4134</v>
      </c>
      <c r="C715" s="10">
        <v>25985</v>
      </c>
      <c r="D715" t="s">
        <v>4135</v>
      </c>
      <c r="E715" t="s">
        <v>4136</v>
      </c>
      <c r="F715" t="s">
        <v>4137</v>
      </c>
      <c r="G715" t="s">
        <v>4138</v>
      </c>
      <c r="H715" s="11">
        <v>43912.749490740702</v>
      </c>
      <c r="I715" s="7" t="s">
        <v>52</v>
      </c>
    </row>
    <row r="716" spans="1:9" ht="15" customHeight="1" x14ac:dyDescent="0.3">
      <c r="A716" t="s">
        <v>4139</v>
      </c>
      <c r="B716" t="s">
        <v>4140</v>
      </c>
      <c r="C716" s="10">
        <v>27875</v>
      </c>
      <c r="D716" t="s">
        <v>2890</v>
      </c>
      <c r="E716" t="s">
        <v>4141</v>
      </c>
      <c r="F716" t="s">
        <v>4142</v>
      </c>
      <c r="G716" t="s">
        <v>4143</v>
      </c>
      <c r="H716" s="11">
        <v>43279.2925231482</v>
      </c>
      <c r="I716" s="7" t="s">
        <v>33</v>
      </c>
    </row>
    <row r="717" spans="1:9" ht="15" customHeight="1" x14ac:dyDescent="0.3">
      <c r="A717" t="s">
        <v>4144</v>
      </c>
      <c r="B717" t="s">
        <v>4145</v>
      </c>
      <c r="C717" s="10">
        <v>28924</v>
      </c>
      <c r="D717" t="s">
        <v>4146</v>
      </c>
      <c r="E717" t="s">
        <v>2890</v>
      </c>
      <c r="F717" t="s">
        <v>4147</v>
      </c>
      <c r="G717" t="s">
        <v>4148</v>
      </c>
      <c r="H717" s="11">
        <v>40674.787650462997</v>
      </c>
      <c r="I717" s="7" t="s">
        <v>71</v>
      </c>
    </row>
    <row r="718" spans="1:9" ht="15" customHeight="1" x14ac:dyDescent="0.3">
      <c r="A718" t="s">
        <v>4149</v>
      </c>
      <c r="B718" t="s">
        <v>4150</v>
      </c>
      <c r="C718" s="10">
        <v>35745</v>
      </c>
      <c r="D718" t="s">
        <v>4151</v>
      </c>
      <c r="E718" t="s">
        <v>4152</v>
      </c>
      <c r="F718" t="s">
        <v>4153</v>
      </c>
      <c r="G718" t="s">
        <v>4154</v>
      </c>
      <c r="H718" s="11">
        <v>41654.085601851897</v>
      </c>
      <c r="I718" s="7" t="s">
        <v>26</v>
      </c>
    </row>
    <row r="719" spans="1:9" ht="15" customHeight="1" x14ac:dyDescent="0.3">
      <c r="A719" t="s">
        <v>4155</v>
      </c>
      <c r="B719" t="s">
        <v>4156</v>
      </c>
      <c r="C719" s="10">
        <v>30247</v>
      </c>
      <c r="D719" t="s">
        <v>2890</v>
      </c>
      <c r="E719" t="s">
        <v>4157</v>
      </c>
      <c r="F719" t="s">
        <v>4158</v>
      </c>
      <c r="G719" t="s">
        <v>4159</v>
      </c>
      <c r="H719" s="11">
        <v>43371.163634259297</v>
      </c>
      <c r="I719" s="7" t="s">
        <v>52</v>
      </c>
    </row>
    <row r="720" spans="1:9" ht="15" customHeight="1" x14ac:dyDescent="0.3">
      <c r="A720" t="s">
        <v>4160</v>
      </c>
      <c r="B720" t="s">
        <v>4161</v>
      </c>
      <c r="C720" s="10">
        <v>34172</v>
      </c>
      <c r="D720" t="s">
        <v>4162</v>
      </c>
      <c r="E720" t="s">
        <v>2890</v>
      </c>
      <c r="F720" t="s">
        <v>4163</v>
      </c>
      <c r="G720" t="s">
        <v>4164</v>
      </c>
      <c r="H720" s="11">
        <v>41178.282361111102</v>
      </c>
      <c r="I720" s="7" t="s">
        <v>52</v>
      </c>
    </row>
    <row r="721" spans="1:9" ht="15" customHeight="1" x14ac:dyDescent="0.3">
      <c r="A721" t="s">
        <v>4165</v>
      </c>
      <c r="B721" t="s">
        <v>4166</v>
      </c>
      <c r="C721" s="10">
        <v>31635</v>
      </c>
      <c r="D721" t="s">
        <v>4167</v>
      </c>
      <c r="E721" t="s">
        <v>4168</v>
      </c>
      <c r="F721" t="s">
        <v>4169</v>
      </c>
      <c r="G721" t="s">
        <v>4170</v>
      </c>
      <c r="H721" s="11">
        <v>41547.661215277803</v>
      </c>
      <c r="I721" s="7" t="s">
        <v>71</v>
      </c>
    </row>
    <row r="722" spans="1:9" ht="15" customHeight="1" x14ac:dyDescent="0.3">
      <c r="A722" t="s">
        <v>4171</v>
      </c>
      <c r="B722" t="s">
        <v>4172</v>
      </c>
      <c r="C722" s="10">
        <v>29702</v>
      </c>
      <c r="D722" t="s">
        <v>2890</v>
      </c>
      <c r="E722" t="s">
        <v>4173</v>
      </c>
      <c r="F722" t="s">
        <v>4174</v>
      </c>
      <c r="G722" t="s">
        <v>4175</v>
      </c>
      <c r="H722" s="11">
        <v>38785.946863425903</v>
      </c>
      <c r="I722" s="7" t="s">
        <v>52</v>
      </c>
    </row>
    <row r="723" spans="1:9" ht="15" customHeight="1" x14ac:dyDescent="0.3">
      <c r="A723" t="s">
        <v>4176</v>
      </c>
      <c r="B723" t="s">
        <v>4177</v>
      </c>
      <c r="C723" s="10">
        <v>28995</v>
      </c>
      <c r="D723" t="s">
        <v>4178</v>
      </c>
      <c r="E723" t="s">
        <v>2890</v>
      </c>
      <c r="F723" t="s">
        <v>4179</v>
      </c>
      <c r="G723" t="s">
        <v>4180</v>
      </c>
      <c r="H723" s="11">
        <v>43569.434293981503</v>
      </c>
      <c r="I723" s="7" t="s">
        <v>71</v>
      </c>
    </row>
    <row r="724" spans="1:9" ht="15" customHeight="1" x14ac:dyDescent="0.3">
      <c r="A724" t="s">
        <v>4181</v>
      </c>
      <c r="B724" t="s">
        <v>4182</v>
      </c>
      <c r="C724" s="10">
        <v>36410</v>
      </c>
      <c r="D724" t="s">
        <v>4183</v>
      </c>
      <c r="E724" t="s">
        <v>4184</v>
      </c>
      <c r="F724" t="s">
        <v>4185</v>
      </c>
      <c r="G724" t="s">
        <v>4186</v>
      </c>
      <c r="H724" s="11">
        <v>41398.976076388899</v>
      </c>
      <c r="I724" s="7" t="s">
        <v>78</v>
      </c>
    </row>
    <row r="725" spans="1:9" ht="15" customHeight="1" x14ac:dyDescent="0.3">
      <c r="A725" t="s">
        <v>4187</v>
      </c>
      <c r="B725" t="s">
        <v>4188</v>
      </c>
      <c r="C725" s="10">
        <v>29849</v>
      </c>
      <c r="D725" t="s">
        <v>2890</v>
      </c>
      <c r="E725" t="s">
        <v>4189</v>
      </c>
      <c r="F725" t="s">
        <v>4190</v>
      </c>
      <c r="G725" t="s">
        <v>4191</v>
      </c>
      <c r="H725" s="11">
        <v>41987.4230902778</v>
      </c>
      <c r="I725" s="7" t="s">
        <v>26</v>
      </c>
    </row>
    <row r="726" spans="1:9" ht="15" customHeight="1" x14ac:dyDescent="0.3">
      <c r="A726" t="s">
        <v>4192</v>
      </c>
      <c r="B726" t="s">
        <v>4193</v>
      </c>
      <c r="C726" s="10">
        <v>34528</v>
      </c>
      <c r="D726" t="s">
        <v>4194</v>
      </c>
      <c r="E726" t="s">
        <v>2890</v>
      </c>
      <c r="F726" t="s">
        <v>4195</v>
      </c>
      <c r="G726" t="s">
        <v>4196</v>
      </c>
      <c r="H726" s="11">
        <v>42117.114872685197</v>
      </c>
      <c r="I726" s="7" t="s">
        <v>26</v>
      </c>
    </row>
    <row r="727" spans="1:9" ht="15" customHeight="1" x14ac:dyDescent="0.3">
      <c r="A727" t="s">
        <v>4197</v>
      </c>
      <c r="B727" t="s">
        <v>4198</v>
      </c>
      <c r="C727" s="10">
        <v>31903</v>
      </c>
      <c r="D727" t="s">
        <v>4199</v>
      </c>
      <c r="E727" t="s">
        <v>4200</v>
      </c>
      <c r="F727" t="s">
        <v>4201</v>
      </c>
      <c r="G727" t="s">
        <v>4202</v>
      </c>
      <c r="H727" s="11">
        <v>40959.533888888902</v>
      </c>
      <c r="I727" s="7" t="s">
        <v>52</v>
      </c>
    </row>
    <row r="728" spans="1:9" ht="15" customHeight="1" x14ac:dyDescent="0.3">
      <c r="A728" t="s">
        <v>4203</v>
      </c>
      <c r="B728" t="s">
        <v>4204</v>
      </c>
      <c r="C728" s="10">
        <v>32968</v>
      </c>
      <c r="D728" t="s">
        <v>2890</v>
      </c>
      <c r="E728" t="s">
        <v>4205</v>
      </c>
      <c r="F728" t="s">
        <v>4206</v>
      </c>
      <c r="G728" t="s">
        <v>4207</v>
      </c>
      <c r="H728" s="11">
        <v>43585.164317129602</v>
      </c>
      <c r="I728" s="7" t="s">
        <v>52</v>
      </c>
    </row>
    <row r="729" spans="1:9" ht="15" customHeight="1" x14ac:dyDescent="0.3">
      <c r="A729" t="s">
        <v>4208</v>
      </c>
      <c r="B729" t="s">
        <v>4209</v>
      </c>
      <c r="C729" s="10">
        <v>32012</v>
      </c>
      <c r="D729" t="s">
        <v>4210</v>
      </c>
      <c r="E729" t="s">
        <v>2890</v>
      </c>
      <c r="F729" t="s">
        <v>4211</v>
      </c>
      <c r="G729" t="s">
        <v>4212</v>
      </c>
      <c r="H729" s="11">
        <v>42514.244594907403</v>
      </c>
      <c r="I729" s="7" t="s">
        <v>33</v>
      </c>
    </row>
    <row r="730" spans="1:9" ht="15" customHeight="1" x14ac:dyDescent="0.3">
      <c r="A730" t="s">
        <v>4213</v>
      </c>
      <c r="B730" t="s">
        <v>4214</v>
      </c>
      <c r="C730" s="10">
        <v>28573</v>
      </c>
      <c r="D730" t="s">
        <v>4215</v>
      </c>
      <c r="E730" t="s">
        <v>4216</v>
      </c>
      <c r="F730" t="s">
        <v>4217</v>
      </c>
      <c r="G730" t="s">
        <v>4218</v>
      </c>
      <c r="H730" s="11">
        <v>40597.134085648198</v>
      </c>
      <c r="I730" s="7" t="s">
        <v>26</v>
      </c>
    </row>
    <row r="731" spans="1:9" ht="15" customHeight="1" x14ac:dyDescent="0.3">
      <c r="A731" t="s">
        <v>4219</v>
      </c>
      <c r="B731" t="s">
        <v>4220</v>
      </c>
      <c r="C731" s="10">
        <v>36023</v>
      </c>
      <c r="D731" t="s">
        <v>2890</v>
      </c>
      <c r="E731" t="s">
        <v>4221</v>
      </c>
      <c r="F731" t="s">
        <v>4222</v>
      </c>
      <c r="G731" t="s">
        <v>4223</v>
      </c>
      <c r="H731" s="11">
        <v>43916.808310185203</v>
      </c>
      <c r="I731" s="7" t="s">
        <v>26</v>
      </c>
    </row>
    <row r="732" spans="1:9" ht="15" customHeight="1" x14ac:dyDescent="0.3">
      <c r="A732" t="s">
        <v>4224</v>
      </c>
      <c r="B732" t="s">
        <v>4225</v>
      </c>
      <c r="C732" s="10">
        <v>35544</v>
      </c>
      <c r="D732" t="s">
        <v>4226</v>
      </c>
      <c r="E732" t="s">
        <v>2890</v>
      </c>
      <c r="F732" t="s">
        <v>4227</v>
      </c>
      <c r="G732" t="s">
        <v>4228</v>
      </c>
      <c r="H732" s="11">
        <v>39761.9565856482</v>
      </c>
      <c r="I732" s="7" t="s">
        <v>33</v>
      </c>
    </row>
    <row r="733" spans="1:9" ht="15" customHeight="1" x14ac:dyDescent="0.3">
      <c r="A733" t="s">
        <v>4229</v>
      </c>
      <c r="B733" t="s">
        <v>4230</v>
      </c>
      <c r="C733" s="10">
        <v>35099</v>
      </c>
      <c r="D733" t="s">
        <v>4231</v>
      </c>
      <c r="E733" t="s">
        <v>4232</v>
      </c>
      <c r="F733" t="s">
        <v>4233</v>
      </c>
      <c r="G733" t="s">
        <v>4234</v>
      </c>
      <c r="H733" s="11">
        <v>42647.1184490741</v>
      </c>
      <c r="I733" s="7" t="s">
        <v>33</v>
      </c>
    </row>
    <row r="734" spans="1:9" ht="15" customHeight="1" x14ac:dyDescent="0.3">
      <c r="A734" t="s">
        <v>4235</v>
      </c>
      <c r="B734" t="s">
        <v>4236</v>
      </c>
      <c r="C734" s="10">
        <v>29436</v>
      </c>
      <c r="D734" t="s">
        <v>2890</v>
      </c>
      <c r="E734" t="s">
        <v>4237</v>
      </c>
      <c r="F734" t="s">
        <v>4238</v>
      </c>
      <c r="G734" t="s">
        <v>4239</v>
      </c>
      <c r="H734" s="11">
        <v>42500.703252314801</v>
      </c>
      <c r="I734" s="7" t="s">
        <v>33</v>
      </c>
    </row>
    <row r="735" spans="1:9" ht="15" customHeight="1" x14ac:dyDescent="0.3">
      <c r="A735" t="s">
        <v>4240</v>
      </c>
      <c r="B735" t="s">
        <v>4241</v>
      </c>
      <c r="C735" s="10">
        <v>36269</v>
      </c>
      <c r="D735" t="s">
        <v>4242</v>
      </c>
      <c r="E735" t="s">
        <v>2890</v>
      </c>
      <c r="F735" t="s">
        <v>4243</v>
      </c>
      <c r="G735" t="s">
        <v>4244</v>
      </c>
      <c r="H735" s="11">
        <v>38668.449884259302</v>
      </c>
      <c r="I735" s="7" t="s">
        <v>78</v>
      </c>
    </row>
    <row r="736" spans="1:9" ht="15" customHeight="1" x14ac:dyDescent="0.3">
      <c r="A736" t="s">
        <v>4245</v>
      </c>
      <c r="B736" t="s">
        <v>4246</v>
      </c>
      <c r="C736" s="10">
        <v>26727</v>
      </c>
      <c r="D736" t="s">
        <v>4247</v>
      </c>
      <c r="E736" t="s">
        <v>4248</v>
      </c>
      <c r="F736" t="s">
        <v>4249</v>
      </c>
      <c r="G736" t="s">
        <v>4250</v>
      </c>
      <c r="H736" s="11">
        <v>41606.4776388889</v>
      </c>
      <c r="I736" s="7" t="s">
        <v>71</v>
      </c>
    </row>
    <row r="737" spans="1:9" ht="15" customHeight="1" x14ac:dyDescent="0.3">
      <c r="A737" t="s">
        <v>4251</v>
      </c>
      <c r="B737" t="s">
        <v>4252</v>
      </c>
      <c r="C737" s="10">
        <v>28951</v>
      </c>
      <c r="D737" t="s">
        <v>2890</v>
      </c>
      <c r="E737" t="s">
        <v>4253</v>
      </c>
      <c r="F737" t="s">
        <v>4254</v>
      </c>
      <c r="G737" t="s">
        <v>162</v>
      </c>
      <c r="H737" s="11">
        <v>38559.192268518498</v>
      </c>
      <c r="I737" s="7" t="s">
        <v>33</v>
      </c>
    </row>
    <row r="738" spans="1:9" ht="15" customHeight="1" x14ac:dyDescent="0.3">
      <c r="A738" t="s">
        <v>4255</v>
      </c>
      <c r="B738" t="s">
        <v>4256</v>
      </c>
      <c r="C738" s="10">
        <v>35371</v>
      </c>
      <c r="D738" t="s">
        <v>4257</v>
      </c>
      <c r="E738" t="s">
        <v>2890</v>
      </c>
      <c r="F738" t="s">
        <v>4258</v>
      </c>
      <c r="G738" t="s">
        <v>4259</v>
      </c>
      <c r="H738" s="11">
        <v>41204.944976851897</v>
      </c>
      <c r="I738" s="7" t="s">
        <v>26</v>
      </c>
    </row>
    <row r="739" spans="1:9" ht="15" customHeight="1" x14ac:dyDescent="0.3">
      <c r="A739" t="s">
        <v>4260</v>
      </c>
      <c r="B739" t="s">
        <v>4261</v>
      </c>
      <c r="C739" s="10">
        <v>35886</v>
      </c>
      <c r="D739" t="s">
        <v>4262</v>
      </c>
      <c r="E739" t="s">
        <v>4263</v>
      </c>
      <c r="F739" t="s">
        <v>4264</v>
      </c>
      <c r="G739" t="s">
        <v>4265</v>
      </c>
      <c r="H739" s="11">
        <v>41074.985868055599</v>
      </c>
      <c r="I739" s="7" t="s">
        <v>26</v>
      </c>
    </row>
    <row r="740" spans="1:9" ht="15" customHeight="1" x14ac:dyDescent="0.3">
      <c r="A740" t="s">
        <v>4266</v>
      </c>
      <c r="B740" t="s">
        <v>4267</v>
      </c>
      <c r="C740" s="10">
        <v>31830</v>
      </c>
      <c r="D740" t="s">
        <v>2890</v>
      </c>
      <c r="E740" t="s">
        <v>4268</v>
      </c>
      <c r="F740" t="s">
        <v>4269</v>
      </c>
      <c r="G740" t="s">
        <v>4270</v>
      </c>
      <c r="H740" s="11">
        <v>41715.0828819444</v>
      </c>
      <c r="I740" s="7" t="s">
        <v>26</v>
      </c>
    </row>
    <row r="741" spans="1:9" ht="15" customHeight="1" x14ac:dyDescent="0.3">
      <c r="A741" t="s">
        <v>4271</v>
      </c>
      <c r="B741" t="s">
        <v>4272</v>
      </c>
      <c r="C741" s="10">
        <v>34112</v>
      </c>
      <c r="D741" t="s">
        <v>4273</v>
      </c>
      <c r="E741" t="s">
        <v>2890</v>
      </c>
      <c r="F741" t="s">
        <v>4274</v>
      </c>
      <c r="G741" t="s">
        <v>4275</v>
      </c>
      <c r="H741" s="11">
        <v>40947.593622685199</v>
      </c>
      <c r="I741" s="7" t="s">
        <v>71</v>
      </c>
    </row>
    <row r="742" spans="1:9" ht="15" customHeight="1" x14ac:dyDescent="0.3">
      <c r="A742" t="s">
        <v>4276</v>
      </c>
      <c r="B742" t="s">
        <v>4277</v>
      </c>
      <c r="C742" s="10">
        <v>27144</v>
      </c>
      <c r="D742" t="s">
        <v>4278</v>
      </c>
      <c r="E742" t="s">
        <v>4279</v>
      </c>
      <c r="F742" t="s">
        <v>4280</v>
      </c>
      <c r="G742" t="s">
        <v>4281</v>
      </c>
      <c r="H742" s="11">
        <v>39747.221747685202</v>
      </c>
      <c r="I742" s="7" t="s">
        <v>26</v>
      </c>
    </row>
    <row r="743" spans="1:9" ht="15" customHeight="1" x14ac:dyDescent="0.3">
      <c r="A743" t="s">
        <v>4282</v>
      </c>
      <c r="B743" t="s">
        <v>4283</v>
      </c>
      <c r="C743" s="10">
        <v>36580</v>
      </c>
      <c r="D743" t="s">
        <v>2890</v>
      </c>
      <c r="E743" t="s">
        <v>4284</v>
      </c>
      <c r="F743" t="s">
        <v>4285</v>
      </c>
      <c r="G743" t="s">
        <v>4286</v>
      </c>
      <c r="H743" s="11">
        <v>41837.452685185199</v>
      </c>
      <c r="I743" s="7" t="s">
        <v>52</v>
      </c>
    </row>
    <row r="744" spans="1:9" ht="15" customHeight="1" x14ac:dyDescent="0.3">
      <c r="A744" t="s">
        <v>4287</v>
      </c>
      <c r="B744" t="s">
        <v>4288</v>
      </c>
      <c r="C744" s="10">
        <v>34973</v>
      </c>
      <c r="D744" t="s">
        <v>4289</v>
      </c>
      <c r="E744" t="s">
        <v>2890</v>
      </c>
      <c r="F744" t="s">
        <v>4290</v>
      </c>
      <c r="G744" t="s">
        <v>4291</v>
      </c>
      <c r="H744" s="11">
        <v>42025.668645833299</v>
      </c>
      <c r="I744" s="7" t="s">
        <v>52</v>
      </c>
    </row>
    <row r="745" spans="1:9" ht="15" customHeight="1" x14ac:dyDescent="0.3">
      <c r="A745" t="s">
        <v>4292</v>
      </c>
      <c r="B745" t="s">
        <v>4293</v>
      </c>
      <c r="C745" s="10">
        <v>34977</v>
      </c>
      <c r="D745" t="s">
        <v>4294</v>
      </c>
      <c r="E745" t="s">
        <v>4295</v>
      </c>
      <c r="F745" t="s">
        <v>4296</v>
      </c>
      <c r="G745" t="s">
        <v>4297</v>
      </c>
      <c r="H745" s="11">
        <v>42444.864236111098</v>
      </c>
      <c r="I745" s="7" t="s">
        <v>71</v>
      </c>
    </row>
    <row r="746" spans="1:9" ht="15" customHeight="1" x14ac:dyDescent="0.3">
      <c r="A746" t="s">
        <v>4298</v>
      </c>
      <c r="B746" t="s">
        <v>4299</v>
      </c>
      <c r="C746" s="10">
        <v>33619</v>
      </c>
      <c r="D746" t="s">
        <v>2890</v>
      </c>
      <c r="E746" t="s">
        <v>4300</v>
      </c>
      <c r="F746" t="s">
        <v>4301</v>
      </c>
      <c r="G746" t="s">
        <v>4302</v>
      </c>
      <c r="H746" s="11">
        <v>41927.277002314797</v>
      </c>
      <c r="I746" s="7" t="s">
        <v>78</v>
      </c>
    </row>
    <row r="747" spans="1:9" ht="15" customHeight="1" x14ac:dyDescent="0.3">
      <c r="A747" t="s">
        <v>4303</v>
      </c>
      <c r="B747" t="s">
        <v>4304</v>
      </c>
      <c r="C747" s="10">
        <v>25738</v>
      </c>
      <c r="D747" t="s">
        <v>4305</v>
      </c>
      <c r="E747" t="s">
        <v>2890</v>
      </c>
      <c r="F747" t="s">
        <v>4306</v>
      </c>
      <c r="G747" t="s">
        <v>4307</v>
      </c>
      <c r="H747" s="11">
        <v>41759.7359490741</v>
      </c>
      <c r="I747" s="7" t="s">
        <v>33</v>
      </c>
    </row>
    <row r="748" spans="1:9" ht="15" customHeight="1" x14ac:dyDescent="0.3">
      <c r="A748" t="s">
        <v>4308</v>
      </c>
      <c r="B748" t="s">
        <v>4309</v>
      </c>
      <c r="C748" s="10">
        <v>32921</v>
      </c>
      <c r="D748" t="s">
        <v>4310</v>
      </c>
      <c r="E748" t="s">
        <v>4311</v>
      </c>
      <c r="F748" t="s">
        <v>4312</v>
      </c>
      <c r="G748" t="s">
        <v>4313</v>
      </c>
      <c r="H748" s="11">
        <v>43026.278449074103</v>
      </c>
      <c r="I748" s="7" t="s">
        <v>78</v>
      </c>
    </row>
    <row r="749" spans="1:9" ht="15" customHeight="1" x14ac:dyDescent="0.3">
      <c r="A749" t="s">
        <v>4314</v>
      </c>
      <c r="B749" t="s">
        <v>4315</v>
      </c>
      <c r="C749" s="10">
        <v>27301</v>
      </c>
      <c r="D749" t="s">
        <v>2890</v>
      </c>
      <c r="E749" t="s">
        <v>4316</v>
      </c>
      <c r="F749" t="s">
        <v>4317</v>
      </c>
      <c r="G749" t="s">
        <v>4318</v>
      </c>
      <c r="H749" s="11">
        <v>43421.624710648197</v>
      </c>
      <c r="I749" s="7" t="s">
        <v>78</v>
      </c>
    </row>
    <row r="750" spans="1:9" ht="15" customHeight="1" x14ac:dyDescent="0.3">
      <c r="A750" t="s">
        <v>4319</v>
      </c>
      <c r="B750" t="s">
        <v>4320</v>
      </c>
      <c r="C750" s="10">
        <v>33415</v>
      </c>
      <c r="D750" t="s">
        <v>4321</v>
      </c>
      <c r="E750" t="s">
        <v>2890</v>
      </c>
      <c r="F750" t="s">
        <v>4322</v>
      </c>
      <c r="G750" t="s">
        <v>1491</v>
      </c>
      <c r="H750" s="11">
        <v>42673.342824074098</v>
      </c>
      <c r="I750" s="7" t="s">
        <v>26</v>
      </c>
    </row>
    <row r="751" spans="1:9" ht="15" customHeight="1" x14ac:dyDescent="0.3">
      <c r="A751" t="s">
        <v>4323</v>
      </c>
      <c r="B751" t="s">
        <v>4324</v>
      </c>
      <c r="C751" s="10">
        <v>26514</v>
      </c>
      <c r="D751" t="s">
        <v>4325</v>
      </c>
      <c r="E751" t="s">
        <v>4326</v>
      </c>
      <c r="F751" t="s">
        <v>4327</v>
      </c>
      <c r="G751" t="s">
        <v>4328</v>
      </c>
      <c r="H751" s="11">
        <v>43837.938159722202</v>
      </c>
      <c r="I751" s="7" t="s">
        <v>33</v>
      </c>
    </row>
    <row r="752" spans="1:9" ht="15" customHeight="1" x14ac:dyDescent="0.3">
      <c r="A752" t="s">
        <v>4329</v>
      </c>
      <c r="B752" t="s">
        <v>4330</v>
      </c>
      <c r="C752" s="10">
        <v>35927</v>
      </c>
      <c r="D752" t="s">
        <v>2890</v>
      </c>
      <c r="E752" t="s">
        <v>4331</v>
      </c>
      <c r="F752" t="s">
        <v>4332</v>
      </c>
      <c r="G752" t="s">
        <v>4333</v>
      </c>
      <c r="H752" s="11">
        <v>44280.695474537002</v>
      </c>
      <c r="I752" s="7" t="s">
        <v>33</v>
      </c>
    </row>
    <row r="753" spans="1:9" ht="15" customHeight="1" x14ac:dyDescent="0.3">
      <c r="A753" t="s">
        <v>4334</v>
      </c>
      <c r="B753" t="s">
        <v>4335</v>
      </c>
      <c r="C753" s="10">
        <v>30769</v>
      </c>
      <c r="D753" t="s">
        <v>4336</v>
      </c>
      <c r="E753" t="s">
        <v>2890</v>
      </c>
      <c r="F753" t="s">
        <v>4337</v>
      </c>
      <c r="G753" t="s">
        <v>4338</v>
      </c>
      <c r="H753" s="11">
        <v>40729.800034722197</v>
      </c>
      <c r="I753" s="7" t="s">
        <v>52</v>
      </c>
    </row>
    <row r="754" spans="1:9" ht="15" customHeight="1" x14ac:dyDescent="0.3">
      <c r="A754" t="s">
        <v>4339</v>
      </c>
      <c r="B754" t="s">
        <v>4340</v>
      </c>
      <c r="C754" s="10">
        <v>35955</v>
      </c>
      <c r="D754" t="s">
        <v>4341</v>
      </c>
      <c r="E754" t="s">
        <v>4342</v>
      </c>
      <c r="F754" t="s">
        <v>4343</v>
      </c>
      <c r="G754" t="s">
        <v>4344</v>
      </c>
      <c r="H754" s="11">
        <v>41057.017361111102</v>
      </c>
      <c r="I754" s="7" t="s">
        <v>78</v>
      </c>
    </row>
    <row r="755" spans="1:9" ht="15" customHeight="1" x14ac:dyDescent="0.3">
      <c r="A755" t="s">
        <v>4345</v>
      </c>
      <c r="B755" t="s">
        <v>4346</v>
      </c>
      <c r="C755" s="10">
        <v>34241</v>
      </c>
      <c r="D755" t="s">
        <v>2890</v>
      </c>
      <c r="E755" t="s">
        <v>4347</v>
      </c>
      <c r="F755" t="s">
        <v>4348</v>
      </c>
      <c r="G755" t="s">
        <v>4349</v>
      </c>
      <c r="H755" s="11">
        <v>39878.067916666703</v>
      </c>
      <c r="I755" s="7" t="s">
        <v>52</v>
      </c>
    </row>
    <row r="756" spans="1:9" ht="15" customHeight="1" x14ac:dyDescent="0.3">
      <c r="A756" t="s">
        <v>4350</v>
      </c>
      <c r="B756" t="s">
        <v>4351</v>
      </c>
      <c r="C756" s="10">
        <v>27897</v>
      </c>
      <c r="D756" t="s">
        <v>4352</v>
      </c>
      <c r="E756" t="s">
        <v>2890</v>
      </c>
      <c r="F756" t="s">
        <v>4353</v>
      </c>
      <c r="G756" t="s">
        <v>4354</v>
      </c>
      <c r="H756" s="11">
        <v>38433.094340277799</v>
      </c>
      <c r="I756" s="7" t="s">
        <v>52</v>
      </c>
    </row>
    <row r="757" spans="1:9" ht="15" customHeight="1" x14ac:dyDescent="0.3">
      <c r="A757" t="s">
        <v>4355</v>
      </c>
      <c r="B757" t="s">
        <v>4356</v>
      </c>
      <c r="C757" s="10">
        <v>32655</v>
      </c>
      <c r="D757" t="s">
        <v>4357</v>
      </c>
      <c r="E757" t="s">
        <v>4358</v>
      </c>
      <c r="F757" t="s">
        <v>4359</v>
      </c>
      <c r="G757" t="s">
        <v>4360</v>
      </c>
      <c r="H757" s="11">
        <v>40869.630023148202</v>
      </c>
      <c r="I757" s="7" t="s">
        <v>52</v>
      </c>
    </row>
    <row r="758" spans="1:9" ht="15" customHeight="1" x14ac:dyDescent="0.3">
      <c r="A758" t="s">
        <v>4361</v>
      </c>
      <c r="B758" t="s">
        <v>4362</v>
      </c>
      <c r="C758" s="10">
        <v>32352</v>
      </c>
      <c r="D758" t="s">
        <v>2890</v>
      </c>
      <c r="E758" t="s">
        <v>4363</v>
      </c>
      <c r="F758" t="s">
        <v>4364</v>
      </c>
      <c r="G758" t="s">
        <v>4365</v>
      </c>
      <c r="H758" s="11">
        <v>40994.507210648197</v>
      </c>
      <c r="I758" s="7" t="s">
        <v>33</v>
      </c>
    </row>
    <row r="759" spans="1:9" ht="15" customHeight="1" x14ac:dyDescent="0.3">
      <c r="A759" t="s">
        <v>4366</v>
      </c>
      <c r="B759" t="s">
        <v>4367</v>
      </c>
      <c r="C759" s="10">
        <v>36529</v>
      </c>
      <c r="D759" t="s">
        <v>4368</v>
      </c>
      <c r="E759" t="s">
        <v>2890</v>
      </c>
      <c r="F759" t="s">
        <v>4369</v>
      </c>
      <c r="G759" t="s">
        <v>4370</v>
      </c>
      <c r="H759" s="11">
        <v>39299.056134259299</v>
      </c>
      <c r="I759" s="7" t="s">
        <v>71</v>
      </c>
    </row>
    <row r="760" spans="1:9" ht="15" customHeight="1" x14ac:dyDescent="0.3">
      <c r="A760" t="s">
        <v>4371</v>
      </c>
      <c r="B760" t="s">
        <v>4372</v>
      </c>
      <c r="C760" s="10">
        <v>28418</v>
      </c>
      <c r="D760" t="s">
        <v>4373</v>
      </c>
      <c r="E760" t="s">
        <v>3978</v>
      </c>
      <c r="F760" t="s">
        <v>4374</v>
      </c>
      <c r="G760" t="s">
        <v>4375</v>
      </c>
      <c r="H760" s="11">
        <v>43142.622395833299</v>
      </c>
      <c r="I760" s="7" t="s">
        <v>71</v>
      </c>
    </row>
    <row r="761" spans="1:9" ht="15" customHeight="1" x14ac:dyDescent="0.3">
      <c r="A761" t="s">
        <v>4376</v>
      </c>
      <c r="B761" t="s">
        <v>4377</v>
      </c>
      <c r="C761" s="10">
        <v>35618</v>
      </c>
      <c r="D761" t="s">
        <v>2890</v>
      </c>
      <c r="E761" t="s">
        <v>4378</v>
      </c>
      <c r="F761" t="s">
        <v>4379</v>
      </c>
      <c r="G761" t="s">
        <v>2718</v>
      </c>
      <c r="H761" s="11">
        <v>43036.935555555603</v>
      </c>
      <c r="I761" s="7" t="s">
        <v>26</v>
      </c>
    </row>
    <row r="762" spans="1:9" ht="15" customHeight="1" x14ac:dyDescent="0.3">
      <c r="A762" t="s">
        <v>4380</v>
      </c>
      <c r="B762" t="s">
        <v>4381</v>
      </c>
      <c r="C762" s="10">
        <v>30932</v>
      </c>
      <c r="D762" t="s">
        <v>4382</v>
      </c>
      <c r="E762" t="s">
        <v>4383</v>
      </c>
      <c r="F762" t="s">
        <v>4384</v>
      </c>
      <c r="G762" t="s">
        <v>4385</v>
      </c>
      <c r="H762" s="11">
        <v>40181.425254629597</v>
      </c>
      <c r="I762" s="7" t="s">
        <v>52</v>
      </c>
    </row>
    <row r="763" spans="1:9" ht="15" customHeight="1" x14ac:dyDescent="0.3">
      <c r="A763" t="s">
        <v>4386</v>
      </c>
      <c r="B763" t="s">
        <v>4387</v>
      </c>
      <c r="C763" s="10">
        <v>31456</v>
      </c>
      <c r="D763" t="s">
        <v>4388</v>
      </c>
      <c r="E763" t="s">
        <v>4389</v>
      </c>
      <c r="F763" t="s">
        <v>4390</v>
      </c>
      <c r="G763" t="s">
        <v>4391</v>
      </c>
      <c r="H763" s="11">
        <v>39143.313518518502</v>
      </c>
      <c r="I763" s="7" t="s">
        <v>78</v>
      </c>
    </row>
    <row r="764" spans="1:9" ht="15" customHeight="1" x14ac:dyDescent="0.3">
      <c r="A764" t="s">
        <v>4392</v>
      </c>
      <c r="B764" t="s">
        <v>4393</v>
      </c>
      <c r="C764" s="10">
        <v>30220</v>
      </c>
      <c r="D764" t="s">
        <v>4394</v>
      </c>
      <c r="E764" t="s">
        <v>4395</v>
      </c>
      <c r="F764" t="s">
        <v>4396</v>
      </c>
      <c r="G764" t="s">
        <v>4397</v>
      </c>
      <c r="H764" s="11">
        <v>42464.900023148199</v>
      </c>
      <c r="I764" s="7" t="s">
        <v>78</v>
      </c>
    </row>
    <row r="765" spans="1:9" ht="15" customHeight="1" x14ac:dyDescent="0.3">
      <c r="A765" t="s">
        <v>4398</v>
      </c>
      <c r="B765" t="s">
        <v>4399</v>
      </c>
      <c r="C765" s="10">
        <v>29690</v>
      </c>
      <c r="D765" t="s">
        <v>4400</v>
      </c>
      <c r="E765" t="s">
        <v>4401</v>
      </c>
      <c r="F765" t="s">
        <v>4402</v>
      </c>
      <c r="G765" t="s">
        <v>4403</v>
      </c>
      <c r="H765" s="11">
        <v>41455.7409722222</v>
      </c>
      <c r="I765" s="7" t="s">
        <v>26</v>
      </c>
    </row>
    <row r="766" spans="1:9" ht="15" customHeight="1" x14ac:dyDescent="0.3">
      <c r="A766" t="s">
        <v>4404</v>
      </c>
      <c r="B766" t="s">
        <v>4405</v>
      </c>
      <c r="C766" s="10">
        <v>29636</v>
      </c>
      <c r="D766" t="s">
        <v>4406</v>
      </c>
      <c r="E766" t="s">
        <v>4407</v>
      </c>
      <c r="F766" t="s">
        <v>4408</v>
      </c>
      <c r="G766" t="s">
        <v>4409</v>
      </c>
      <c r="H766" s="11">
        <v>41538.797858796301</v>
      </c>
      <c r="I766" s="7" t="s">
        <v>26</v>
      </c>
    </row>
    <row r="767" spans="1:9" ht="15" customHeight="1" x14ac:dyDescent="0.3">
      <c r="A767" t="s">
        <v>4410</v>
      </c>
      <c r="B767" t="s">
        <v>4411</v>
      </c>
      <c r="C767" s="10">
        <v>34340</v>
      </c>
      <c r="D767" t="s">
        <v>4412</v>
      </c>
      <c r="E767" t="s">
        <v>4413</v>
      </c>
      <c r="F767" t="s">
        <v>4414</v>
      </c>
      <c r="G767" t="s">
        <v>4415</v>
      </c>
      <c r="H767" s="11">
        <v>40501.422175925902</v>
      </c>
      <c r="I767" s="7" t="s">
        <v>71</v>
      </c>
    </row>
    <row r="768" spans="1:9" ht="15" customHeight="1" x14ac:dyDescent="0.3">
      <c r="A768" t="s">
        <v>4416</v>
      </c>
      <c r="B768" t="s">
        <v>4417</v>
      </c>
      <c r="C768" s="10">
        <v>27036</v>
      </c>
      <c r="D768" t="s">
        <v>4418</v>
      </c>
      <c r="E768" t="s">
        <v>4419</v>
      </c>
      <c r="F768" t="s">
        <v>4420</v>
      </c>
      <c r="G768" t="s">
        <v>4421</v>
      </c>
      <c r="H768" s="11">
        <v>41882.254340277803</v>
      </c>
      <c r="I768" s="7" t="s">
        <v>52</v>
      </c>
    </row>
    <row r="769" spans="1:9" ht="15" customHeight="1" x14ac:dyDescent="0.3">
      <c r="A769" t="s">
        <v>4422</v>
      </c>
      <c r="B769" t="s">
        <v>4423</v>
      </c>
      <c r="C769" s="10">
        <v>29707</v>
      </c>
      <c r="D769" t="s">
        <v>4424</v>
      </c>
      <c r="E769" t="s">
        <v>4425</v>
      </c>
      <c r="F769" t="s">
        <v>4426</v>
      </c>
      <c r="G769" t="s">
        <v>4427</v>
      </c>
      <c r="H769" s="11">
        <v>43223.985127314802</v>
      </c>
      <c r="I769" s="7" t="s">
        <v>52</v>
      </c>
    </row>
    <row r="770" spans="1:9" ht="15" customHeight="1" x14ac:dyDescent="0.3">
      <c r="A770" t="s">
        <v>4428</v>
      </c>
      <c r="B770" t="s">
        <v>4429</v>
      </c>
      <c r="C770" s="10">
        <v>31574</v>
      </c>
      <c r="D770" t="s">
        <v>4430</v>
      </c>
      <c r="E770" t="s">
        <v>4431</v>
      </c>
      <c r="F770" t="s">
        <v>4432</v>
      </c>
      <c r="G770" t="s">
        <v>4433</v>
      </c>
      <c r="H770" s="11">
        <v>43569.197800925896</v>
      </c>
      <c r="I770" s="7" t="s">
        <v>52</v>
      </c>
    </row>
    <row r="771" spans="1:9" ht="15" customHeight="1" x14ac:dyDescent="0.3">
      <c r="A771" t="s">
        <v>4434</v>
      </c>
      <c r="B771" t="s">
        <v>4435</v>
      </c>
      <c r="C771" s="10">
        <v>31696</v>
      </c>
      <c r="D771" t="s">
        <v>4436</v>
      </c>
      <c r="E771" t="s">
        <v>4437</v>
      </c>
      <c r="F771" t="s">
        <v>4438</v>
      </c>
      <c r="G771" t="s">
        <v>4439</v>
      </c>
      <c r="H771" s="11">
        <v>43508.3675925926</v>
      </c>
      <c r="I771" s="7" t="s">
        <v>78</v>
      </c>
    </row>
    <row r="772" spans="1:9" ht="15" customHeight="1" x14ac:dyDescent="0.3">
      <c r="A772" t="s">
        <v>4440</v>
      </c>
      <c r="B772" t="s">
        <v>4441</v>
      </c>
      <c r="C772" s="10">
        <v>30713</v>
      </c>
      <c r="D772" t="s">
        <v>4442</v>
      </c>
      <c r="E772" t="s">
        <v>4443</v>
      </c>
      <c r="F772" t="s">
        <v>4444</v>
      </c>
      <c r="G772" t="s">
        <v>1288</v>
      </c>
      <c r="H772" s="11">
        <v>40103.933125000003</v>
      </c>
      <c r="I772" s="7" t="s">
        <v>26</v>
      </c>
    </row>
    <row r="773" spans="1:9" ht="15" customHeight="1" x14ac:dyDescent="0.3">
      <c r="A773" t="s">
        <v>4445</v>
      </c>
      <c r="B773" t="s">
        <v>4446</v>
      </c>
      <c r="C773" s="10">
        <v>32172</v>
      </c>
      <c r="D773" t="s">
        <v>4447</v>
      </c>
      <c r="E773" t="s">
        <v>4448</v>
      </c>
      <c r="F773" t="s">
        <v>4449</v>
      </c>
      <c r="G773" t="s">
        <v>4450</v>
      </c>
      <c r="H773" s="11">
        <v>38468.540844907402</v>
      </c>
      <c r="I773" s="7" t="s">
        <v>33</v>
      </c>
    </row>
    <row r="774" spans="1:9" ht="15" customHeight="1" x14ac:dyDescent="0.3">
      <c r="A774" t="s">
        <v>4451</v>
      </c>
      <c r="B774" t="s">
        <v>4452</v>
      </c>
      <c r="C774" s="10">
        <v>29211</v>
      </c>
      <c r="D774" t="s">
        <v>4453</v>
      </c>
      <c r="E774" t="s">
        <v>4454</v>
      </c>
      <c r="F774" t="s">
        <v>4455</v>
      </c>
      <c r="G774" t="s">
        <v>4456</v>
      </c>
      <c r="H774" s="11">
        <v>43970.168171296304</v>
      </c>
      <c r="I774" s="7" t="s">
        <v>71</v>
      </c>
    </row>
    <row r="775" spans="1:9" ht="15" customHeight="1" x14ac:dyDescent="0.3">
      <c r="A775" t="s">
        <v>4457</v>
      </c>
      <c r="B775" t="s">
        <v>4458</v>
      </c>
      <c r="C775" s="10">
        <v>26668</v>
      </c>
      <c r="D775" t="s">
        <v>4459</v>
      </c>
      <c r="E775" t="s">
        <v>4460</v>
      </c>
      <c r="F775" t="s">
        <v>4461</v>
      </c>
      <c r="G775" t="s">
        <v>4462</v>
      </c>
      <c r="H775" s="11">
        <v>40186.232372685197</v>
      </c>
      <c r="I775" s="7" t="s">
        <v>33</v>
      </c>
    </row>
    <row r="776" spans="1:9" ht="15" customHeight="1" x14ac:dyDescent="0.3">
      <c r="A776" t="s">
        <v>4463</v>
      </c>
      <c r="B776" t="s">
        <v>4464</v>
      </c>
      <c r="C776" s="10">
        <v>32007</v>
      </c>
      <c r="D776" t="s">
        <v>4465</v>
      </c>
      <c r="E776" t="s">
        <v>4466</v>
      </c>
      <c r="F776" t="s">
        <v>4467</v>
      </c>
      <c r="G776" t="s">
        <v>4468</v>
      </c>
      <c r="H776" s="11">
        <v>41001.930300925902</v>
      </c>
      <c r="I776" s="7" t="s">
        <v>26</v>
      </c>
    </row>
    <row r="777" spans="1:9" ht="15" customHeight="1" x14ac:dyDescent="0.3">
      <c r="A777" t="s">
        <v>4469</v>
      </c>
      <c r="B777" t="s">
        <v>4470</v>
      </c>
      <c r="C777" s="10">
        <v>32400</v>
      </c>
      <c r="D777" t="s">
        <v>4471</v>
      </c>
      <c r="E777" t="s">
        <v>4472</v>
      </c>
      <c r="F777" t="s">
        <v>4473</v>
      </c>
      <c r="G777" t="s">
        <v>4474</v>
      </c>
      <c r="H777" s="11">
        <v>44319.212546296301</v>
      </c>
      <c r="I777" s="7" t="s">
        <v>71</v>
      </c>
    </row>
    <row r="778" spans="1:9" ht="15" customHeight="1" x14ac:dyDescent="0.3">
      <c r="A778" t="s">
        <v>4475</v>
      </c>
      <c r="B778" t="s">
        <v>4476</v>
      </c>
      <c r="C778" s="10">
        <v>35884</v>
      </c>
      <c r="D778" t="s">
        <v>4477</v>
      </c>
      <c r="E778" t="s">
        <v>4478</v>
      </c>
      <c r="F778" t="s">
        <v>4479</v>
      </c>
      <c r="G778" t="s">
        <v>4480</v>
      </c>
      <c r="H778" s="11">
        <v>43702.711979166699</v>
      </c>
      <c r="I778" s="7" t="s">
        <v>33</v>
      </c>
    </row>
    <row r="779" spans="1:9" ht="15" customHeight="1" x14ac:dyDescent="0.3">
      <c r="A779" t="s">
        <v>4481</v>
      </c>
      <c r="B779" t="s">
        <v>4482</v>
      </c>
      <c r="C779" s="10">
        <v>34712</v>
      </c>
      <c r="D779" t="s">
        <v>4483</v>
      </c>
      <c r="E779" t="s">
        <v>4484</v>
      </c>
      <c r="F779" t="s">
        <v>4485</v>
      </c>
      <c r="G779" t="s">
        <v>4486</v>
      </c>
      <c r="H779" s="11">
        <v>41484.820277777799</v>
      </c>
      <c r="I779" s="7" t="s">
        <v>33</v>
      </c>
    </row>
    <row r="780" spans="1:9" ht="15" customHeight="1" x14ac:dyDescent="0.3">
      <c r="A780" t="s">
        <v>4487</v>
      </c>
      <c r="B780" t="s">
        <v>4488</v>
      </c>
      <c r="C780" s="10">
        <v>31959</v>
      </c>
      <c r="D780" t="s">
        <v>4489</v>
      </c>
      <c r="E780" t="s">
        <v>4490</v>
      </c>
      <c r="F780" t="s">
        <v>4491</v>
      </c>
      <c r="G780" t="s">
        <v>4492</v>
      </c>
      <c r="H780" s="11">
        <v>41534.801342592596</v>
      </c>
      <c r="I780" s="7" t="s">
        <v>52</v>
      </c>
    </row>
    <row r="781" spans="1:9" ht="15" customHeight="1" x14ac:dyDescent="0.3">
      <c r="A781" t="s">
        <v>4493</v>
      </c>
      <c r="B781" t="s">
        <v>4494</v>
      </c>
      <c r="C781" s="10">
        <v>36265</v>
      </c>
      <c r="D781" t="s">
        <v>4495</v>
      </c>
      <c r="E781" t="s">
        <v>4496</v>
      </c>
      <c r="F781" t="s">
        <v>4497</v>
      </c>
      <c r="G781" t="s">
        <v>4498</v>
      </c>
      <c r="H781" s="11">
        <v>44308.210914351897</v>
      </c>
      <c r="I781" s="7" t="s">
        <v>71</v>
      </c>
    </row>
    <row r="782" spans="1:9" ht="15" customHeight="1" x14ac:dyDescent="0.3">
      <c r="A782" t="s">
        <v>4499</v>
      </c>
      <c r="B782" t="s">
        <v>4500</v>
      </c>
      <c r="C782" s="10">
        <v>35295</v>
      </c>
      <c r="D782" t="s">
        <v>4501</v>
      </c>
      <c r="E782" t="s">
        <v>4502</v>
      </c>
      <c r="F782" t="s">
        <v>4503</v>
      </c>
      <c r="G782" t="s">
        <v>4504</v>
      </c>
      <c r="H782" s="11">
        <v>44268.747118055602</v>
      </c>
      <c r="I782" s="7" t="s">
        <v>78</v>
      </c>
    </row>
    <row r="783" spans="1:9" ht="15" customHeight="1" x14ac:dyDescent="0.3">
      <c r="A783" t="s">
        <v>4505</v>
      </c>
      <c r="B783" t="s">
        <v>4506</v>
      </c>
      <c r="C783" s="10">
        <v>36307</v>
      </c>
      <c r="D783" t="s">
        <v>4507</v>
      </c>
      <c r="E783" t="s">
        <v>4508</v>
      </c>
      <c r="F783" t="s">
        <v>4509</v>
      </c>
      <c r="G783" t="s">
        <v>4510</v>
      </c>
      <c r="H783" s="11">
        <v>42010.661712963003</v>
      </c>
      <c r="I783" s="7" t="s">
        <v>78</v>
      </c>
    </row>
    <row r="784" spans="1:9" ht="15" customHeight="1" x14ac:dyDescent="0.3">
      <c r="A784" t="s">
        <v>4511</v>
      </c>
      <c r="B784" t="s">
        <v>4512</v>
      </c>
      <c r="C784" s="10">
        <v>30703</v>
      </c>
      <c r="D784" t="s">
        <v>4513</v>
      </c>
      <c r="E784" t="s">
        <v>4514</v>
      </c>
      <c r="F784" t="s">
        <v>4515</v>
      </c>
      <c r="G784" t="s">
        <v>4516</v>
      </c>
      <c r="H784" s="11">
        <v>40769.972812499997</v>
      </c>
      <c r="I784" s="7" t="s">
        <v>33</v>
      </c>
    </row>
    <row r="785" spans="1:9" ht="15" customHeight="1" x14ac:dyDescent="0.3">
      <c r="A785" t="s">
        <v>4517</v>
      </c>
      <c r="B785" t="s">
        <v>4518</v>
      </c>
      <c r="C785" s="10">
        <v>30673</v>
      </c>
      <c r="D785" t="s">
        <v>4519</v>
      </c>
      <c r="E785" t="s">
        <v>4520</v>
      </c>
      <c r="F785" t="s">
        <v>4521</v>
      </c>
      <c r="G785" t="s">
        <v>4522</v>
      </c>
      <c r="H785" s="11">
        <v>40267.126203703701</v>
      </c>
      <c r="I785" s="7" t="s">
        <v>33</v>
      </c>
    </row>
    <row r="786" spans="1:9" ht="15" customHeight="1" x14ac:dyDescent="0.3">
      <c r="A786" t="s">
        <v>4523</v>
      </c>
      <c r="B786" t="s">
        <v>4524</v>
      </c>
      <c r="C786" s="10">
        <v>28967</v>
      </c>
      <c r="D786" t="s">
        <v>4525</v>
      </c>
      <c r="E786" t="s">
        <v>4526</v>
      </c>
      <c r="F786" t="s">
        <v>4527</v>
      </c>
      <c r="G786" t="s">
        <v>4528</v>
      </c>
      <c r="H786" s="11">
        <v>43781.870729166701</v>
      </c>
      <c r="I786" s="7" t="s">
        <v>78</v>
      </c>
    </row>
    <row r="787" spans="1:9" ht="15" customHeight="1" x14ac:dyDescent="0.3">
      <c r="A787" t="s">
        <v>4529</v>
      </c>
      <c r="B787" t="s">
        <v>4530</v>
      </c>
      <c r="C787" s="10">
        <v>33032</v>
      </c>
      <c r="D787" t="s">
        <v>4531</v>
      </c>
      <c r="E787" t="s">
        <v>4532</v>
      </c>
      <c r="F787" t="s">
        <v>4533</v>
      </c>
      <c r="G787" t="s">
        <v>4534</v>
      </c>
      <c r="H787" s="11">
        <v>40600.060335648202</v>
      </c>
      <c r="I787" s="7" t="s">
        <v>52</v>
      </c>
    </row>
    <row r="788" spans="1:9" ht="15" customHeight="1" x14ac:dyDescent="0.3">
      <c r="A788" t="s">
        <v>4535</v>
      </c>
      <c r="B788" t="s">
        <v>4536</v>
      </c>
      <c r="C788" s="10">
        <v>29676</v>
      </c>
      <c r="D788" t="s">
        <v>4537</v>
      </c>
      <c r="E788" t="s">
        <v>4538</v>
      </c>
      <c r="F788" t="s">
        <v>4539</v>
      </c>
      <c r="G788" t="s">
        <v>4540</v>
      </c>
      <c r="H788" s="11">
        <v>44184.774097222202</v>
      </c>
      <c r="I788" s="7" t="s">
        <v>52</v>
      </c>
    </row>
    <row r="789" spans="1:9" ht="15" customHeight="1" x14ac:dyDescent="0.3">
      <c r="A789" t="s">
        <v>4541</v>
      </c>
      <c r="B789" t="s">
        <v>4542</v>
      </c>
      <c r="C789" s="10">
        <v>34685</v>
      </c>
      <c r="D789" t="s">
        <v>4543</v>
      </c>
      <c r="E789" t="s">
        <v>82</v>
      </c>
      <c r="F789" t="s">
        <v>4544</v>
      </c>
      <c r="G789" t="s">
        <v>4545</v>
      </c>
      <c r="H789" s="11">
        <v>40585.714432870402</v>
      </c>
      <c r="I789" s="7" t="s">
        <v>33</v>
      </c>
    </row>
    <row r="790" spans="1:9" ht="15" customHeight="1" x14ac:dyDescent="0.3">
      <c r="A790" t="s">
        <v>4546</v>
      </c>
      <c r="B790" t="s">
        <v>4547</v>
      </c>
      <c r="C790" s="10">
        <v>30736</v>
      </c>
      <c r="D790" t="s">
        <v>4548</v>
      </c>
      <c r="E790" t="s">
        <v>4549</v>
      </c>
      <c r="F790" t="s">
        <v>4550</v>
      </c>
      <c r="G790" t="s">
        <v>4551</v>
      </c>
      <c r="H790" s="11">
        <v>38978.709490740701</v>
      </c>
      <c r="I790" s="7" t="s">
        <v>26</v>
      </c>
    </row>
    <row r="791" spans="1:9" ht="15" customHeight="1" x14ac:dyDescent="0.3">
      <c r="A791" t="s">
        <v>4552</v>
      </c>
      <c r="B791" t="s">
        <v>4553</v>
      </c>
      <c r="C791" s="10">
        <v>29408</v>
      </c>
      <c r="D791" t="s">
        <v>4554</v>
      </c>
      <c r="E791" t="s">
        <v>4555</v>
      </c>
      <c r="F791" t="s">
        <v>4556</v>
      </c>
      <c r="G791" t="s">
        <v>4557</v>
      </c>
      <c r="H791" s="11">
        <v>40800.560057870403</v>
      </c>
      <c r="I791" s="7" t="s">
        <v>26</v>
      </c>
    </row>
    <row r="792" spans="1:9" ht="15" customHeight="1" x14ac:dyDescent="0.3">
      <c r="A792" t="s">
        <v>4558</v>
      </c>
      <c r="B792" t="s">
        <v>4559</v>
      </c>
      <c r="C792" s="10">
        <v>33954</v>
      </c>
      <c r="D792" t="s">
        <v>4560</v>
      </c>
      <c r="E792" t="s">
        <v>4561</v>
      </c>
      <c r="F792" t="s">
        <v>4562</v>
      </c>
      <c r="G792" t="s">
        <v>4563</v>
      </c>
      <c r="H792" s="11">
        <v>43631.964629629598</v>
      </c>
      <c r="I792" s="7" t="s">
        <v>71</v>
      </c>
    </row>
    <row r="793" spans="1:9" ht="15" customHeight="1" x14ac:dyDescent="0.3">
      <c r="A793" t="s">
        <v>4564</v>
      </c>
      <c r="B793" t="s">
        <v>4565</v>
      </c>
      <c r="C793" s="10">
        <v>26772</v>
      </c>
      <c r="D793" t="s">
        <v>4566</v>
      </c>
      <c r="E793" t="s">
        <v>4567</v>
      </c>
      <c r="F793" t="s">
        <v>4568</v>
      </c>
      <c r="G793" t="s">
        <v>4569</v>
      </c>
      <c r="H793" s="11">
        <v>38886.242777777799</v>
      </c>
      <c r="I793" s="7" t="s">
        <v>78</v>
      </c>
    </row>
    <row r="794" spans="1:9" ht="15" customHeight="1" x14ac:dyDescent="0.3">
      <c r="A794" t="s">
        <v>4570</v>
      </c>
      <c r="B794" t="s">
        <v>4571</v>
      </c>
      <c r="C794" s="10">
        <v>31633</v>
      </c>
      <c r="D794" t="s">
        <v>4572</v>
      </c>
      <c r="E794" t="s">
        <v>4573</v>
      </c>
      <c r="F794" t="s">
        <v>4574</v>
      </c>
      <c r="G794" t="s">
        <v>4575</v>
      </c>
      <c r="H794" s="11">
        <v>40023.896273148202</v>
      </c>
      <c r="I794" s="7" t="s">
        <v>71</v>
      </c>
    </row>
    <row r="795" spans="1:9" ht="15" customHeight="1" x14ac:dyDescent="0.3">
      <c r="A795" t="s">
        <v>4576</v>
      </c>
      <c r="B795" t="s">
        <v>4577</v>
      </c>
      <c r="C795" s="10">
        <v>26434</v>
      </c>
      <c r="D795" t="s">
        <v>4578</v>
      </c>
      <c r="E795" t="s">
        <v>4579</v>
      </c>
      <c r="F795" t="s">
        <v>4580</v>
      </c>
      <c r="G795" t="s">
        <v>4581</v>
      </c>
      <c r="H795" s="11">
        <v>40989.7218518519</v>
      </c>
      <c r="I795" s="7" t="s">
        <v>26</v>
      </c>
    </row>
    <row r="796" spans="1:9" ht="15" customHeight="1" x14ac:dyDescent="0.3">
      <c r="A796" t="s">
        <v>4582</v>
      </c>
      <c r="B796" t="s">
        <v>4583</v>
      </c>
      <c r="C796" s="10">
        <v>28639</v>
      </c>
      <c r="D796" t="s">
        <v>4584</v>
      </c>
      <c r="E796" t="s">
        <v>4585</v>
      </c>
      <c r="F796" t="s">
        <v>4586</v>
      </c>
      <c r="G796" t="s">
        <v>4587</v>
      </c>
      <c r="H796" s="11">
        <v>39470.547118055598</v>
      </c>
      <c r="I796" s="7" t="s">
        <v>78</v>
      </c>
    </row>
    <row r="797" spans="1:9" ht="15" customHeight="1" x14ac:dyDescent="0.3">
      <c r="A797" t="s">
        <v>4588</v>
      </c>
      <c r="B797" t="s">
        <v>4589</v>
      </c>
      <c r="C797" s="10">
        <v>28761</v>
      </c>
      <c r="D797" t="s">
        <v>4590</v>
      </c>
      <c r="E797" t="s">
        <v>4591</v>
      </c>
      <c r="F797" t="s">
        <v>4592</v>
      </c>
      <c r="G797" t="s">
        <v>4593</v>
      </c>
      <c r="H797" s="11">
        <v>43582.4245717593</v>
      </c>
      <c r="I797" s="7" t="s">
        <v>33</v>
      </c>
    </row>
    <row r="798" spans="1:9" ht="15" customHeight="1" x14ac:dyDescent="0.3">
      <c r="A798" t="s">
        <v>4594</v>
      </c>
      <c r="B798" t="s">
        <v>4595</v>
      </c>
      <c r="C798" s="10">
        <v>34537</v>
      </c>
      <c r="D798" t="s">
        <v>4596</v>
      </c>
      <c r="E798" t="s">
        <v>4597</v>
      </c>
      <c r="F798" t="s">
        <v>4598</v>
      </c>
      <c r="G798" t="s">
        <v>4599</v>
      </c>
      <c r="H798" s="11">
        <v>42159.413229166697</v>
      </c>
      <c r="I798" s="7" t="s">
        <v>78</v>
      </c>
    </row>
    <row r="799" spans="1:9" ht="15" customHeight="1" x14ac:dyDescent="0.3">
      <c r="A799" t="s">
        <v>4600</v>
      </c>
      <c r="B799" t="s">
        <v>4601</v>
      </c>
      <c r="C799" s="10">
        <v>31783</v>
      </c>
      <c r="D799" t="s">
        <v>4602</v>
      </c>
      <c r="E799" t="s">
        <v>4603</v>
      </c>
      <c r="F799" t="s">
        <v>4604</v>
      </c>
      <c r="G799" t="s">
        <v>4605</v>
      </c>
      <c r="H799" s="11">
        <v>38927.6106828704</v>
      </c>
      <c r="I799" s="7" t="s">
        <v>71</v>
      </c>
    </row>
    <row r="800" spans="1:9" ht="15" customHeight="1" x14ac:dyDescent="0.3">
      <c r="A800" t="s">
        <v>4606</v>
      </c>
      <c r="B800" t="s">
        <v>4607</v>
      </c>
      <c r="C800" s="10">
        <v>34457</v>
      </c>
      <c r="D800" t="s">
        <v>4608</v>
      </c>
      <c r="E800" t="s">
        <v>4609</v>
      </c>
      <c r="F800" t="s">
        <v>4610</v>
      </c>
      <c r="G800" t="s">
        <v>4611</v>
      </c>
      <c r="H800" s="11">
        <v>40090.429664351897</v>
      </c>
      <c r="I800" s="7" t="s">
        <v>26</v>
      </c>
    </row>
    <row r="801" spans="1:9" ht="15" customHeight="1" x14ac:dyDescent="0.3">
      <c r="A801" t="s">
        <v>4612</v>
      </c>
      <c r="B801" t="s">
        <v>4613</v>
      </c>
      <c r="C801" s="10">
        <v>29056</v>
      </c>
      <c r="D801" t="s">
        <v>4614</v>
      </c>
      <c r="E801" t="s">
        <v>4615</v>
      </c>
      <c r="F801" t="s">
        <v>4616</v>
      </c>
      <c r="G801" t="s">
        <v>4617</v>
      </c>
      <c r="H801" s="11">
        <v>38887.5218634259</v>
      </c>
      <c r="I801" s="7" t="s">
        <v>52</v>
      </c>
    </row>
    <row r="802" spans="1:9" ht="15" customHeight="1" x14ac:dyDescent="0.3">
      <c r="A802" t="s">
        <v>4618</v>
      </c>
      <c r="B802" t="s">
        <v>4619</v>
      </c>
      <c r="C802" s="10">
        <v>31861</v>
      </c>
      <c r="D802" t="s">
        <v>4620</v>
      </c>
      <c r="E802" t="s">
        <v>4621</v>
      </c>
      <c r="F802" t="s">
        <v>4622</v>
      </c>
      <c r="G802" t="s">
        <v>4623</v>
      </c>
      <c r="H802" s="11">
        <v>40312.033344907402</v>
      </c>
      <c r="I802" s="7" t="s">
        <v>26</v>
      </c>
    </row>
    <row r="803" spans="1:9" ht="15" customHeight="1" x14ac:dyDescent="0.3">
      <c r="A803" t="s">
        <v>4624</v>
      </c>
      <c r="B803" t="s">
        <v>4625</v>
      </c>
      <c r="C803" s="10">
        <v>36517</v>
      </c>
      <c r="D803" t="s">
        <v>4626</v>
      </c>
      <c r="E803" t="s">
        <v>4627</v>
      </c>
      <c r="F803" t="s">
        <v>4628</v>
      </c>
      <c r="G803" t="s">
        <v>4629</v>
      </c>
      <c r="H803" s="11">
        <v>40591.2633796296</v>
      </c>
      <c r="I803" s="7" t="s">
        <v>78</v>
      </c>
    </row>
    <row r="804" spans="1:9" ht="15" customHeight="1" x14ac:dyDescent="0.3">
      <c r="A804" t="s">
        <v>4630</v>
      </c>
      <c r="B804" t="s">
        <v>4631</v>
      </c>
      <c r="C804" s="10">
        <v>30654</v>
      </c>
      <c r="D804" t="s">
        <v>4632</v>
      </c>
      <c r="E804" t="s">
        <v>4633</v>
      </c>
      <c r="F804" t="s">
        <v>4634</v>
      </c>
      <c r="G804" t="s">
        <v>4635</v>
      </c>
      <c r="H804" s="11">
        <v>42035.980613425898</v>
      </c>
      <c r="I804" s="7" t="s">
        <v>26</v>
      </c>
    </row>
    <row r="805" spans="1:9" ht="15" customHeight="1" x14ac:dyDescent="0.3">
      <c r="A805" t="s">
        <v>4636</v>
      </c>
      <c r="B805" t="s">
        <v>4637</v>
      </c>
      <c r="C805" s="10">
        <v>29657</v>
      </c>
      <c r="D805" t="s">
        <v>4638</v>
      </c>
      <c r="E805" t="s">
        <v>4639</v>
      </c>
      <c r="F805" t="s">
        <v>4640</v>
      </c>
      <c r="G805" t="s">
        <v>4641</v>
      </c>
      <c r="H805" s="11">
        <v>42338.018888888902</v>
      </c>
      <c r="I805" s="7" t="s">
        <v>52</v>
      </c>
    </row>
    <row r="806" spans="1:9" ht="15" customHeight="1" x14ac:dyDescent="0.3">
      <c r="A806" t="s">
        <v>4642</v>
      </c>
      <c r="B806" t="s">
        <v>4643</v>
      </c>
      <c r="C806" s="10">
        <v>32494</v>
      </c>
      <c r="D806" t="s">
        <v>4644</v>
      </c>
      <c r="E806" t="s">
        <v>4645</v>
      </c>
      <c r="F806" t="s">
        <v>4646</v>
      </c>
      <c r="G806" t="s">
        <v>4647</v>
      </c>
      <c r="H806" s="11">
        <v>41664.204872685201</v>
      </c>
      <c r="I806" s="7" t="s">
        <v>78</v>
      </c>
    </row>
    <row r="807" spans="1:9" ht="15" customHeight="1" x14ac:dyDescent="0.3">
      <c r="A807" t="s">
        <v>4648</v>
      </c>
      <c r="B807" t="s">
        <v>4649</v>
      </c>
      <c r="C807" s="10">
        <v>32397</v>
      </c>
      <c r="D807" t="s">
        <v>4650</v>
      </c>
      <c r="E807" t="s">
        <v>4651</v>
      </c>
      <c r="F807" t="s">
        <v>4652</v>
      </c>
      <c r="G807" t="s">
        <v>4653</v>
      </c>
      <c r="H807" s="11">
        <v>42323.799907407403</v>
      </c>
      <c r="I807" s="7" t="s">
        <v>78</v>
      </c>
    </row>
    <row r="808" spans="1:9" ht="15" customHeight="1" x14ac:dyDescent="0.3">
      <c r="A808" t="s">
        <v>4654</v>
      </c>
      <c r="B808" t="s">
        <v>4655</v>
      </c>
      <c r="C808" s="10">
        <v>33086</v>
      </c>
      <c r="D808" t="s">
        <v>4656</v>
      </c>
      <c r="E808" t="s">
        <v>4657</v>
      </c>
      <c r="F808" t="s">
        <v>4658</v>
      </c>
      <c r="G808" t="s">
        <v>4659</v>
      </c>
      <c r="H808" s="11">
        <v>40806.9602199074</v>
      </c>
      <c r="I808" s="7" t="s">
        <v>78</v>
      </c>
    </row>
    <row r="809" spans="1:9" ht="15" customHeight="1" x14ac:dyDescent="0.3">
      <c r="A809" t="s">
        <v>4660</v>
      </c>
      <c r="B809" t="s">
        <v>4661</v>
      </c>
      <c r="C809" s="10">
        <v>31304</v>
      </c>
      <c r="D809" t="s">
        <v>4662</v>
      </c>
      <c r="E809" t="s">
        <v>4663</v>
      </c>
      <c r="F809" t="s">
        <v>4664</v>
      </c>
      <c r="G809" t="s">
        <v>4665</v>
      </c>
      <c r="H809" s="11">
        <v>40963.2253472222</v>
      </c>
      <c r="I809" s="7" t="s">
        <v>78</v>
      </c>
    </row>
    <row r="810" spans="1:9" ht="15" customHeight="1" x14ac:dyDescent="0.3">
      <c r="A810" t="s">
        <v>4666</v>
      </c>
      <c r="B810" t="s">
        <v>4667</v>
      </c>
      <c r="C810" s="10">
        <v>26532</v>
      </c>
      <c r="D810" t="s">
        <v>4668</v>
      </c>
      <c r="E810" t="s">
        <v>4669</v>
      </c>
      <c r="F810" t="s">
        <v>4670</v>
      </c>
      <c r="G810" t="s">
        <v>4671</v>
      </c>
      <c r="H810" s="11">
        <v>40486.532615740703</v>
      </c>
      <c r="I810" s="7" t="s">
        <v>71</v>
      </c>
    </row>
    <row r="811" spans="1:9" ht="15" customHeight="1" x14ac:dyDescent="0.3">
      <c r="A811" t="s">
        <v>4672</v>
      </c>
      <c r="B811" t="s">
        <v>4673</v>
      </c>
      <c r="C811" s="10">
        <v>30828</v>
      </c>
      <c r="D811" t="s">
        <v>4674</v>
      </c>
      <c r="E811" t="s">
        <v>4675</v>
      </c>
      <c r="F811" t="s">
        <v>4676</v>
      </c>
      <c r="G811" t="s">
        <v>4677</v>
      </c>
      <c r="H811" s="11">
        <v>41171.256562499999</v>
      </c>
      <c r="I811" s="7" t="s">
        <v>52</v>
      </c>
    </row>
    <row r="812" spans="1:9" ht="15" customHeight="1" x14ac:dyDescent="0.3">
      <c r="A812" t="s">
        <v>4678</v>
      </c>
      <c r="B812" t="s">
        <v>4679</v>
      </c>
      <c r="C812" s="10">
        <v>29492</v>
      </c>
      <c r="D812" t="s">
        <v>4680</v>
      </c>
      <c r="E812" t="s">
        <v>4681</v>
      </c>
      <c r="F812" t="s">
        <v>4682</v>
      </c>
      <c r="G812" t="s">
        <v>4683</v>
      </c>
      <c r="H812" s="11">
        <v>41370.414791666699</v>
      </c>
      <c r="I812" s="7" t="s">
        <v>78</v>
      </c>
    </row>
    <row r="813" spans="1:9" ht="15" customHeight="1" x14ac:dyDescent="0.3">
      <c r="A813" t="s">
        <v>4684</v>
      </c>
      <c r="B813" t="s">
        <v>4685</v>
      </c>
      <c r="C813" s="10">
        <v>35014</v>
      </c>
      <c r="D813" t="s">
        <v>4686</v>
      </c>
      <c r="E813" t="s">
        <v>4687</v>
      </c>
      <c r="F813" t="s">
        <v>4688</v>
      </c>
      <c r="G813" t="s">
        <v>4689</v>
      </c>
      <c r="H813" s="11">
        <v>44052.716666666704</v>
      </c>
      <c r="I813" s="7" t="s">
        <v>26</v>
      </c>
    </row>
    <row r="814" spans="1:9" ht="15" customHeight="1" x14ac:dyDescent="0.3">
      <c r="A814" t="s">
        <v>4690</v>
      </c>
      <c r="B814" t="s">
        <v>4691</v>
      </c>
      <c r="C814" s="10">
        <v>31756</v>
      </c>
      <c r="D814" t="s">
        <v>4692</v>
      </c>
      <c r="E814" t="s">
        <v>4693</v>
      </c>
      <c r="F814" t="s">
        <v>4694</v>
      </c>
      <c r="G814" t="s">
        <v>4695</v>
      </c>
      <c r="H814" s="11">
        <v>43587.988368055601</v>
      </c>
      <c r="I814" s="7" t="s">
        <v>71</v>
      </c>
    </row>
    <row r="815" spans="1:9" ht="15" customHeight="1" x14ac:dyDescent="0.3">
      <c r="A815" t="s">
        <v>4696</v>
      </c>
      <c r="B815" t="s">
        <v>4697</v>
      </c>
      <c r="C815" s="10">
        <v>35934</v>
      </c>
      <c r="D815" t="s">
        <v>4698</v>
      </c>
      <c r="E815" t="s">
        <v>4699</v>
      </c>
      <c r="F815" t="s">
        <v>4700</v>
      </c>
      <c r="G815" t="s">
        <v>4701</v>
      </c>
      <c r="H815" s="11">
        <v>39796.232534722199</v>
      </c>
      <c r="I815" s="7" t="s">
        <v>52</v>
      </c>
    </row>
    <row r="816" spans="1:9" ht="15" customHeight="1" x14ac:dyDescent="0.3">
      <c r="A816" t="s">
        <v>4702</v>
      </c>
      <c r="B816" t="s">
        <v>4703</v>
      </c>
      <c r="C816" s="10">
        <v>29599</v>
      </c>
      <c r="D816" t="s">
        <v>4704</v>
      </c>
      <c r="E816" t="s">
        <v>4705</v>
      </c>
      <c r="F816" t="s">
        <v>4706</v>
      </c>
      <c r="G816" t="s">
        <v>4707</v>
      </c>
      <c r="H816" s="11">
        <v>42207.666956018496</v>
      </c>
      <c r="I816" s="7" t="s">
        <v>26</v>
      </c>
    </row>
    <row r="817" spans="1:9" ht="15" customHeight="1" x14ac:dyDescent="0.3">
      <c r="A817" t="s">
        <v>4708</v>
      </c>
      <c r="B817" t="s">
        <v>4709</v>
      </c>
      <c r="C817" s="10">
        <v>32948</v>
      </c>
      <c r="D817" t="s">
        <v>4710</v>
      </c>
      <c r="E817" t="s">
        <v>4711</v>
      </c>
      <c r="F817" t="s">
        <v>4712</v>
      </c>
      <c r="G817" t="s">
        <v>4713</v>
      </c>
      <c r="H817" s="11">
        <v>43589.778611111098</v>
      </c>
      <c r="I817" s="7" t="s">
        <v>52</v>
      </c>
    </row>
    <row r="818" spans="1:9" ht="15" customHeight="1" x14ac:dyDescent="0.3">
      <c r="A818" t="s">
        <v>4714</v>
      </c>
      <c r="B818" t="s">
        <v>4715</v>
      </c>
      <c r="C818" s="10">
        <v>33483</v>
      </c>
      <c r="D818" t="s">
        <v>4716</v>
      </c>
      <c r="E818" t="s">
        <v>4717</v>
      </c>
      <c r="F818" t="s">
        <v>4718</v>
      </c>
      <c r="G818" t="s">
        <v>4719</v>
      </c>
      <c r="H818" s="11">
        <v>38547.350185185198</v>
      </c>
      <c r="I818" s="7" t="s">
        <v>26</v>
      </c>
    </row>
    <row r="819" spans="1:9" ht="15" customHeight="1" x14ac:dyDescent="0.3">
      <c r="A819" t="s">
        <v>4720</v>
      </c>
      <c r="B819" t="s">
        <v>4721</v>
      </c>
      <c r="C819" s="10">
        <v>33989</v>
      </c>
      <c r="D819" t="s">
        <v>4722</v>
      </c>
      <c r="E819" t="s">
        <v>4723</v>
      </c>
      <c r="F819" t="s">
        <v>4724</v>
      </c>
      <c r="G819" t="s">
        <v>4725</v>
      </c>
      <c r="H819" s="11">
        <v>42586.212048611102</v>
      </c>
      <c r="I819" s="7" t="s">
        <v>71</v>
      </c>
    </row>
    <row r="820" spans="1:9" ht="15" customHeight="1" x14ac:dyDescent="0.3">
      <c r="A820" t="s">
        <v>4726</v>
      </c>
      <c r="B820" t="s">
        <v>4727</v>
      </c>
      <c r="C820" s="10">
        <v>29122</v>
      </c>
      <c r="D820" t="s">
        <v>4728</v>
      </c>
      <c r="E820" t="s">
        <v>4729</v>
      </c>
      <c r="F820" t="s">
        <v>4730</v>
      </c>
      <c r="G820" t="s">
        <v>4731</v>
      </c>
      <c r="H820" s="11">
        <v>41746.048067129603</v>
      </c>
      <c r="I820" s="7" t="s">
        <v>78</v>
      </c>
    </row>
    <row r="821" spans="1:9" ht="15" customHeight="1" x14ac:dyDescent="0.3">
      <c r="A821" t="s">
        <v>4732</v>
      </c>
      <c r="B821" t="s">
        <v>4733</v>
      </c>
      <c r="C821" s="10">
        <v>33208</v>
      </c>
      <c r="D821" t="s">
        <v>4734</v>
      </c>
      <c r="E821" t="s">
        <v>4735</v>
      </c>
      <c r="F821" t="s">
        <v>4736</v>
      </c>
      <c r="G821" t="s">
        <v>4737</v>
      </c>
      <c r="H821" s="11">
        <v>39106.202685185199</v>
      </c>
      <c r="I821" s="7" t="s">
        <v>78</v>
      </c>
    </row>
    <row r="822" spans="1:9" ht="15" customHeight="1" x14ac:dyDescent="0.3">
      <c r="A822" t="s">
        <v>4738</v>
      </c>
      <c r="B822" t="s">
        <v>4739</v>
      </c>
      <c r="C822" s="10">
        <v>35186</v>
      </c>
      <c r="D822" t="s">
        <v>4740</v>
      </c>
      <c r="E822" t="s">
        <v>56</v>
      </c>
      <c r="F822" t="s">
        <v>4741</v>
      </c>
      <c r="G822" t="s">
        <v>4742</v>
      </c>
      <c r="H822" s="11">
        <v>44070.450092592597</v>
      </c>
      <c r="I822" s="7" t="s">
        <v>71</v>
      </c>
    </row>
    <row r="823" spans="1:9" ht="15" customHeight="1" x14ac:dyDescent="0.3">
      <c r="A823" t="s">
        <v>4743</v>
      </c>
      <c r="B823" t="s">
        <v>4744</v>
      </c>
      <c r="C823" s="10">
        <v>29486</v>
      </c>
      <c r="D823" t="s">
        <v>4745</v>
      </c>
      <c r="E823" t="s">
        <v>4746</v>
      </c>
      <c r="F823" t="s">
        <v>4747</v>
      </c>
      <c r="G823" t="s">
        <v>4748</v>
      </c>
      <c r="H823" s="11">
        <v>40116.971817129597</v>
      </c>
      <c r="I823" s="7" t="s">
        <v>26</v>
      </c>
    </row>
    <row r="824" spans="1:9" ht="15" customHeight="1" x14ac:dyDescent="0.3">
      <c r="A824" t="s">
        <v>4749</v>
      </c>
      <c r="B824" t="s">
        <v>4750</v>
      </c>
      <c r="C824" s="10">
        <v>28084</v>
      </c>
      <c r="D824" t="s">
        <v>4751</v>
      </c>
      <c r="E824" t="s">
        <v>4752</v>
      </c>
      <c r="F824" t="s">
        <v>4753</v>
      </c>
      <c r="G824" t="s">
        <v>4754</v>
      </c>
      <c r="H824" s="11">
        <v>40417.572175925903</v>
      </c>
      <c r="I824" s="7" t="s">
        <v>33</v>
      </c>
    </row>
    <row r="825" spans="1:9" ht="15" customHeight="1" x14ac:dyDescent="0.3">
      <c r="A825" t="s">
        <v>4755</v>
      </c>
      <c r="B825" t="s">
        <v>4756</v>
      </c>
      <c r="C825" s="10">
        <v>28431</v>
      </c>
      <c r="D825" t="s">
        <v>4757</v>
      </c>
      <c r="E825" t="s">
        <v>4758</v>
      </c>
      <c r="F825" t="s">
        <v>4759</v>
      </c>
      <c r="G825" t="s">
        <v>4760</v>
      </c>
      <c r="H825" s="11">
        <v>42375.7717708333</v>
      </c>
      <c r="I825" s="7" t="s">
        <v>71</v>
      </c>
    </row>
    <row r="826" spans="1:9" ht="15" customHeight="1" x14ac:dyDescent="0.3">
      <c r="A826" t="s">
        <v>4761</v>
      </c>
      <c r="B826" t="s">
        <v>4762</v>
      </c>
      <c r="C826" s="10">
        <v>26340</v>
      </c>
      <c r="D826" t="s">
        <v>4763</v>
      </c>
      <c r="E826" t="s">
        <v>4764</v>
      </c>
      <c r="F826" t="s">
        <v>4765</v>
      </c>
      <c r="G826" t="s">
        <v>4766</v>
      </c>
      <c r="H826" s="11">
        <v>38687.856296296297</v>
      </c>
      <c r="I826" s="7" t="s">
        <v>26</v>
      </c>
    </row>
    <row r="827" spans="1:9" ht="15" customHeight="1" x14ac:dyDescent="0.3">
      <c r="A827" t="s">
        <v>4767</v>
      </c>
      <c r="B827" t="s">
        <v>4768</v>
      </c>
      <c r="C827" s="10">
        <v>29490</v>
      </c>
      <c r="D827" t="s">
        <v>4769</v>
      </c>
      <c r="E827" t="s">
        <v>4770</v>
      </c>
      <c r="F827" t="s">
        <v>4771</v>
      </c>
      <c r="G827" t="s">
        <v>4772</v>
      </c>
      <c r="H827" s="11">
        <v>38421.332129629598</v>
      </c>
      <c r="I827" s="7" t="s">
        <v>33</v>
      </c>
    </row>
    <row r="828" spans="1:9" ht="15" customHeight="1" x14ac:dyDescent="0.3">
      <c r="A828" t="s">
        <v>4773</v>
      </c>
      <c r="B828" t="s">
        <v>4774</v>
      </c>
      <c r="C828" s="10">
        <v>34441</v>
      </c>
      <c r="D828" t="s">
        <v>4775</v>
      </c>
      <c r="E828" t="s">
        <v>4776</v>
      </c>
      <c r="F828" t="s">
        <v>4777</v>
      </c>
      <c r="G828" t="s">
        <v>4778</v>
      </c>
      <c r="H828" s="11">
        <v>44075.330231481501</v>
      </c>
      <c r="I828" s="7" t="s">
        <v>78</v>
      </c>
    </row>
    <row r="829" spans="1:9" ht="15" customHeight="1" x14ac:dyDescent="0.3">
      <c r="A829" t="s">
        <v>4779</v>
      </c>
      <c r="B829" t="s">
        <v>4780</v>
      </c>
      <c r="C829" s="10">
        <v>33904</v>
      </c>
      <c r="D829" t="s">
        <v>4781</v>
      </c>
      <c r="E829" t="s">
        <v>4782</v>
      </c>
      <c r="F829" t="s">
        <v>4783</v>
      </c>
      <c r="G829" t="s">
        <v>4784</v>
      </c>
      <c r="H829" s="11">
        <v>38820.2569560185</v>
      </c>
      <c r="I829" s="7" t="s">
        <v>52</v>
      </c>
    </row>
    <row r="830" spans="1:9" ht="15" customHeight="1" x14ac:dyDescent="0.3">
      <c r="A830" t="s">
        <v>4785</v>
      </c>
      <c r="B830" t="s">
        <v>4786</v>
      </c>
      <c r="C830" s="10">
        <v>31400</v>
      </c>
      <c r="D830" t="s">
        <v>4787</v>
      </c>
      <c r="E830" t="s">
        <v>4788</v>
      </c>
      <c r="F830" t="s">
        <v>4789</v>
      </c>
      <c r="G830" t="s">
        <v>4790</v>
      </c>
      <c r="H830" s="11">
        <v>39019.742615740703</v>
      </c>
      <c r="I830" s="7" t="s">
        <v>26</v>
      </c>
    </row>
    <row r="831" spans="1:9" ht="15" customHeight="1" x14ac:dyDescent="0.3">
      <c r="A831" t="s">
        <v>4791</v>
      </c>
      <c r="B831" t="s">
        <v>4792</v>
      </c>
      <c r="C831" s="10">
        <v>32488</v>
      </c>
      <c r="D831" t="s">
        <v>4793</v>
      </c>
      <c r="E831" t="s">
        <v>4794</v>
      </c>
      <c r="F831" t="s">
        <v>4795</v>
      </c>
      <c r="G831" t="s">
        <v>4796</v>
      </c>
      <c r="H831" s="11">
        <v>40188.9465740741</v>
      </c>
      <c r="I831" s="7" t="s">
        <v>26</v>
      </c>
    </row>
    <row r="832" spans="1:9" ht="15" customHeight="1" x14ac:dyDescent="0.3">
      <c r="A832" t="s">
        <v>4797</v>
      </c>
      <c r="B832" t="s">
        <v>4798</v>
      </c>
      <c r="C832" s="10">
        <v>29778</v>
      </c>
      <c r="D832" t="s">
        <v>4799</v>
      </c>
      <c r="E832" t="s">
        <v>4800</v>
      </c>
      <c r="F832" t="s">
        <v>4801</v>
      </c>
      <c r="G832" t="s">
        <v>4802</v>
      </c>
      <c r="H832" s="11">
        <v>43566.589537036998</v>
      </c>
      <c r="I832" s="7" t="s">
        <v>52</v>
      </c>
    </row>
    <row r="833" spans="1:9" ht="15" customHeight="1" x14ac:dyDescent="0.3">
      <c r="A833" t="s">
        <v>4803</v>
      </c>
      <c r="B833" t="s">
        <v>4804</v>
      </c>
      <c r="C833" s="10">
        <v>28664</v>
      </c>
      <c r="D833" t="s">
        <v>4805</v>
      </c>
      <c r="E833" t="s">
        <v>4806</v>
      </c>
      <c r="F833" t="s">
        <v>4807</v>
      </c>
      <c r="G833" t="s">
        <v>4808</v>
      </c>
      <c r="H833" s="11">
        <v>43217.863692129598</v>
      </c>
      <c r="I833" s="7" t="s">
        <v>71</v>
      </c>
    </row>
    <row r="834" spans="1:9" ht="15" customHeight="1" x14ac:dyDescent="0.3">
      <c r="A834" t="s">
        <v>4809</v>
      </c>
      <c r="B834" t="s">
        <v>4810</v>
      </c>
      <c r="C834" s="10">
        <v>30360</v>
      </c>
      <c r="D834" t="s">
        <v>4811</v>
      </c>
      <c r="E834" t="s">
        <v>4812</v>
      </c>
      <c r="F834" t="s">
        <v>4813</v>
      </c>
      <c r="G834" t="s">
        <v>4814</v>
      </c>
      <c r="H834" s="11">
        <v>42706.903229166703</v>
      </c>
      <c r="I834" s="7" t="s">
        <v>26</v>
      </c>
    </row>
    <row r="835" spans="1:9" ht="15" customHeight="1" x14ac:dyDescent="0.3">
      <c r="A835" t="s">
        <v>4815</v>
      </c>
      <c r="B835" t="s">
        <v>4816</v>
      </c>
      <c r="C835" s="10">
        <v>28732</v>
      </c>
      <c r="D835" t="s">
        <v>4817</v>
      </c>
      <c r="E835" t="s">
        <v>4818</v>
      </c>
      <c r="F835" t="s">
        <v>4819</v>
      </c>
      <c r="G835" t="s">
        <v>4820</v>
      </c>
      <c r="H835" s="11">
        <v>41055.4433333333</v>
      </c>
      <c r="I835" s="7" t="s">
        <v>33</v>
      </c>
    </row>
    <row r="836" spans="1:9" ht="15" customHeight="1" x14ac:dyDescent="0.3">
      <c r="A836" t="s">
        <v>4821</v>
      </c>
      <c r="B836" t="s">
        <v>4822</v>
      </c>
      <c r="C836" s="10">
        <v>35995</v>
      </c>
      <c r="D836" t="s">
        <v>4823</v>
      </c>
      <c r="E836" t="s">
        <v>4824</v>
      </c>
      <c r="F836" t="s">
        <v>4825</v>
      </c>
      <c r="G836" t="s">
        <v>4826</v>
      </c>
      <c r="H836" s="11">
        <v>43742.646041666703</v>
      </c>
      <c r="I836" s="7" t="s">
        <v>71</v>
      </c>
    </row>
    <row r="837" spans="1:9" ht="15" customHeight="1" x14ac:dyDescent="0.3">
      <c r="A837" t="s">
        <v>4827</v>
      </c>
      <c r="B837" t="s">
        <v>4828</v>
      </c>
      <c r="C837" s="10">
        <v>35000</v>
      </c>
      <c r="D837" t="s">
        <v>4829</v>
      </c>
      <c r="E837" t="s">
        <v>4830</v>
      </c>
      <c r="F837" t="s">
        <v>4831</v>
      </c>
      <c r="G837" t="s">
        <v>4832</v>
      </c>
      <c r="H837" s="11">
        <v>41098.8354398148</v>
      </c>
      <c r="I837" s="7" t="s">
        <v>26</v>
      </c>
    </row>
    <row r="838" spans="1:9" ht="15" customHeight="1" x14ac:dyDescent="0.3">
      <c r="A838" t="s">
        <v>4833</v>
      </c>
      <c r="B838" t="s">
        <v>4834</v>
      </c>
      <c r="C838" s="10">
        <v>33053</v>
      </c>
      <c r="D838" t="s">
        <v>4835</v>
      </c>
      <c r="E838" t="s">
        <v>4836</v>
      </c>
      <c r="F838" t="s">
        <v>4837</v>
      </c>
      <c r="G838" t="s">
        <v>4838</v>
      </c>
      <c r="H838" s="11">
        <v>43205.605092592603</v>
      </c>
      <c r="I838" s="7" t="s">
        <v>78</v>
      </c>
    </row>
    <row r="839" spans="1:9" ht="15" customHeight="1" x14ac:dyDescent="0.3">
      <c r="A839" t="s">
        <v>4839</v>
      </c>
      <c r="B839" t="s">
        <v>4840</v>
      </c>
      <c r="C839" s="10">
        <v>29322</v>
      </c>
      <c r="D839" t="s">
        <v>4841</v>
      </c>
      <c r="E839" t="s">
        <v>4842</v>
      </c>
      <c r="F839" t="s">
        <v>4843</v>
      </c>
      <c r="G839" t="s">
        <v>4844</v>
      </c>
      <c r="H839" s="11">
        <v>42927.409386574102</v>
      </c>
      <c r="I839" s="7" t="s">
        <v>26</v>
      </c>
    </row>
    <row r="840" spans="1:9" ht="15" customHeight="1" x14ac:dyDescent="0.3">
      <c r="A840" t="s">
        <v>4845</v>
      </c>
      <c r="B840" t="s">
        <v>4846</v>
      </c>
      <c r="C840" s="10">
        <v>27727</v>
      </c>
      <c r="D840" t="s">
        <v>4847</v>
      </c>
      <c r="E840" t="s">
        <v>4848</v>
      </c>
      <c r="F840" t="s">
        <v>4849</v>
      </c>
      <c r="G840" t="s">
        <v>4850</v>
      </c>
      <c r="H840" s="11">
        <v>42081.129780092597</v>
      </c>
      <c r="I840" s="7" t="s">
        <v>78</v>
      </c>
    </row>
    <row r="841" spans="1:9" ht="15" customHeight="1" x14ac:dyDescent="0.3">
      <c r="A841" t="s">
        <v>4851</v>
      </c>
      <c r="B841" t="s">
        <v>4852</v>
      </c>
      <c r="C841" s="10">
        <v>28387</v>
      </c>
      <c r="D841" t="s">
        <v>4853</v>
      </c>
      <c r="E841" t="s">
        <v>4854</v>
      </c>
      <c r="F841" t="s">
        <v>4855</v>
      </c>
      <c r="G841" t="s">
        <v>4856</v>
      </c>
      <c r="H841" s="11">
        <v>43388.995474536998</v>
      </c>
      <c r="I841" s="7" t="s">
        <v>78</v>
      </c>
    </row>
    <row r="842" spans="1:9" ht="15" customHeight="1" x14ac:dyDescent="0.3">
      <c r="A842" t="s">
        <v>4857</v>
      </c>
      <c r="B842" t="s">
        <v>4858</v>
      </c>
      <c r="C842" s="10">
        <v>33365</v>
      </c>
      <c r="D842" t="s">
        <v>4859</v>
      </c>
      <c r="E842" t="s">
        <v>4860</v>
      </c>
      <c r="F842" t="s">
        <v>4861</v>
      </c>
      <c r="G842" t="s">
        <v>4862</v>
      </c>
      <c r="H842" s="11">
        <v>43132.967638888898</v>
      </c>
      <c r="I842" s="7" t="s">
        <v>52</v>
      </c>
    </row>
    <row r="843" spans="1:9" ht="15" customHeight="1" x14ac:dyDescent="0.3">
      <c r="A843" t="s">
        <v>4863</v>
      </c>
      <c r="B843" t="s">
        <v>4864</v>
      </c>
      <c r="C843" s="10">
        <v>28089</v>
      </c>
      <c r="D843" t="s">
        <v>4865</v>
      </c>
      <c r="E843" t="s">
        <v>4866</v>
      </c>
      <c r="F843" t="s">
        <v>4867</v>
      </c>
      <c r="G843" t="s">
        <v>4868</v>
      </c>
      <c r="H843" s="11">
        <v>44323.760983796303</v>
      </c>
      <c r="I843" s="7" t="s">
        <v>71</v>
      </c>
    </row>
    <row r="844" spans="1:9" ht="15" customHeight="1" x14ac:dyDescent="0.3">
      <c r="A844" t="s">
        <v>4869</v>
      </c>
      <c r="B844" t="s">
        <v>4870</v>
      </c>
      <c r="C844" s="10">
        <v>31633</v>
      </c>
      <c r="D844" t="s">
        <v>4871</v>
      </c>
      <c r="E844" t="s">
        <v>4872</v>
      </c>
      <c r="F844" t="s">
        <v>4873</v>
      </c>
      <c r="G844" t="s">
        <v>4874</v>
      </c>
      <c r="H844" s="11">
        <v>38688.236412036997</v>
      </c>
      <c r="I844" s="7" t="s">
        <v>26</v>
      </c>
    </row>
    <row r="845" spans="1:9" ht="15" customHeight="1" x14ac:dyDescent="0.3">
      <c r="A845" t="s">
        <v>4875</v>
      </c>
      <c r="B845" t="s">
        <v>4876</v>
      </c>
      <c r="C845" s="10">
        <v>28084</v>
      </c>
      <c r="D845" t="s">
        <v>4877</v>
      </c>
      <c r="E845" t="s">
        <v>4878</v>
      </c>
      <c r="F845" t="s">
        <v>4879</v>
      </c>
      <c r="G845" t="s">
        <v>4880</v>
      </c>
      <c r="H845" s="11">
        <v>42853.287337962996</v>
      </c>
      <c r="I845" s="7" t="s">
        <v>26</v>
      </c>
    </row>
    <row r="846" spans="1:9" ht="15" customHeight="1" x14ac:dyDescent="0.3">
      <c r="A846" t="s">
        <v>4881</v>
      </c>
      <c r="B846" t="s">
        <v>4882</v>
      </c>
      <c r="C846" s="10">
        <v>28175</v>
      </c>
      <c r="D846" t="s">
        <v>4883</v>
      </c>
      <c r="E846" t="s">
        <v>4884</v>
      </c>
      <c r="F846" t="s">
        <v>4885</v>
      </c>
      <c r="G846" t="s">
        <v>4886</v>
      </c>
      <c r="H846" s="11">
        <v>41732.928414351903</v>
      </c>
      <c r="I846" s="7" t="s">
        <v>52</v>
      </c>
    </row>
    <row r="847" spans="1:9" ht="15" customHeight="1" x14ac:dyDescent="0.3">
      <c r="A847" t="s">
        <v>4887</v>
      </c>
      <c r="B847" t="s">
        <v>4888</v>
      </c>
      <c r="C847" s="10">
        <v>33633</v>
      </c>
      <c r="D847" t="s">
        <v>4889</v>
      </c>
      <c r="E847" t="s">
        <v>4890</v>
      </c>
      <c r="F847" t="s">
        <v>4891</v>
      </c>
      <c r="G847" t="s">
        <v>4892</v>
      </c>
      <c r="H847" s="11">
        <v>42777.051226851901</v>
      </c>
      <c r="I847" s="7" t="s">
        <v>52</v>
      </c>
    </row>
    <row r="848" spans="1:9" ht="15" customHeight="1" x14ac:dyDescent="0.3">
      <c r="A848" t="s">
        <v>4893</v>
      </c>
      <c r="B848" t="s">
        <v>4894</v>
      </c>
      <c r="C848" s="10">
        <v>26846</v>
      </c>
      <c r="D848" t="s">
        <v>4895</v>
      </c>
      <c r="E848" t="s">
        <v>4896</v>
      </c>
      <c r="F848" t="s">
        <v>4897</v>
      </c>
      <c r="G848" t="s">
        <v>2042</v>
      </c>
      <c r="H848" s="11">
        <v>41930.6400810185</v>
      </c>
      <c r="I848" s="7" t="s">
        <v>33</v>
      </c>
    </row>
    <row r="849" spans="1:9" ht="15" customHeight="1" x14ac:dyDescent="0.3">
      <c r="A849" t="s">
        <v>4898</v>
      </c>
      <c r="B849" t="s">
        <v>4899</v>
      </c>
      <c r="C849" s="10">
        <v>26398</v>
      </c>
      <c r="D849" t="s">
        <v>4900</v>
      </c>
      <c r="E849" t="s">
        <v>4901</v>
      </c>
      <c r="F849" t="s">
        <v>4902</v>
      </c>
      <c r="G849" t="s">
        <v>4903</v>
      </c>
      <c r="H849" s="11">
        <v>43341.440983796303</v>
      </c>
      <c r="I849" s="7" t="s">
        <v>52</v>
      </c>
    </row>
    <row r="850" spans="1:9" ht="15" customHeight="1" x14ac:dyDescent="0.3">
      <c r="A850" t="s">
        <v>4904</v>
      </c>
      <c r="B850" t="s">
        <v>4905</v>
      </c>
      <c r="C850" s="10">
        <v>33630</v>
      </c>
      <c r="D850" t="s">
        <v>4906</v>
      </c>
      <c r="E850" t="s">
        <v>4907</v>
      </c>
      <c r="F850" t="s">
        <v>4908</v>
      </c>
      <c r="G850" t="s">
        <v>4909</v>
      </c>
      <c r="H850" s="11">
        <v>42762.7719097222</v>
      </c>
      <c r="I850" s="7" t="s">
        <v>26</v>
      </c>
    </row>
    <row r="851" spans="1:9" ht="15" customHeight="1" x14ac:dyDescent="0.3">
      <c r="A851" t="s">
        <v>4910</v>
      </c>
      <c r="B851" t="s">
        <v>4911</v>
      </c>
      <c r="C851" s="10">
        <v>36499</v>
      </c>
      <c r="D851" t="s">
        <v>4912</v>
      </c>
      <c r="E851" t="s">
        <v>4913</v>
      </c>
      <c r="F851" t="s">
        <v>4914</v>
      </c>
      <c r="G851" t="s">
        <v>4915</v>
      </c>
      <c r="H851" s="11">
        <v>41050.649305555598</v>
      </c>
      <c r="I851" s="7" t="s">
        <v>26</v>
      </c>
    </row>
    <row r="852" spans="1:9" ht="15" customHeight="1" x14ac:dyDescent="0.3">
      <c r="A852" t="s">
        <v>4916</v>
      </c>
      <c r="B852" t="s">
        <v>4917</v>
      </c>
      <c r="C852" s="10">
        <v>27653</v>
      </c>
      <c r="D852" t="s">
        <v>4918</v>
      </c>
      <c r="E852" t="s">
        <v>4919</v>
      </c>
      <c r="F852" t="s">
        <v>4920</v>
      </c>
      <c r="G852" t="s">
        <v>4921</v>
      </c>
      <c r="H852" s="11">
        <v>43680.319317129601</v>
      </c>
      <c r="I852" s="7" t="s">
        <v>33</v>
      </c>
    </row>
    <row r="853" spans="1:9" ht="15" customHeight="1" x14ac:dyDescent="0.3">
      <c r="A853" t="s">
        <v>4922</v>
      </c>
      <c r="B853" t="s">
        <v>4923</v>
      </c>
      <c r="C853" s="10">
        <v>31700</v>
      </c>
      <c r="D853" t="s">
        <v>4924</v>
      </c>
      <c r="E853" t="s">
        <v>4925</v>
      </c>
      <c r="F853" t="s">
        <v>4926</v>
      </c>
      <c r="G853" t="s">
        <v>4927</v>
      </c>
      <c r="H853" s="11">
        <v>44322.075925925899</v>
      </c>
      <c r="I853" s="7" t="s">
        <v>33</v>
      </c>
    </row>
    <row r="854" spans="1:9" ht="15" customHeight="1" x14ac:dyDescent="0.3">
      <c r="A854" t="s">
        <v>4928</v>
      </c>
      <c r="B854" t="s">
        <v>4929</v>
      </c>
      <c r="C854" s="10">
        <v>29524</v>
      </c>
      <c r="D854" t="s">
        <v>4930</v>
      </c>
      <c r="E854" t="s">
        <v>4931</v>
      </c>
      <c r="F854" t="s">
        <v>4932</v>
      </c>
      <c r="G854" t="s">
        <v>4933</v>
      </c>
      <c r="H854" s="11">
        <v>39833.199189814797</v>
      </c>
      <c r="I854" s="7" t="s">
        <v>26</v>
      </c>
    </row>
    <row r="855" spans="1:9" ht="15" customHeight="1" x14ac:dyDescent="0.3">
      <c r="A855" t="s">
        <v>4934</v>
      </c>
      <c r="B855" t="s">
        <v>4935</v>
      </c>
      <c r="C855" s="10">
        <v>30587</v>
      </c>
      <c r="D855" t="s">
        <v>4936</v>
      </c>
      <c r="E855" t="s">
        <v>4937</v>
      </c>
      <c r="F855" t="s">
        <v>4938</v>
      </c>
      <c r="G855" t="s">
        <v>4939</v>
      </c>
      <c r="H855" s="11">
        <v>44326.501990740697</v>
      </c>
      <c r="I855" s="7" t="s">
        <v>33</v>
      </c>
    </row>
    <row r="856" spans="1:9" ht="15" customHeight="1" x14ac:dyDescent="0.3">
      <c r="A856" t="s">
        <v>4940</v>
      </c>
      <c r="B856" t="s">
        <v>4941</v>
      </c>
      <c r="C856" s="10">
        <v>30437</v>
      </c>
      <c r="D856" t="s">
        <v>4942</v>
      </c>
      <c r="E856" t="s">
        <v>4943</v>
      </c>
      <c r="F856" t="s">
        <v>4944</v>
      </c>
      <c r="G856" t="s">
        <v>4945</v>
      </c>
      <c r="H856" s="11">
        <v>42675.536296296297</v>
      </c>
      <c r="I856" s="7" t="s">
        <v>71</v>
      </c>
    </row>
    <row r="857" spans="1:9" ht="15" customHeight="1" x14ac:dyDescent="0.3">
      <c r="A857" t="s">
        <v>4946</v>
      </c>
      <c r="B857" t="s">
        <v>4947</v>
      </c>
      <c r="C857" s="10">
        <v>30140</v>
      </c>
      <c r="D857" t="s">
        <v>4948</v>
      </c>
      <c r="E857" t="s">
        <v>4949</v>
      </c>
      <c r="F857" t="s">
        <v>4950</v>
      </c>
      <c r="G857" t="s">
        <v>4951</v>
      </c>
      <c r="H857" s="11">
        <v>41049.856284722198</v>
      </c>
      <c r="I857" s="7" t="s">
        <v>26</v>
      </c>
    </row>
    <row r="858" spans="1:9" ht="15" customHeight="1" x14ac:dyDescent="0.3">
      <c r="A858" t="s">
        <v>4952</v>
      </c>
      <c r="B858" t="s">
        <v>4953</v>
      </c>
      <c r="C858" s="10">
        <v>27421</v>
      </c>
      <c r="D858" t="s">
        <v>4954</v>
      </c>
      <c r="E858" t="s">
        <v>4955</v>
      </c>
      <c r="F858" t="s">
        <v>4956</v>
      </c>
      <c r="G858" t="s">
        <v>4957</v>
      </c>
      <c r="H858" s="11">
        <v>40755.063148148198</v>
      </c>
      <c r="I858" s="7" t="s">
        <v>78</v>
      </c>
    </row>
    <row r="859" spans="1:9" ht="15" customHeight="1" x14ac:dyDescent="0.3">
      <c r="A859" t="s">
        <v>4958</v>
      </c>
      <c r="B859" t="s">
        <v>4959</v>
      </c>
      <c r="C859" s="10">
        <v>28730</v>
      </c>
      <c r="D859" t="s">
        <v>4960</v>
      </c>
      <c r="E859" t="s">
        <v>4961</v>
      </c>
      <c r="F859" t="s">
        <v>4962</v>
      </c>
      <c r="G859" t="s">
        <v>4963</v>
      </c>
      <c r="H859" s="11">
        <v>44105.27375</v>
      </c>
      <c r="I859" s="7" t="s">
        <v>33</v>
      </c>
    </row>
    <row r="860" spans="1:9" ht="15" customHeight="1" x14ac:dyDescent="0.3">
      <c r="A860" t="s">
        <v>4964</v>
      </c>
      <c r="B860" t="s">
        <v>4965</v>
      </c>
      <c r="C860" s="10">
        <v>35983</v>
      </c>
      <c r="D860" t="s">
        <v>4966</v>
      </c>
      <c r="E860" t="s">
        <v>4967</v>
      </c>
      <c r="F860" t="s">
        <v>4968</v>
      </c>
      <c r="G860" t="s">
        <v>4969</v>
      </c>
      <c r="H860" s="11">
        <v>38554.1077083333</v>
      </c>
      <c r="I860" s="7" t="s">
        <v>78</v>
      </c>
    </row>
    <row r="861" spans="1:9" ht="15" customHeight="1" x14ac:dyDescent="0.3">
      <c r="A861" t="s">
        <v>4970</v>
      </c>
      <c r="B861" t="s">
        <v>4971</v>
      </c>
      <c r="C861" s="10">
        <v>34892</v>
      </c>
      <c r="D861" t="s">
        <v>4972</v>
      </c>
      <c r="E861" t="s">
        <v>4973</v>
      </c>
      <c r="F861" t="s">
        <v>4974</v>
      </c>
      <c r="G861" t="s">
        <v>4975</v>
      </c>
      <c r="H861" s="11">
        <v>38848.523611111101</v>
      </c>
      <c r="I861" s="7" t="s">
        <v>26</v>
      </c>
    </row>
    <row r="862" spans="1:9" ht="15" customHeight="1" x14ac:dyDescent="0.3">
      <c r="A862" t="s">
        <v>4976</v>
      </c>
      <c r="B862" t="s">
        <v>4977</v>
      </c>
      <c r="C862" s="10">
        <v>31422</v>
      </c>
      <c r="D862" t="s">
        <v>4978</v>
      </c>
      <c r="E862" t="s">
        <v>4979</v>
      </c>
      <c r="F862" t="s">
        <v>4980</v>
      </c>
      <c r="G862" t="s">
        <v>4981</v>
      </c>
      <c r="H862" s="11">
        <v>39291.4213773148</v>
      </c>
      <c r="I862" s="7" t="s">
        <v>26</v>
      </c>
    </row>
    <row r="863" spans="1:9" ht="15" customHeight="1" x14ac:dyDescent="0.3">
      <c r="A863" t="s">
        <v>4982</v>
      </c>
      <c r="B863" t="s">
        <v>4983</v>
      </c>
      <c r="C863" s="10">
        <v>30416</v>
      </c>
      <c r="D863" t="s">
        <v>4984</v>
      </c>
      <c r="E863" t="s">
        <v>4985</v>
      </c>
      <c r="F863" t="s">
        <v>4986</v>
      </c>
      <c r="G863" t="s">
        <v>4987</v>
      </c>
      <c r="H863" s="11">
        <v>43909.344976851899</v>
      </c>
      <c r="I863" s="7" t="s">
        <v>78</v>
      </c>
    </row>
    <row r="864" spans="1:9" ht="15" customHeight="1" x14ac:dyDescent="0.3">
      <c r="A864" t="s">
        <v>4988</v>
      </c>
      <c r="B864" t="s">
        <v>4989</v>
      </c>
      <c r="C864" s="10">
        <v>34505</v>
      </c>
      <c r="D864" t="s">
        <v>4990</v>
      </c>
      <c r="E864" t="s">
        <v>4991</v>
      </c>
      <c r="F864" t="s">
        <v>4992</v>
      </c>
      <c r="G864" t="s">
        <v>4993</v>
      </c>
      <c r="H864" s="11">
        <v>44055.070590277799</v>
      </c>
      <c r="I864" s="7" t="s">
        <v>26</v>
      </c>
    </row>
    <row r="865" spans="1:9" ht="15" customHeight="1" x14ac:dyDescent="0.3">
      <c r="A865" t="s">
        <v>4994</v>
      </c>
      <c r="B865" t="s">
        <v>4995</v>
      </c>
      <c r="C865" s="10">
        <v>31240</v>
      </c>
      <c r="D865" t="s">
        <v>4996</v>
      </c>
      <c r="E865" t="s">
        <v>4997</v>
      </c>
      <c r="F865" t="s">
        <v>4998</v>
      </c>
      <c r="G865" t="s">
        <v>4999</v>
      </c>
      <c r="H865" s="11">
        <v>43724.427997685198</v>
      </c>
      <c r="I865" s="7" t="s">
        <v>52</v>
      </c>
    </row>
    <row r="866" spans="1:9" ht="15" customHeight="1" x14ac:dyDescent="0.3">
      <c r="A866" t="s">
        <v>5000</v>
      </c>
      <c r="B866" t="s">
        <v>5001</v>
      </c>
      <c r="C866" s="10">
        <v>25809</v>
      </c>
      <c r="D866" t="s">
        <v>5002</v>
      </c>
      <c r="E866" t="s">
        <v>5003</v>
      </c>
      <c r="F866" t="s">
        <v>5004</v>
      </c>
      <c r="G866" t="s">
        <v>5005</v>
      </c>
      <c r="H866" s="11">
        <v>43436.8305555556</v>
      </c>
      <c r="I866" s="7" t="s">
        <v>26</v>
      </c>
    </row>
    <row r="867" spans="1:9" ht="15" customHeight="1" x14ac:dyDescent="0.3">
      <c r="A867" t="s">
        <v>5006</v>
      </c>
      <c r="B867" t="s">
        <v>5007</v>
      </c>
      <c r="C867" s="10">
        <v>33565</v>
      </c>
      <c r="D867" t="s">
        <v>5008</v>
      </c>
      <c r="E867" t="s">
        <v>5009</v>
      </c>
      <c r="F867" t="s">
        <v>5010</v>
      </c>
      <c r="G867" t="s">
        <v>5011</v>
      </c>
      <c r="H867" s="11">
        <v>41808.443206018499</v>
      </c>
      <c r="I867" s="7" t="s">
        <v>71</v>
      </c>
    </row>
    <row r="868" spans="1:9" ht="15" customHeight="1" x14ac:dyDescent="0.3">
      <c r="A868" t="s">
        <v>5012</v>
      </c>
      <c r="B868" t="s">
        <v>5013</v>
      </c>
      <c r="C868" s="10">
        <v>28004</v>
      </c>
      <c r="D868" t="s">
        <v>5014</v>
      </c>
      <c r="E868" t="s">
        <v>5015</v>
      </c>
      <c r="F868" t="s">
        <v>5016</v>
      </c>
      <c r="G868" t="s">
        <v>5017</v>
      </c>
      <c r="H868" s="11">
        <v>41620.6808101852</v>
      </c>
      <c r="I868" s="7" t="s">
        <v>26</v>
      </c>
    </row>
    <row r="869" spans="1:9" ht="15" customHeight="1" x14ac:dyDescent="0.3">
      <c r="A869" t="s">
        <v>5018</v>
      </c>
      <c r="B869" t="s">
        <v>5019</v>
      </c>
      <c r="C869" s="10">
        <v>36159</v>
      </c>
      <c r="D869" t="s">
        <v>5020</v>
      </c>
      <c r="E869" t="s">
        <v>5021</v>
      </c>
      <c r="F869" t="s">
        <v>5022</v>
      </c>
      <c r="G869" t="s">
        <v>5023</v>
      </c>
      <c r="H869" s="11">
        <v>43134.556192129603</v>
      </c>
      <c r="I869" s="7" t="s">
        <v>33</v>
      </c>
    </row>
    <row r="870" spans="1:9" ht="15" customHeight="1" x14ac:dyDescent="0.3">
      <c r="A870" t="s">
        <v>5024</v>
      </c>
      <c r="B870" t="s">
        <v>5025</v>
      </c>
      <c r="C870" s="10">
        <v>28810</v>
      </c>
      <c r="D870" t="s">
        <v>5026</v>
      </c>
      <c r="E870" t="s">
        <v>5027</v>
      </c>
      <c r="F870" t="s">
        <v>5028</v>
      </c>
      <c r="G870" t="s">
        <v>5029</v>
      </c>
      <c r="H870" s="11">
        <v>44203.776192129597</v>
      </c>
      <c r="I870" s="7" t="s">
        <v>78</v>
      </c>
    </row>
    <row r="871" spans="1:9" ht="15" customHeight="1" x14ac:dyDescent="0.3">
      <c r="A871" t="s">
        <v>5030</v>
      </c>
      <c r="B871" t="s">
        <v>5031</v>
      </c>
      <c r="C871" s="10">
        <v>30698</v>
      </c>
      <c r="D871" t="s">
        <v>5032</v>
      </c>
      <c r="E871" t="s">
        <v>5033</v>
      </c>
      <c r="F871" t="s">
        <v>5034</v>
      </c>
      <c r="G871" t="s">
        <v>5035</v>
      </c>
      <c r="H871" s="11">
        <v>44228.238287036998</v>
      </c>
      <c r="I871" s="7" t="s">
        <v>26</v>
      </c>
    </row>
    <row r="872" spans="1:9" ht="15" customHeight="1" x14ac:dyDescent="0.3">
      <c r="A872" t="s">
        <v>5036</v>
      </c>
      <c r="B872" t="s">
        <v>5037</v>
      </c>
      <c r="C872" s="10">
        <v>35635</v>
      </c>
      <c r="D872" t="s">
        <v>5038</v>
      </c>
      <c r="E872" t="s">
        <v>5039</v>
      </c>
      <c r="F872" t="s">
        <v>5040</v>
      </c>
      <c r="G872" t="s">
        <v>5041</v>
      </c>
      <c r="H872" s="11">
        <v>44215.409907407397</v>
      </c>
      <c r="I872" s="7" t="s">
        <v>52</v>
      </c>
    </row>
    <row r="873" spans="1:9" ht="15" customHeight="1" x14ac:dyDescent="0.3">
      <c r="A873" t="s">
        <v>5042</v>
      </c>
      <c r="B873" t="s">
        <v>5043</v>
      </c>
      <c r="C873" s="10">
        <v>26486</v>
      </c>
      <c r="D873" t="s">
        <v>5044</v>
      </c>
      <c r="E873" t="s">
        <v>5045</v>
      </c>
      <c r="F873" t="s">
        <v>5046</v>
      </c>
      <c r="G873" t="s">
        <v>5047</v>
      </c>
      <c r="H873" s="11">
        <v>38909.113298611097</v>
      </c>
      <c r="I873" s="7" t="s">
        <v>33</v>
      </c>
    </row>
    <row r="874" spans="1:9" ht="15" customHeight="1" x14ac:dyDescent="0.3">
      <c r="A874" t="s">
        <v>5048</v>
      </c>
      <c r="B874" t="s">
        <v>5049</v>
      </c>
      <c r="C874" s="10">
        <v>29697</v>
      </c>
      <c r="D874" t="s">
        <v>5050</v>
      </c>
      <c r="E874" t="s">
        <v>5051</v>
      </c>
      <c r="F874" t="s">
        <v>5052</v>
      </c>
      <c r="G874" t="s">
        <v>5053</v>
      </c>
      <c r="H874" s="11">
        <v>41672.752233796302</v>
      </c>
      <c r="I874" s="7" t="s">
        <v>33</v>
      </c>
    </row>
    <row r="875" spans="1:9" ht="15" customHeight="1" x14ac:dyDescent="0.3">
      <c r="A875" t="s">
        <v>5054</v>
      </c>
      <c r="B875" t="s">
        <v>5055</v>
      </c>
      <c r="C875" s="10">
        <v>35794</v>
      </c>
      <c r="D875" t="s">
        <v>5056</v>
      </c>
      <c r="E875" t="s">
        <v>5057</v>
      </c>
      <c r="F875" t="s">
        <v>5058</v>
      </c>
      <c r="G875" t="s">
        <v>5059</v>
      </c>
      <c r="H875" s="11">
        <v>43587.292291666701</v>
      </c>
      <c r="I875" s="7" t="s">
        <v>71</v>
      </c>
    </row>
    <row r="876" spans="1:9" ht="15" customHeight="1" x14ac:dyDescent="0.3">
      <c r="A876" t="s">
        <v>5060</v>
      </c>
      <c r="B876" t="s">
        <v>5061</v>
      </c>
      <c r="C876" s="10">
        <v>33486</v>
      </c>
      <c r="D876" t="s">
        <v>5062</v>
      </c>
      <c r="E876" t="s">
        <v>5063</v>
      </c>
      <c r="F876" t="s">
        <v>5064</v>
      </c>
      <c r="G876" t="s">
        <v>5065</v>
      </c>
      <c r="H876" s="11">
        <v>42264.559143518498</v>
      </c>
      <c r="I876" s="7" t="s">
        <v>78</v>
      </c>
    </row>
    <row r="877" spans="1:9" ht="15" customHeight="1" x14ac:dyDescent="0.3">
      <c r="A877" t="s">
        <v>5066</v>
      </c>
      <c r="B877" t="s">
        <v>5067</v>
      </c>
      <c r="C877" s="10">
        <v>26704</v>
      </c>
      <c r="D877" t="s">
        <v>5068</v>
      </c>
      <c r="E877" t="s">
        <v>5069</v>
      </c>
      <c r="F877" t="s">
        <v>5070</v>
      </c>
      <c r="G877" t="s">
        <v>5071</v>
      </c>
      <c r="H877" s="11">
        <v>42577.288530092599</v>
      </c>
      <c r="I877" s="7" t="s">
        <v>52</v>
      </c>
    </row>
    <row r="878" spans="1:9" ht="15" customHeight="1" x14ac:dyDescent="0.3">
      <c r="A878" t="s">
        <v>5072</v>
      </c>
      <c r="B878" t="s">
        <v>5073</v>
      </c>
      <c r="C878" s="10">
        <v>35588</v>
      </c>
      <c r="D878" t="s">
        <v>5074</v>
      </c>
      <c r="E878" t="s">
        <v>5075</v>
      </c>
      <c r="F878" t="s">
        <v>5076</v>
      </c>
      <c r="G878" t="s">
        <v>5077</v>
      </c>
      <c r="H878" s="11">
        <v>40137.060636574097</v>
      </c>
      <c r="I878" s="7" t="s">
        <v>52</v>
      </c>
    </row>
    <row r="879" spans="1:9" ht="15" customHeight="1" x14ac:dyDescent="0.3">
      <c r="A879" t="s">
        <v>5078</v>
      </c>
      <c r="B879" t="s">
        <v>5079</v>
      </c>
      <c r="C879" s="10">
        <v>26673</v>
      </c>
      <c r="D879" t="s">
        <v>5080</v>
      </c>
      <c r="E879" t="s">
        <v>5081</v>
      </c>
      <c r="F879" t="s">
        <v>5082</v>
      </c>
      <c r="G879" t="s">
        <v>5083</v>
      </c>
      <c r="H879" s="11">
        <v>42939.357453703698</v>
      </c>
      <c r="I879" s="7" t="s">
        <v>52</v>
      </c>
    </row>
    <row r="880" spans="1:9" ht="15" customHeight="1" x14ac:dyDescent="0.3">
      <c r="A880" t="s">
        <v>5084</v>
      </c>
      <c r="B880" t="s">
        <v>5085</v>
      </c>
      <c r="C880" s="10">
        <v>31703</v>
      </c>
      <c r="D880" t="s">
        <v>5086</v>
      </c>
      <c r="E880" t="s">
        <v>5087</v>
      </c>
      <c r="F880" t="s">
        <v>5088</v>
      </c>
      <c r="G880" t="s">
        <v>5089</v>
      </c>
      <c r="H880" s="11">
        <v>41467.030057870397</v>
      </c>
      <c r="I880" s="7" t="s">
        <v>33</v>
      </c>
    </row>
    <row r="881" spans="1:9" ht="15" customHeight="1" x14ac:dyDescent="0.3">
      <c r="A881" t="s">
        <v>5090</v>
      </c>
      <c r="B881" t="s">
        <v>5091</v>
      </c>
      <c r="C881" s="10">
        <v>29840</v>
      </c>
      <c r="D881" t="s">
        <v>5092</v>
      </c>
      <c r="E881" t="s">
        <v>5093</v>
      </c>
      <c r="F881" t="s">
        <v>5094</v>
      </c>
      <c r="G881" t="s">
        <v>5095</v>
      </c>
      <c r="H881" s="11">
        <v>40478.042071759301</v>
      </c>
      <c r="I881" s="7" t="s">
        <v>52</v>
      </c>
    </row>
    <row r="882" spans="1:9" ht="15" customHeight="1" x14ac:dyDescent="0.3">
      <c r="A882" t="s">
        <v>5096</v>
      </c>
      <c r="B882" t="s">
        <v>5097</v>
      </c>
      <c r="C882" s="10">
        <v>33102</v>
      </c>
      <c r="D882" t="s">
        <v>5098</v>
      </c>
      <c r="E882" t="s">
        <v>5099</v>
      </c>
      <c r="F882" t="s">
        <v>5100</v>
      </c>
      <c r="G882" t="s">
        <v>5101</v>
      </c>
      <c r="H882" s="11">
        <v>40360.0300347222</v>
      </c>
      <c r="I882" s="7" t="s">
        <v>26</v>
      </c>
    </row>
    <row r="883" spans="1:9" ht="15" customHeight="1" x14ac:dyDescent="0.3">
      <c r="A883" t="s">
        <v>5102</v>
      </c>
      <c r="B883" t="s">
        <v>5103</v>
      </c>
      <c r="C883" s="10">
        <v>32141</v>
      </c>
      <c r="D883" t="s">
        <v>5104</v>
      </c>
      <c r="E883" t="s">
        <v>4538</v>
      </c>
      <c r="F883" t="s">
        <v>5105</v>
      </c>
      <c r="G883" t="s">
        <v>5106</v>
      </c>
      <c r="H883" s="11">
        <v>41120.332476851901</v>
      </c>
      <c r="I883" s="7" t="s">
        <v>26</v>
      </c>
    </row>
    <row r="884" spans="1:9" ht="15" customHeight="1" x14ac:dyDescent="0.3">
      <c r="A884" t="s">
        <v>5107</v>
      </c>
      <c r="B884" t="s">
        <v>5108</v>
      </c>
      <c r="C884" s="10">
        <v>29844</v>
      </c>
      <c r="D884" t="s">
        <v>5109</v>
      </c>
      <c r="E884" t="s">
        <v>4585</v>
      </c>
      <c r="F884" t="s">
        <v>5110</v>
      </c>
      <c r="G884" t="s">
        <v>5111</v>
      </c>
      <c r="H884" s="11">
        <v>42702.922060185199</v>
      </c>
      <c r="I884" s="7" t="s">
        <v>26</v>
      </c>
    </row>
    <row r="885" spans="1:9" ht="15" customHeight="1" x14ac:dyDescent="0.3">
      <c r="A885" t="s">
        <v>5112</v>
      </c>
      <c r="B885" t="s">
        <v>5113</v>
      </c>
      <c r="C885" s="10">
        <v>34131</v>
      </c>
      <c r="D885" t="s">
        <v>5114</v>
      </c>
      <c r="E885" t="s">
        <v>4729</v>
      </c>
      <c r="F885" t="s">
        <v>5115</v>
      </c>
      <c r="G885" t="s">
        <v>5116</v>
      </c>
      <c r="H885" s="11">
        <v>42632.141770833303</v>
      </c>
      <c r="I885" s="7" t="s">
        <v>52</v>
      </c>
    </row>
    <row r="886" spans="1:9" ht="15" customHeight="1" x14ac:dyDescent="0.3">
      <c r="A886" t="s">
        <v>5117</v>
      </c>
      <c r="B886" t="s">
        <v>5118</v>
      </c>
      <c r="C886" s="10">
        <v>27504</v>
      </c>
      <c r="D886" t="s">
        <v>5119</v>
      </c>
      <c r="E886" t="s">
        <v>4842</v>
      </c>
      <c r="F886" t="s">
        <v>5120</v>
      </c>
      <c r="G886" t="s">
        <v>5121</v>
      </c>
      <c r="H886" s="11">
        <v>39872.793321759302</v>
      </c>
      <c r="I886" s="7" t="s">
        <v>71</v>
      </c>
    </row>
    <row r="887" spans="1:9" ht="15" customHeight="1" x14ac:dyDescent="0.3">
      <c r="A887" t="s">
        <v>5122</v>
      </c>
      <c r="B887" t="s">
        <v>5123</v>
      </c>
      <c r="C887" s="10">
        <v>30755</v>
      </c>
      <c r="D887" t="s">
        <v>5124</v>
      </c>
      <c r="E887" t="s">
        <v>4443</v>
      </c>
      <c r="F887" t="s">
        <v>5125</v>
      </c>
      <c r="G887" t="s">
        <v>5126</v>
      </c>
      <c r="H887" s="11">
        <v>44202.688472222202</v>
      </c>
      <c r="I887" s="7" t="s">
        <v>71</v>
      </c>
    </row>
    <row r="888" spans="1:9" ht="15" customHeight="1" x14ac:dyDescent="0.3">
      <c r="A888" t="s">
        <v>5127</v>
      </c>
      <c r="B888" t="s">
        <v>5128</v>
      </c>
      <c r="C888" s="10">
        <v>25630</v>
      </c>
      <c r="D888" t="s">
        <v>5129</v>
      </c>
      <c r="E888" t="s">
        <v>4496</v>
      </c>
      <c r="F888" t="s">
        <v>5130</v>
      </c>
      <c r="G888" t="s">
        <v>5131</v>
      </c>
      <c r="H888" s="11">
        <v>42547.003391203703</v>
      </c>
      <c r="I888" s="7" t="s">
        <v>26</v>
      </c>
    </row>
    <row r="889" spans="1:9" ht="15" customHeight="1" x14ac:dyDescent="0.3">
      <c r="A889" t="s">
        <v>5132</v>
      </c>
      <c r="B889" t="s">
        <v>5133</v>
      </c>
      <c r="C889" s="10">
        <v>34701</v>
      </c>
      <c r="D889" t="s">
        <v>5134</v>
      </c>
      <c r="E889" t="s">
        <v>4437</v>
      </c>
      <c r="F889" t="s">
        <v>5135</v>
      </c>
      <c r="G889" t="s">
        <v>5136</v>
      </c>
      <c r="H889" s="11">
        <v>39718.784537036998</v>
      </c>
      <c r="I889" s="7" t="s">
        <v>26</v>
      </c>
    </row>
    <row r="890" spans="1:9" ht="15" customHeight="1" x14ac:dyDescent="0.3">
      <c r="A890" t="s">
        <v>5137</v>
      </c>
      <c r="B890" t="s">
        <v>5138</v>
      </c>
      <c r="C890" s="10">
        <v>29956</v>
      </c>
      <c r="D890" t="s">
        <v>5139</v>
      </c>
      <c r="E890" t="s">
        <v>4866</v>
      </c>
      <c r="F890" t="s">
        <v>5140</v>
      </c>
      <c r="G890" t="s">
        <v>5141</v>
      </c>
      <c r="H890" s="11">
        <v>41781.191064814797</v>
      </c>
      <c r="I890" s="7" t="s">
        <v>33</v>
      </c>
    </row>
    <row r="891" spans="1:9" ht="15" customHeight="1" x14ac:dyDescent="0.3">
      <c r="A891" t="s">
        <v>5142</v>
      </c>
      <c r="B891" t="s">
        <v>5143</v>
      </c>
      <c r="C891" s="10">
        <v>34240</v>
      </c>
      <c r="D891" t="s">
        <v>5144</v>
      </c>
      <c r="E891" t="s">
        <v>4675</v>
      </c>
      <c r="F891" t="s">
        <v>5145</v>
      </c>
      <c r="G891" t="s">
        <v>5146</v>
      </c>
      <c r="H891" s="11">
        <v>43850.108738425901</v>
      </c>
      <c r="I891" s="7" t="s">
        <v>52</v>
      </c>
    </row>
    <row r="892" spans="1:9" ht="15" customHeight="1" x14ac:dyDescent="0.3">
      <c r="A892" t="s">
        <v>5147</v>
      </c>
      <c r="B892" t="s">
        <v>5148</v>
      </c>
      <c r="C892" s="10">
        <v>33632</v>
      </c>
      <c r="D892" t="s">
        <v>5149</v>
      </c>
      <c r="E892" t="s">
        <v>4788</v>
      </c>
      <c r="F892" t="s">
        <v>5150</v>
      </c>
      <c r="G892" t="s">
        <v>5151</v>
      </c>
      <c r="H892" s="11">
        <v>42416.725277777798</v>
      </c>
      <c r="I892" s="7" t="s">
        <v>71</v>
      </c>
    </row>
    <row r="893" spans="1:9" ht="15" customHeight="1" x14ac:dyDescent="0.3">
      <c r="A893" t="s">
        <v>5152</v>
      </c>
      <c r="B893" t="s">
        <v>5153</v>
      </c>
      <c r="C893" s="10">
        <v>26518</v>
      </c>
      <c r="D893" t="s">
        <v>5154</v>
      </c>
      <c r="E893" t="s">
        <v>4490</v>
      </c>
      <c r="F893" t="s">
        <v>5155</v>
      </c>
      <c r="G893" t="s">
        <v>5156</v>
      </c>
      <c r="H893" s="11">
        <v>38955.997800925899</v>
      </c>
      <c r="I893" s="7" t="s">
        <v>71</v>
      </c>
    </row>
    <row r="894" spans="1:9" ht="15" customHeight="1" x14ac:dyDescent="0.3">
      <c r="A894" t="s">
        <v>5157</v>
      </c>
      <c r="B894" t="s">
        <v>5158</v>
      </c>
      <c r="C894" s="10">
        <v>29349</v>
      </c>
      <c r="D894" t="s">
        <v>5159</v>
      </c>
      <c r="E894" t="s">
        <v>5063</v>
      </c>
      <c r="F894" t="s">
        <v>5160</v>
      </c>
      <c r="G894" t="s">
        <v>5161</v>
      </c>
      <c r="H894" s="11">
        <v>41718.850428240701</v>
      </c>
      <c r="I894" s="7" t="s">
        <v>52</v>
      </c>
    </row>
    <row r="895" spans="1:9" ht="15" customHeight="1" x14ac:dyDescent="0.3">
      <c r="A895" t="s">
        <v>5162</v>
      </c>
      <c r="B895" t="s">
        <v>5163</v>
      </c>
      <c r="C895" s="10">
        <v>35949</v>
      </c>
      <c r="D895" t="s">
        <v>5164</v>
      </c>
      <c r="E895" t="s">
        <v>4627</v>
      </c>
      <c r="F895" t="s">
        <v>5165</v>
      </c>
      <c r="G895" t="s">
        <v>5166</v>
      </c>
      <c r="H895" s="11">
        <v>40960.902962963002</v>
      </c>
      <c r="I895" s="7" t="s">
        <v>78</v>
      </c>
    </row>
    <row r="896" spans="1:9" ht="15" customHeight="1" x14ac:dyDescent="0.3">
      <c r="A896" t="s">
        <v>5167</v>
      </c>
      <c r="B896" t="s">
        <v>5168</v>
      </c>
      <c r="C896" s="10">
        <v>29418</v>
      </c>
      <c r="D896" t="s">
        <v>5169</v>
      </c>
      <c r="E896" t="s">
        <v>4484</v>
      </c>
      <c r="F896" t="s">
        <v>5170</v>
      </c>
      <c r="G896" t="s">
        <v>5171</v>
      </c>
      <c r="H896" s="11">
        <v>39182.628217592603</v>
      </c>
      <c r="I896" s="7" t="s">
        <v>52</v>
      </c>
    </row>
    <row r="897" spans="1:9" ht="15" customHeight="1" x14ac:dyDescent="0.3">
      <c r="A897" t="s">
        <v>5172</v>
      </c>
      <c r="B897" t="s">
        <v>5173</v>
      </c>
      <c r="C897" s="10">
        <v>36414</v>
      </c>
      <c r="D897" t="s">
        <v>5174</v>
      </c>
      <c r="E897" t="s">
        <v>4705</v>
      </c>
      <c r="F897" t="s">
        <v>5175</v>
      </c>
      <c r="G897" t="s">
        <v>5176</v>
      </c>
      <c r="H897" s="11">
        <v>39770.409884259301</v>
      </c>
      <c r="I897" s="7" t="s">
        <v>71</v>
      </c>
    </row>
    <row r="898" spans="1:9" ht="15" customHeight="1" x14ac:dyDescent="0.3">
      <c r="A898" t="s">
        <v>5177</v>
      </c>
      <c r="B898" t="s">
        <v>5178</v>
      </c>
      <c r="C898" s="10">
        <v>30390</v>
      </c>
      <c r="D898" t="s">
        <v>5179</v>
      </c>
      <c r="E898" t="s">
        <v>4687</v>
      </c>
      <c r="F898" t="s">
        <v>5180</v>
      </c>
      <c r="G898" t="s">
        <v>5181</v>
      </c>
      <c r="H898" s="11">
        <v>38884.7504513889</v>
      </c>
      <c r="I898" s="7" t="s">
        <v>71</v>
      </c>
    </row>
    <row r="899" spans="1:9" ht="15" customHeight="1" x14ac:dyDescent="0.3">
      <c r="A899" t="s">
        <v>5182</v>
      </c>
      <c r="B899" t="s">
        <v>5183</v>
      </c>
      <c r="C899" s="10">
        <v>30787</v>
      </c>
      <c r="D899" t="s">
        <v>5184</v>
      </c>
      <c r="E899" t="s">
        <v>4955</v>
      </c>
      <c r="F899" t="s">
        <v>5185</v>
      </c>
      <c r="G899" t="s">
        <v>5186</v>
      </c>
      <c r="H899" s="11">
        <v>40531.633032407401</v>
      </c>
      <c r="I899" s="7" t="s">
        <v>71</v>
      </c>
    </row>
    <row r="900" spans="1:9" ht="15" customHeight="1" x14ac:dyDescent="0.3">
      <c r="A900" t="s">
        <v>5187</v>
      </c>
      <c r="B900" t="s">
        <v>5188</v>
      </c>
      <c r="C900" s="10">
        <v>28533</v>
      </c>
      <c r="D900" t="s">
        <v>5189</v>
      </c>
      <c r="E900" t="s">
        <v>4502</v>
      </c>
      <c r="F900" t="s">
        <v>5190</v>
      </c>
      <c r="G900" t="s">
        <v>5191</v>
      </c>
      <c r="H900" s="11">
        <v>40518.388217592597</v>
      </c>
      <c r="I900" s="7" t="s">
        <v>26</v>
      </c>
    </row>
    <row r="901" spans="1:9" ht="15" customHeight="1" x14ac:dyDescent="0.3">
      <c r="A901" t="s">
        <v>5192</v>
      </c>
      <c r="B901" t="s">
        <v>5193</v>
      </c>
      <c r="C901" s="10">
        <v>33872</v>
      </c>
      <c r="D901" t="s">
        <v>5194</v>
      </c>
      <c r="E901" t="s">
        <v>4460</v>
      </c>
      <c r="F901" t="s">
        <v>5195</v>
      </c>
      <c r="G901" t="s">
        <v>5196</v>
      </c>
      <c r="H901" s="11">
        <v>40563.592962962997</v>
      </c>
      <c r="I901" s="7" t="s">
        <v>52</v>
      </c>
    </row>
    <row r="902" spans="1:9" ht="15" customHeight="1" x14ac:dyDescent="0.3">
      <c r="A902" t="s">
        <v>5197</v>
      </c>
      <c r="B902" t="s">
        <v>5198</v>
      </c>
      <c r="C902" s="10">
        <v>25914</v>
      </c>
      <c r="D902" t="s">
        <v>5199</v>
      </c>
      <c r="E902" t="s">
        <v>4561</v>
      </c>
      <c r="F902" t="s">
        <v>5200</v>
      </c>
      <c r="G902" t="s">
        <v>5201</v>
      </c>
      <c r="H902" s="11">
        <v>43818.7218981482</v>
      </c>
      <c r="I902" s="7" t="s">
        <v>33</v>
      </c>
    </row>
    <row r="903" spans="1:9" ht="15" customHeight="1" x14ac:dyDescent="0.3">
      <c r="A903" t="s">
        <v>5202</v>
      </c>
      <c r="B903" t="s">
        <v>5203</v>
      </c>
      <c r="C903" s="10">
        <v>28609</v>
      </c>
      <c r="D903" t="s">
        <v>5204</v>
      </c>
      <c r="E903" t="s">
        <v>5045</v>
      </c>
      <c r="F903" t="s">
        <v>5205</v>
      </c>
      <c r="G903" t="s">
        <v>5206</v>
      </c>
      <c r="H903" s="11">
        <v>43752.5680208333</v>
      </c>
      <c r="I903" s="7" t="s">
        <v>33</v>
      </c>
    </row>
    <row r="904" spans="1:9" ht="15" customHeight="1" x14ac:dyDescent="0.3">
      <c r="A904" t="s">
        <v>5207</v>
      </c>
      <c r="B904" t="s">
        <v>5208</v>
      </c>
      <c r="C904" s="10">
        <v>27071</v>
      </c>
      <c r="D904" t="s">
        <v>5209</v>
      </c>
      <c r="E904" t="s">
        <v>4645</v>
      </c>
      <c r="F904" t="s">
        <v>5210</v>
      </c>
      <c r="G904" t="s">
        <v>5211</v>
      </c>
      <c r="H904" s="11">
        <v>42224.691122685203</v>
      </c>
      <c r="I904" s="7" t="s">
        <v>33</v>
      </c>
    </row>
    <row r="905" spans="1:9" ht="15" customHeight="1" x14ac:dyDescent="0.3">
      <c r="A905" t="s">
        <v>5212</v>
      </c>
      <c r="B905" t="s">
        <v>5213</v>
      </c>
      <c r="C905" s="10">
        <v>35289</v>
      </c>
      <c r="D905" t="s">
        <v>5214</v>
      </c>
      <c r="E905" t="s">
        <v>82</v>
      </c>
      <c r="F905" t="s">
        <v>5215</v>
      </c>
      <c r="G905" t="s">
        <v>5216</v>
      </c>
      <c r="H905" s="11">
        <v>39540.509224537003</v>
      </c>
      <c r="I905" s="7" t="s">
        <v>26</v>
      </c>
    </row>
    <row r="906" spans="1:9" ht="15" customHeight="1" x14ac:dyDescent="0.3">
      <c r="A906" t="s">
        <v>5217</v>
      </c>
      <c r="B906" t="s">
        <v>5218</v>
      </c>
      <c r="C906" s="10">
        <v>27861</v>
      </c>
      <c r="D906" t="s">
        <v>5219</v>
      </c>
      <c r="E906" t="s">
        <v>4848</v>
      </c>
      <c r="F906" t="s">
        <v>5220</v>
      </c>
      <c r="G906" t="s">
        <v>5221</v>
      </c>
      <c r="H906" s="11">
        <v>38692.368009259299</v>
      </c>
      <c r="I906" s="7" t="s">
        <v>78</v>
      </c>
    </row>
    <row r="907" spans="1:9" ht="15" customHeight="1" x14ac:dyDescent="0.3">
      <c r="A907" t="s">
        <v>5222</v>
      </c>
      <c r="B907" t="s">
        <v>5223</v>
      </c>
      <c r="C907" s="10">
        <v>32837</v>
      </c>
      <c r="D907" t="s">
        <v>5224</v>
      </c>
      <c r="E907" t="s">
        <v>4555</v>
      </c>
      <c r="F907" t="s">
        <v>5225</v>
      </c>
      <c r="G907" t="s">
        <v>5226</v>
      </c>
      <c r="H907" s="11">
        <v>42164.290405092601</v>
      </c>
      <c r="I907" s="7" t="s">
        <v>26</v>
      </c>
    </row>
    <row r="908" spans="1:9" ht="15" customHeight="1" x14ac:dyDescent="0.3">
      <c r="A908" t="s">
        <v>5227</v>
      </c>
      <c r="B908" t="s">
        <v>5228</v>
      </c>
      <c r="C908" s="10">
        <v>35213</v>
      </c>
      <c r="D908" t="s">
        <v>5229</v>
      </c>
      <c r="E908" t="s">
        <v>4812</v>
      </c>
      <c r="F908" t="s">
        <v>5230</v>
      </c>
      <c r="G908" t="s">
        <v>5231</v>
      </c>
      <c r="H908" s="11">
        <v>42453.714027777802</v>
      </c>
      <c r="I908" s="7" t="s">
        <v>26</v>
      </c>
    </row>
    <row r="909" spans="1:9" ht="15" customHeight="1" x14ac:dyDescent="0.3">
      <c r="A909" t="s">
        <v>5232</v>
      </c>
      <c r="B909" t="s">
        <v>5233</v>
      </c>
      <c r="C909" s="10">
        <v>35811</v>
      </c>
      <c r="D909" t="s">
        <v>5234</v>
      </c>
      <c r="E909" t="s">
        <v>4794</v>
      </c>
      <c r="F909" t="s">
        <v>5235</v>
      </c>
      <c r="G909" t="s">
        <v>5236</v>
      </c>
      <c r="H909" s="11">
        <v>38518.488703703697</v>
      </c>
      <c r="I909" s="7" t="s">
        <v>33</v>
      </c>
    </row>
    <row r="910" spans="1:9" ht="15" customHeight="1" x14ac:dyDescent="0.3">
      <c r="A910" t="s">
        <v>5237</v>
      </c>
      <c r="B910" t="s">
        <v>5238</v>
      </c>
      <c r="C910" s="10">
        <v>31833</v>
      </c>
      <c r="D910" t="s">
        <v>5239</v>
      </c>
      <c r="E910" t="s">
        <v>4872</v>
      </c>
      <c r="F910" t="s">
        <v>5240</v>
      </c>
      <c r="G910" t="s">
        <v>5241</v>
      </c>
      <c r="H910" s="11">
        <v>44247.115717592598</v>
      </c>
      <c r="I910" s="7" t="s">
        <v>78</v>
      </c>
    </row>
    <row r="911" spans="1:9" ht="15" customHeight="1" x14ac:dyDescent="0.3">
      <c r="A911" t="s">
        <v>5242</v>
      </c>
      <c r="B911" t="s">
        <v>5243</v>
      </c>
      <c r="C911" s="10">
        <v>32386</v>
      </c>
      <c r="D911" t="s">
        <v>5244</v>
      </c>
      <c r="E911" t="s">
        <v>4472</v>
      </c>
      <c r="F911" t="s">
        <v>5245</v>
      </c>
      <c r="G911" t="s">
        <v>5246</v>
      </c>
      <c r="H911" s="11">
        <v>39594.054120370398</v>
      </c>
      <c r="I911" s="7" t="s">
        <v>33</v>
      </c>
    </row>
    <row r="912" spans="1:9" ht="15" customHeight="1" x14ac:dyDescent="0.3">
      <c r="A912" t="s">
        <v>5247</v>
      </c>
      <c r="B912" t="s">
        <v>5248</v>
      </c>
      <c r="C912" s="10">
        <v>26258</v>
      </c>
      <c r="D912" t="s">
        <v>5249</v>
      </c>
      <c r="E912" t="s">
        <v>4508</v>
      </c>
      <c r="F912" t="s">
        <v>5250</v>
      </c>
      <c r="G912" t="s">
        <v>5251</v>
      </c>
      <c r="H912" s="11">
        <v>39207.770081018498</v>
      </c>
      <c r="I912" s="7" t="s">
        <v>71</v>
      </c>
    </row>
    <row r="913" spans="1:9" ht="15" customHeight="1" x14ac:dyDescent="0.3">
      <c r="A913" t="s">
        <v>5252</v>
      </c>
      <c r="B913" t="s">
        <v>5253</v>
      </c>
      <c r="C913" s="10">
        <v>32632</v>
      </c>
      <c r="D913" t="s">
        <v>5254</v>
      </c>
      <c r="E913" t="s">
        <v>4669</v>
      </c>
      <c r="F913" t="s">
        <v>5255</v>
      </c>
      <c r="G913" t="s">
        <v>5256</v>
      </c>
      <c r="H913" s="11">
        <v>43934.652523148201</v>
      </c>
      <c r="I913" s="7" t="s">
        <v>26</v>
      </c>
    </row>
    <row r="914" spans="1:9" ht="15" customHeight="1" x14ac:dyDescent="0.3">
      <c r="A914" t="s">
        <v>5257</v>
      </c>
      <c r="B914" t="s">
        <v>5258</v>
      </c>
      <c r="C914" s="10">
        <v>31932</v>
      </c>
      <c r="D914" t="s">
        <v>5259</v>
      </c>
      <c r="E914" t="s">
        <v>4717</v>
      </c>
      <c r="F914" t="s">
        <v>5260</v>
      </c>
      <c r="G914" t="s">
        <v>414</v>
      </c>
      <c r="H914" s="11">
        <v>43777.393703703703</v>
      </c>
      <c r="I914" s="7" t="s">
        <v>71</v>
      </c>
    </row>
    <row r="915" spans="1:9" ht="15" customHeight="1" x14ac:dyDescent="0.3">
      <c r="A915" t="s">
        <v>5261</v>
      </c>
      <c r="B915" t="s">
        <v>5262</v>
      </c>
      <c r="C915" s="10">
        <v>30080</v>
      </c>
      <c r="D915" t="s">
        <v>5263</v>
      </c>
      <c r="E915" t="s">
        <v>4579</v>
      </c>
      <c r="F915" t="s">
        <v>5264</v>
      </c>
      <c r="G915" t="s">
        <v>5265</v>
      </c>
      <c r="H915" s="11">
        <v>42925.5519444444</v>
      </c>
      <c r="I915" s="7" t="s">
        <v>71</v>
      </c>
    </row>
    <row r="916" spans="1:9" ht="15" customHeight="1" x14ac:dyDescent="0.3">
      <c r="A916" t="s">
        <v>5266</v>
      </c>
      <c r="B916" t="s">
        <v>5267</v>
      </c>
      <c r="C916" s="10">
        <v>35825</v>
      </c>
      <c r="D916" t="s">
        <v>5268</v>
      </c>
      <c r="E916" t="s">
        <v>5075</v>
      </c>
      <c r="F916" t="s">
        <v>5269</v>
      </c>
      <c r="G916" t="s">
        <v>5270</v>
      </c>
      <c r="H916" s="11">
        <v>44299.835416666698</v>
      </c>
      <c r="I916" s="7" t="s">
        <v>78</v>
      </c>
    </row>
    <row r="917" spans="1:9" ht="15" customHeight="1" x14ac:dyDescent="0.3">
      <c r="A917" t="s">
        <v>5271</v>
      </c>
      <c r="B917" t="s">
        <v>5272</v>
      </c>
      <c r="C917" s="10">
        <v>25572</v>
      </c>
      <c r="D917" t="s">
        <v>5273</v>
      </c>
      <c r="E917" t="s">
        <v>4776</v>
      </c>
      <c r="F917" t="s">
        <v>5274</v>
      </c>
      <c r="G917" t="s">
        <v>5275</v>
      </c>
      <c r="H917" s="11">
        <v>40527.020393518498</v>
      </c>
      <c r="I917" s="7" t="s">
        <v>71</v>
      </c>
    </row>
    <row r="918" spans="1:9" ht="15" customHeight="1" x14ac:dyDescent="0.3">
      <c r="A918" t="s">
        <v>5276</v>
      </c>
      <c r="B918" t="s">
        <v>5277</v>
      </c>
      <c r="C918" s="10">
        <v>25995</v>
      </c>
      <c r="D918" t="s">
        <v>5278</v>
      </c>
      <c r="E918" t="s">
        <v>4913</v>
      </c>
      <c r="F918" t="s">
        <v>5279</v>
      </c>
      <c r="G918" t="s">
        <v>5280</v>
      </c>
      <c r="H918" s="11">
        <v>42059.845659722203</v>
      </c>
      <c r="I918" s="7" t="s">
        <v>26</v>
      </c>
    </row>
    <row r="919" spans="1:9" ht="15" customHeight="1" x14ac:dyDescent="0.3">
      <c r="A919" t="s">
        <v>5281</v>
      </c>
      <c r="B919" t="s">
        <v>5282</v>
      </c>
      <c r="C919" s="10">
        <v>36581</v>
      </c>
      <c r="D919" t="s">
        <v>5283</v>
      </c>
      <c r="E919" t="s">
        <v>5087</v>
      </c>
      <c r="F919" t="s">
        <v>5284</v>
      </c>
      <c r="G919" t="s">
        <v>5285</v>
      </c>
      <c r="H919" s="11">
        <v>38785.635682870401</v>
      </c>
      <c r="I919" s="7" t="s">
        <v>78</v>
      </c>
    </row>
    <row r="920" spans="1:9" ht="15" customHeight="1" x14ac:dyDescent="0.3">
      <c r="A920" t="s">
        <v>5286</v>
      </c>
      <c r="B920" t="s">
        <v>5287</v>
      </c>
      <c r="C920" s="10">
        <v>26166</v>
      </c>
      <c r="D920" t="s">
        <v>5288</v>
      </c>
      <c r="E920" t="s">
        <v>5033</v>
      </c>
      <c r="F920" t="s">
        <v>5289</v>
      </c>
      <c r="G920" t="s">
        <v>5290</v>
      </c>
      <c r="H920" s="11">
        <v>40438.532210648198</v>
      </c>
      <c r="I920" s="7" t="s">
        <v>78</v>
      </c>
    </row>
    <row r="921" spans="1:9" ht="15" customHeight="1" x14ac:dyDescent="0.3">
      <c r="A921" t="s">
        <v>5291</v>
      </c>
      <c r="B921" t="s">
        <v>5292</v>
      </c>
      <c r="C921" s="10">
        <v>34091</v>
      </c>
      <c r="D921" t="s">
        <v>5293</v>
      </c>
      <c r="E921" t="s">
        <v>4925</v>
      </c>
      <c r="F921" t="s">
        <v>5294</v>
      </c>
      <c r="G921" t="s">
        <v>5295</v>
      </c>
      <c r="H921" s="11">
        <v>43138.464062500003</v>
      </c>
      <c r="I921" s="7" t="s">
        <v>26</v>
      </c>
    </row>
    <row r="922" spans="1:9" ht="15" customHeight="1" x14ac:dyDescent="0.3">
      <c r="A922" t="s">
        <v>5296</v>
      </c>
      <c r="B922" t="s">
        <v>5297</v>
      </c>
      <c r="C922" s="10">
        <v>32042</v>
      </c>
      <c r="D922" t="s">
        <v>5298</v>
      </c>
      <c r="E922" t="s">
        <v>5009</v>
      </c>
      <c r="F922" t="s">
        <v>5299</v>
      </c>
      <c r="G922" t="s">
        <v>5300</v>
      </c>
      <c r="H922" s="11">
        <v>38456.895254629599</v>
      </c>
      <c r="I922" s="7" t="s">
        <v>78</v>
      </c>
    </row>
    <row r="923" spans="1:9" ht="15" customHeight="1" x14ac:dyDescent="0.3">
      <c r="A923" t="s">
        <v>5301</v>
      </c>
      <c r="B923" t="s">
        <v>5302</v>
      </c>
      <c r="C923" s="10">
        <v>34930</v>
      </c>
      <c r="D923" t="s">
        <v>5303</v>
      </c>
      <c r="E923" t="s">
        <v>4961</v>
      </c>
      <c r="F923" t="s">
        <v>5304</v>
      </c>
      <c r="G923" t="s">
        <v>5305</v>
      </c>
      <c r="H923" s="11">
        <v>38753.610416666699</v>
      </c>
      <c r="I923" s="7" t="s">
        <v>26</v>
      </c>
    </row>
    <row r="924" spans="1:9" ht="15" customHeight="1" x14ac:dyDescent="0.3">
      <c r="A924" t="s">
        <v>5306</v>
      </c>
      <c r="B924" t="s">
        <v>5307</v>
      </c>
      <c r="C924" s="10">
        <v>28284</v>
      </c>
      <c r="D924" t="s">
        <v>5308</v>
      </c>
      <c r="E924" t="s">
        <v>4752</v>
      </c>
      <c r="F924" t="s">
        <v>5309</v>
      </c>
      <c r="G924" t="s">
        <v>5310</v>
      </c>
      <c r="H924" s="11">
        <v>43631.030740740702</v>
      </c>
      <c r="I924" s="7" t="s">
        <v>71</v>
      </c>
    </row>
    <row r="925" spans="1:9" ht="15" customHeight="1" x14ac:dyDescent="0.3">
      <c r="A925" t="s">
        <v>5311</v>
      </c>
      <c r="B925" t="s">
        <v>5312</v>
      </c>
      <c r="C925" s="10">
        <v>29036</v>
      </c>
      <c r="D925" t="s">
        <v>5313</v>
      </c>
      <c r="E925" t="s">
        <v>4806</v>
      </c>
      <c r="F925" t="s">
        <v>5314</v>
      </c>
      <c r="G925" t="s">
        <v>5315</v>
      </c>
      <c r="H925" s="11">
        <v>43786.401215277801</v>
      </c>
      <c r="I925" s="7" t="s">
        <v>26</v>
      </c>
    </row>
    <row r="926" spans="1:9" ht="15" customHeight="1" x14ac:dyDescent="0.3">
      <c r="A926" t="s">
        <v>5316</v>
      </c>
      <c r="B926" t="s">
        <v>5317</v>
      </c>
      <c r="C926" s="10">
        <v>32066</v>
      </c>
      <c r="D926" t="s">
        <v>5318</v>
      </c>
      <c r="E926" t="s">
        <v>4907</v>
      </c>
      <c r="F926" t="s">
        <v>5319</v>
      </c>
      <c r="G926" t="s">
        <v>5320</v>
      </c>
      <c r="H926" s="11">
        <v>42208.750081018501</v>
      </c>
      <c r="I926" s="7" t="s">
        <v>78</v>
      </c>
    </row>
    <row r="927" spans="1:9" ht="15" customHeight="1" x14ac:dyDescent="0.3">
      <c r="A927" t="s">
        <v>5321</v>
      </c>
      <c r="B927" t="s">
        <v>5322</v>
      </c>
      <c r="C927" s="10">
        <v>36339</v>
      </c>
      <c r="D927" t="s">
        <v>5323</v>
      </c>
      <c r="E927" t="s">
        <v>4735</v>
      </c>
      <c r="F927" t="s">
        <v>5324</v>
      </c>
      <c r="G927" t="s">
        <v>5325</v>
      </c>
      <c r="H927" s="11">
        <v>39311.629618055602</v>
      </c>
      <c r="I927" s="7" t="s">
        <v>71</v>
      </c>
    </row>
    <row r="928" spans="1:9" ht="15" customHeight="1" x14ac:dyDescent="0.3">
      <c r="A928" t="s">
        <v>5326</v>
      </c>
      <c r="B928" t="s">
        <v>5327</v>
      </c>
      <c r="C928" s="10">
        <v>32783</v>
      </c>
      <c r="D928" t="s">
        <v>5328</v>
      </c>
      <c r="E928" t="s">
        <v>5015</v>
      </c>
      <c r="F928" t="s">
        <v>5329</v>
      </c>
      <c r="G928" t="s">
        <v>5330</v>
      </c>
      <c r="H928" s="11">
        <v>38443.8852430556</v>
      </c>
      <c r="I928" s="7" t="s">
        <v>52</v>
      </c>
    </row>
    <row r="929" spans="1:9" ht="15" customHeight="1" x14ac:dyDescent="0.3">
      <c r="A929" t="s">
        <v>5331</v>
      </c>
      <c r="B929" t="s">
        <v>5332</v>
      </c>
      <c r="C929" s="10">
        <v>34855</v>
      </c>
      <c r="D929" t="s">
        <v>5333</v>
      </c>
      <c r="E929" t="s">
        <v>5027</v>
      </c>
      <c r="F929" t="s">
        <v>5334</v>
      </c>
      <c r="G929" t="s">
        <v>5335</v>
      </c>
      <c r="H929" s="11">
        <v>39448.479918981502</v>
      </c>
      <c r="I929" s="7" t="s">
        <v>78</v>
      </c>
    </row>
    <row r="930" spans="1:9" ht="15" customHeight="1" x14ac:dyDescent="0.3">
      <c r="A930" t="s">
        <v>5336</v>
      </c>
      <c r="B930" t="s">
        <v>5337</v>
      </c>
      <c r="C930" s="10">
        <v>32835</v>
      </c>
      <c r="D930" t="s">
        <v>5338</v>
      </c>
      <c r="E930" t="s">
        <v>4782</v>
      </c>
      <c r="F930" t="s">
        <v>5339</v>
      </c>
      <c r="G930" t="s">
        <v>5340</v>
      </c>
      <c r="H930" s="11">
        <v>38751.847303240698</v>
      </c>
      <c r="I930" s="7" t="s">
        <v>52</v>
      </c>
    </row>
    <row r="931" spans="1:9" ht="15" customHeight="1" x14ac:dyDescent="0.3">
      <c r="A931" t="s">
        <v>5341</v>
      </c>
      <c r="B931" t="s">
        <v>5342</v>
      </c>
      <c r="C931" s="10">
        <v>27089</v>
      </c>
      <c r="D931" t="s">
        <v>5343</v>
      </c>
      <c r="E931" t="s">
        <v>4967</v>
      </c>
      <c r="F931" t="s">
        <v>5344</v>
      </c>
      <c r="G931" t="s">
        <v>5345</v>
      </c>
      <c r="H931" s="11">
        <v>40908.528148148202</v>
      </c>
      <c r="I931" s="7" t="s">
        <v>52</v>
      </c>
    </row>
    <row r="932" spans="1:9" ht="15" customHeight="1" x14ac:dyDescent="0.3">
      <c r="A932" t="s">
        <v>5346</v>
      </c>
      <c r="B932" t="s">
        <v>5347</v>
      </c>
      <c r="C932" s="10">
        <v>29287</v>
      </c>
      <c r="D932" t="s">
        <v>5348</v>
      </c>
      <c r="E932" t="s">
        <v>4520</v>
      </c>
      <c r="F932" t="s">
        <v>5349</v>
      </c>
      <c r="G932" t="s">
        <v>5350</v>
      </c>
      <c r="H932" s="11">
        <v>41954.1492013889</v>
      </c>
      <c r="I932" s="7" t="s">
        <v>52</v>
      </c>
    </row>
    <row r="933" spans="1:9" ht="15" customHeight="1" x14ac:dyDescent="0.3">
      <c r="A933" t="s">
        <v>5351</v>
      </c>
      <c r="B933" t="s">
        <v>5352</v>
      </c>
      <c r="C933" s="10">
        <v>28011</v>
      </c>
      <c r="D933" t="s">
        <v>5353</v>
      </c>
      <c r="E933" t="s">
        <v>5093</v>
      </c>
      <c r="F933" t="s">
        <v>5354</v>
      </c>
      <c r="G933" t="s">
        <v>5355</v>
      </c>
      <c r="H933" s="11">
        <v>42059.875555555598</v>
      </c>
      <c r="I933" s="7" t="s">
        <v>33</v>
      </c>
    </row>
    <row r="934" spans="1:9" ht="15" customHeight="1" x14ac:dyDescent="0.3">
      <c r="A934" t="s">
        <v>5356</v>
      </c>
      <c r="B934" t="s">
        <v>5357</v>
      </c>
      <c r="C934" s="10">
        <v>34588</v>
      </c>
      <c r="D934" t="s">
        <v>5358</v>
      </c>
      <c r="E934" t="s">
        <v>4532</v>
      </c>
      <c r="F934" t="s">
        <v>5359</v>
      </c>
      <c r="G934" t="s">
        <v>5360</v>
      </c>
      <c r="H934" s="11">
        <v>38968.974259259303</v>
      </c>
      <c r="I934" s="7" t="s">
        <v>26</v>
      </c>
    </row>
    <row r="935" spans="1:9" ht="15" customHeight="1" x14ac:dyDescent="0.3">
      <c r="A935" t="s">
        <v>5361</v>
      </c>
      <c r="B935" t="s">
        <v>5362</v>
      </c>
      <c r="C935" s="10">
        <v>25860</v>
      </c>
      <c r="D935" t="s">
        <v>5363</v>
      </c>
      <c r="E935" t="s">
        <v>4567</v>
      </c>
      <c r="F935" t="s">
        <v>5364</v>
      </c>
      <c r="G935" t="s">
        <v>5365</v>
      </c>
      <c r="H935" s="11">
        <v>40280.837233796301</v>
      </c>
      <c r="I935" s="7" t="s">
        <v>33</v>
      </c>
    </row>
    <row r="936" spans="1:9" ht="15" customHeight="1" x14ac:dyDescent="0.3">
      <c r="A936" t="s">
        <v>5366</v>
      </c>
      <c r="B936" t="s">
        <v>5367</v>
      </c>
      <c r="C936" s="10">
        <v>26311</v>
      </c>
      <c r="D936" t="s">
        <v>5368</v>
      </c>
      <c r="E936" t="s">
        <v>4514</v>
      </c>
      <c r="F936" t="s">
        <v>5369</v>
      </c>
      <c r="G936" t="s">
        <v>5370</v>
      </c>
      <c r="H936" s="11">
        <v>40482.452800925901</v>
      </c>
      <c r="I936" s="7" t="s">
        <v>33</v>
      </c>
    </row>
    <row r="937" spans="1:9" ht="15" customHeight="1" x14ac:dyDescent="0.3">
      <c r="A937" t="s">
        <v>5371</v>
      </c>
      <c r="B937" t="s">
        <v>5372</v>
      </c>
      <c r="C937" s="10">
        <v>28283</v>
      </c>
      <c r="D937" t="s">
        <v>5373</v>
      </c>
      <c r="E937" t="s">
        <v>4896</v>
      </c>
      <c r="F937" t="s">
        <v>5374</v>
      </c>
      <c r="G937" t="s">
        <v>5375</v>
      </c>
      <c r="H937" s="11">
        <v>42310.298125000001</v>
      </c>
      <c r="I937" s="7" t="s">
        <v>33</v>
      </c>
    </row>
    <row r="938" spans="1:9" ht="15" customHeight="1" x14ac:dyDescent="0.3">
      <c r="A938" t="s">
        <v>5376</v>
      </c>
      <c r="B938" t="s">
        <v>5377</v>
      </c>
      <c r="C938" s="10">
        <v>32353</v>
      </c>
      <c r="D938" t="s">
        <v>5378</v>
      </c>
      <c r="E938" t="s">
        <v>4800</v>
      </c>
      <c r="F938" t="s">
        <v>5379</v>
      </c>
      <c r="G938" t="s">
        <v>5380</v>
      </c>
      <c r="H938" s="11">
        <v>40999.2979976852</v>
      </c>
      <c r="I938" s="7" t="s">
        <v>26</v>
      </c>
    </row>
    <row r="939" spans="1:9" ht="15" customHeight="1" x14ac:dyDescent="0.3">
      <c r="A939" t="s">
        <v>5381</v>
      </c>
      <c r="B939" t="s">
        <v>5382</v>
      </c>
      <c r="C939" s="10">
        <v>26493</v>
      </c>
      <c r="D939" t="s">
        <v>5383</v>
      </c>
      <c r="E939" t="s">
        <v>4615</v>
      </c>
      <c r="F939" t="s">
        <v>5384</v>
      </c>
      <c r="G939" t="s">
        <v>5385</v>
      </c>
      <c r="H939" s="11">
        <v>43342.646655092598</v>
      </c>
      <c r="I939" s="7" t="s">
        <v>52</v>
      </c>
    </row>
    <row r="940" spans="1:9" ht="15" customHeight="1" x14ac:dyDescent="0.3">
      <c r="A940" t="s">
        <v>5386</v>
      </c>
      <c r="B940" t="s">
        <v>5387</v>
      </c>
      <c r="C940" s="10">
        <v>36274</v>
      </c>
      <c r="D940" t="s">
        <v>5388</v>
      </c>
      <c r="E940" t="s">
        <v>4389</v>
      </c>
      <c r="F940" t="s">
        <v>5389</v>
      </c>
      <c r="G940" t="s">
        <v>5390</v>
      </c>
      <c r="H940" s="11">
        <v>40402.8066666667</v>
      </c>
      <c r="I940" s="7" t="s">
        <v>33</v>
      </c>
    </row>
    <row r="941" spans="1:9" ht="15" customHeight="1" x14ac:dyDescent="0.3">
      <c r="A941" t="s">
        <v>5391</v>
      </c>
      <c r="B941" t="s">
        <v>5392</v>
      </c>
      <c r="C941" s="10">
        <v>29981</v>
      </c>
      <c r="D941" t="s">
        <v>5393</v>
      </c>
      <c r="E941" t="s">
        <v>4395</v>
      </c>
      <c r="F941" t="s">
        <v>5394</v>
      </c>
      <c r="G941" t="s">
        <v>5395</v>
      </c>
      <c r="H941" s="11">
        <v>39265.846886574102</v>
      </c>
      <c r="I941" s="7" t="s">
        <v>78</v>
      </c>
    </row>
    <row r="942" spans="1:9" ht="15" customHeight="1" x14ac:dyDescent="0.3">
      <c r="A942" t="s">
        <v>5396</v>
      </c>
      <c r="B942" t="s">
        <v>5397</v>
      </c>
      <c r="C942" s="10">
        <v>29304</v>
      </c>
      <c r="D942" t="s">
        <v>5398</v>
      </c>
      <c r="E942" t="s">
        <v>4693</v>
      </c>
      <c r="F942" t="s">
        <v>5399</v>
      </c>
      <c r="G942" t="s">
        <v>5400</v>
      </c>
      <c r="H942" s="11">
        <v>38938.648148148197</v>
      </c>
      <c r="I942" s="7" t="s">
        <v>78</v>
      </c>
    </row>
    <row r="943" spans="1:9" ht="15" customHeight="1" x14ac:dyDescent="0.3">
      <c r="A943" t="s">
        <v>5401</v>
      </c>
      <c r="B943" t="s">
        <v>5402</v>
      </c>
      <c r="C943" s="10">
        <v>32590</v>
      </c>
      <c r="D943" t="s">
        <v>5403</v>
      </c>
      <c r="E943" t="s">
        <v>5099</v>
      </c>
      <c r="F943" t="s">
        <v>5404</v>
      </c>
      <c r="G943" t="s">
        <v>5405</v>
      </c>
      <c r="H943" s="11">
        <v>40909.384375000001</v>
      </c>
      <c r="I943" s="7" t="s">
        <v>33</v>
      </c>
    </row>
    <row r="944" spans="1:9" ht="15" customHeight="1" x14ac:dyDescent="0.3">
      <c r="A944" t="s">
        <v>5406</v>
      </c>
      <c r="B944" t="s">
        <v>5407</v>
      </c>
      <c r="C944" s="10">
        <v>26774</v>
      </c>
      <c r="D944" t="s">
        <v>5408</v>
      </c>
      <c r="E944" t="s">
        <v>4901</v>
      </c>
      <c r="F944" t="s">
        <v>5409</v>
      </c>
      <c r="G944" t="s">
        <v>5410</v>
      </c>
      <c r="H944" s="11">
        <v>39548.542314814797</v>
      </c>
      <c r="I944" s="7" t="s">
        <v>71</v>
      </c>
    </row>
    <row r="945" spans="1:9" ht="15" customHeight="1" x14ac:dyDescent="0.3">
      <c r="A945" t="s">
        <v>5411</v>
      </c>
      <c r="B945" t="s">
        <v>5412</v>
      </c>
      <c r="C945" s="10">
        <v>29151</v>
      </c>
      <c r="D945" t="s">
        <v>5413</v>
      </c>
      <c r="E945" t="s">
        <v>4878</v>
      </c>
      <c r="F945" t="s">
        <v>5414</v>
      </c>
      <c r="G945" t="s">
        <v>5415</v>
      </c>
      <c r="H945" s="11">
        <v>41942.188067129602</v>
      </c>
      <c r="I945" s="7" t="s">
        <v>26</v>
      </c>
    </row>
    <row r="946" spans="1:9" ht="15" customHeight="1" x14ac:dyDescent="0.3">
      <c r="A946" t="s">
        <v>5416</v>
      </c>
      <c r="B946" t="s">
        <v>5417</v>
      </c>
      <c r="C946" s="10">
        <v>31055</v>
      </c>
      <c r="D946" t="s">
        <v>5418</v>
      </c>
      <c r="E946" t="s">
        <v>4937</v>
      </c>
      <c r="F946" t="s">
        <v>5419</v>
      </c>
      <c r="G946" t="s">
        <v>5420</v>
      </c>
      <c r="H946" s="11">
        <v>41926.290787037004</v>
      </c>
      <c r="I946" s="7" t="s">
        <v>33</v>
      </c>
    </row>
    <row r="947" spans="1:9" ht="15" customHeight="1" x14ac:dyDescent="0.3">
      <c r="A947" t="s">
        <v>5421</v>
      </c>
      <c r="B947" t="s">
        <v>5422</v>
      </c>
      <c r="C947" s="10">
        <v>27236</v>
      </c>
      <c r="D947" t="s">
        <v>5423</v>
      </c>
      <c r="E947" t="s">
        <v>4699</v>
      </c>
      <c r="F947" t="s">
        <v>5424</v>
      </c>
      <c r="G947" t="s">
        <v>5425</v>
      </c>
      <c r="H947" s="11">
        <v>41903.4832523148</v>
      </c>
      <c r="I947" s="7" t="s">
        <v>71</v>
      </c>
    </row>
    <row r="948" spans="1:9" ht="15" customHeight="1" x14ac:dyDescent="0.3">
      <c r="A948" t="s">
        <v>5426</v>
      </c>
      <c r="B948" t="s">
        <v>5427</v>
      </c>
      <c r="C948" s="10">
        <v>30345</v>
      </c>
      <c r="D948" t="s">
        <v>5428</v>
      </c>
      <c r="E948" t="s">
        <v>4597</v>
      </c>
      <c r="F948" t="s">
        <v>5429</v>
      </c>
      <c r="G948" t="s">
        <v>5430</v>
      </c>
      <c r="H948" s="11">
        <v>41063.276087963</v>
      </c>
      <c r="I948" s="7" t="s">
        <v>33</v>
      </c>
    </row>
    <row r="949" spans="1:9" ht="15" customHeight="1" x14ac:dyDescent="0.3">
      <c r="A949" t="s">
        <v>5431</v>
      </c>
      <c r="B949" t="s">
        <v>5432</v>
      </c>
      <c r="C949" s="10">
        <v>34989</v>
      </c>
      <c r="D949" t="s">
        <v>5433</v>
      </c>
      <c r="E949" t="s">
        <v>4985</v>
      </c>
      <c r="F949" t="s">
        <v>5434</v>
      </c>
      <c r="G949" t="s">
        <v>5435</v>
      </c>
      <c r="H949" s="11">
        <v>40657.379259259302</v>
      </c>
      <c r="I949" s="7" t="s">
        <v>71</v>
      </c>
    </row>
    <row r="950" spans="1:9" ht="15" customHeight="1" x14ac:dyDescent="0.3">
      <c r="A950" t="s">
        <v>5436</v>
      </c>
      <c r="B950" t="s">
        <v>5437</v>
      </c>
      <c r="C950" s="10">
        <v>32250</v>
      </c>
      <c r="D950" t="s">
        <v>5438</v>
      </c>
      <c r="E950" t="s">
        <v>4526</v>
      </c>
      <c r="F950" t="s">
        <v>5439</v>
      </c>
      <c r="G950" t="s">
        <v>1970</v>
      </c>
      <c r="H950" s="11">
        <v>41749.107326388897</v>
      </c>
      <c r="I950" s="7" t="s">
        <v>52</v>
      </c>
    </row>
    <row r="951" spans="1:9" ht="15" customHeight="1" x14ac:dyDescent="0.3">
      <c r="A951" t="s">
        <v>5440</v>
      </c>
      <c r="B951" t="s">
        <v>5441</v>
      </c>
      <c r="C951" s="10">
        <v>33187</v>
      </c>
      <c r="D951" t="s">
        <v>5442</v>
      </c>
      <c r="E951" t="s">
        <v>4663</v>
      </c>
      <c r="F951" t="s">
        <v>5443</v>
      </c>
      <c r="G951" t="s">
        <v>5444</v>
      </c>
      <c r="H951" s="11">
        <v>43130.435057870403</v>
      </c>
      <c r="I951" s="7" t="s">
        <v>26</v>
      </c>
    </row>
    <row r="952" spans="1:9" ht="15" customHeight="1" x14ac:dyDescent="0.3">
      <c r="A952" t="s">
        <v>5445</v>
      </c>
      <c r="B952" t="s">
        <v>5446</v>
      </c>
      <c r="C952" s="10">
        <v>34327</v>
      </c>
      <c r="D952" t="s">
        <v>5447</v>
      </c>
      <c r="E952" t="s">
        <v>4890</v>
      </c>
      <c r="F952" t="s">
        <v>5448</v>
      </c>
      <c r="G952" t="s">
        <v>5449</v>
      </c>
      <c r="H952" s="11">
        <v>41088.270891203698</v>
      </c>
      <c r="I952" s="7" t="s">
        <v>33</v>
      </c>
    </row>
    <row r="953" spans="1:9" ht="15" customHeight="1" x14ac:dyDescent="0.3">
      <c r="A953" t="s">
        <v>5450</v>
      </c>
      <c r="B953" t="s">
        <v>5451</v>
      </c>
      <c r="C953" s="10">
        <v>33293</v>
      </c>
      <c r="D953" t="s">
        <v>5452</v>
      </c>
      <c r="E953" t="s">
        <v>4991</v>
      </c>
      <c r="F953" t="s">
        <v>5453</v>
      </c>
      <c r="G953" t="s">
        <v>5454</v>
      </c>
      <c r="H953" s="11">
        <v>39602.426493055602</v>
      </c>
      <c r="I953" s="7" t="s">
        <v>52</v>
      </c>
    </row>
    <row r="954" spans="1:9" ht="15" customHeight="1" x14ac:dyDescent="0.3">
      <c r="A954" t="s">
        <v>5455</v>
      </c>
      <c r="B954" t="s">
        <v>5456</v>
      </c>
      <c r="C954" s="10">
        <v>36472</v>
      </c>
      <c r="D954" t="s">
        <v>5457</v>
      </c>
      <c r="E954" t="s">
        <v>4639</v>
      </c>
      <c r="F954" t="s">
        <v>5458</v>
      </c>
      <c r="G954" t="s">
        <v>5459</v>
      </c>
      <c r="H954" s="11">
        <v>40061.5882291667</v>
      </c>
      <c r="I954" s="7" t="s">
        <v>26</v>
      </c>
    </row>
    <row r="955" spans="1:9" ht="15" customHeight="1" x14ac:dyDescent="0.3">
      <c r="A955" t="s">
        <v>5460</v>
      </c>
      <c r="B955" t="s">
        <v>5461</v>
      </c>
      <c r="C955" s="10">
        <v>26863</v>
      </c>
      <c r="D955" t="s">
        <v>5462</v>
      </c>
      <c r="E955" t="s">
        <v>4931</v>
      </c>
      <c r="F955" t="s">
        <v>5463</v>
      </c>
      <c r="G955" t="s">
        <v>5464</v>
      </c>
      <c r="H955" s="11">
        <v>43482.852916666699</v>
      </c>
      <c r="I955" s="7" t="s">
        <v>78</v>
      </c>
    </row>
    <row r="956" spans="1:9" ht="15" customHeight="1" x14ac:dyDescent="0.3">
      <c r="A956" t="s">
        <v>5465</v>
      </c>
      <c r="B956" t="s">
        <v>5466</v>
      </c>
      <c r="C956" s="10">
        <v>36210</v>
      </c>
      <c r="D956" t="s">
        <v>5467</v>
      </c>
      <c r="E956" t="s">
        <v>4657</v>
      </c>
      <c r="F956" t="s">
        <v>5468</v>
      </c>
      <c r="G956" t="s">
        <v>5469</v>
      </c>
      <c r="H956" s="11">
        <v>39966.4374074074</v>
      </c>
      <c r="I956" s="7" t="s">
        <v>26</v>
      </c>
    </row>
    <row r="957" spans="1:9" ht="15" customHeight="1" x14ac:dyDescent="0.3">
      <c r="A957" t="s">
        <v>5470</v>
      </c>
      <c r="B957" t="s">
        <v>5471</v>
      </c>
      <c r="C957" s="10">
        <v>29667</v>
      </c>
      <c r="D957" t="s">
        <v>5472</v>
      </c>
      <c r="E957" t="s">
        <v>4824</v>
      </c>
      <c r="F957" t="s">
        <v>5473</v>
      </c>
      <c r="G957" t="s">
        <v>5474</v>
      </c>
      <c r="H957" s="11">
        <v>39446.890648148197</v>
      </c>
      <c r="I957" s="7" t="s">
        <v>78</v>
      </c>
    </row>
    <row r="958" spans="1:9" ht="15" customHeight="1" x14ac:dyDescent="0.3">
      <c r="A958" t="s">
        <v>5475</v>
      </c>
      <c r="B958" t="s">
        <v>5476</v>
      </c>
      <c r="C958" s="10">
        <v>28132</v>
      </c>
      <c r="D958" t="s">
        <v>5477</v>
      </c>
      <c r="E958" t="s">
        <v>56</v>
      </c>
      <c r="F958" t="s">
        <v>5478</v>
      </c>
      <c r="G958" t="s">
        <v>5479</v>
      </c>
      <c r="H958" s="11">
        <v>39049.485243055598</v>
      </c>
      <c r="I958" s="7" t="s">
        <v>78</v>
      </c>
    </row>
    <row r="959" spans="1:9" ht="15" customHeight="1" x14ac:dyDescent="0.3">
      <c r="A959" t="s">
        <v>5480</v>
      </c>
      <c r="B959" t="s">
        <v>5481</v>
      </c>
      <c r="C959" s="10">
        <v>29658</v>
      </c>
      <c r="D959" t="s">
        <v>5482</v>
      </c>
      <c r="E959" t="s">
        <v>5081</v>
      </c>
      <c r="F959" t="s">
        <v>5483</v>
      </c>
      <c r="G959" t="s">
        <v>5484</v>
      </c>
      <c r="H959" s="11">
        <v>42669.099965277797</v>
      </c>
      <c r="I959" s="7" t="s">
        <v>71</v>
      </c>
    </row>
    <row r="960" spans="1:9" ht="15" customHeight="1" x14ac:dyDescent="0.3">
      <c r="A960" t="s">
        <v>5485</v>
      </c>
      <c r="B960" t="s">
        <v>5486</v>
      </c>
      <c r="C960" s="10">
        <v>25569</v>
      </c>
      <c r="D960" t="s">
        <v>5487</v>
      </c>
      <c r="E960" t="s">
        <v>4764</v>
      </c>
      <c r="F960" t="s">
        <v>5488</v>
      </c>
      <c r="G960" t="s">
        <v>5489</v>
      </c>
      <c r="H960" s="11">
        <v>43814.767303240696</v>
      </c>
      <c r="I960" s="7" t="s">
        <v>71</v>
      </c>
    </row>
    <row r="961" spans="1:9" ht="15" customHeight="1" x14ac:dyDescent="0.3">
      <c r="A961" t="s">
        <v>5490</v>
      </c>
      <c r="B961" t="s">
        <v>5491</v>
      </c>
      <c r="C961" s="10">
        <v>36246</v>
      </c>
      <c r="D961" t="s">
        <v>5492</v>
      </c>
      <c r="E961" t="s">
        <v>4818</v>
      </c>
      <c r="F961" t="s">
        <v>5493</v>
      </c>
      <c r="G961" t="s">
        <v>5494</v>
      </c>
      <c r="H961" s="11">
        <v>38893.6440856482</v>
      </c>
      <c r="I961" s="7" t="s">
        <v>26</v>
      </c>
    </row>
    <row r="962" spans="1:9" ht="15" customHeight="1" x14ac:dyDescent="0.3">
      <c r="A962" t="s">
        <v>5495</v>
      </c>
      <c r="B962" t="s">
        <v>5496</v>
      </c>
      <c r="C962" s="10">
        <v>29736</v>
      </c>
      <c r="D962" t="s">
        <v>5497</v>
      </c>
      <c r="E962" t="s">
        <v>4723</v>
      </c>
      <c r="F962" t="s">
        <v>5498</v>
      </c>
      <c r="G962" t="s">
        <v>5499</v>
      </c>
      <c r="H962" s="11">
        <v>39072.367060185199</v>
      </c>
      <c r="I962" s="7" t="s">
        <v>71</v>
      </c>
    </row>
    <row r="963" spans="1:9" ht="15" customHeight="1" x14ac:dyDescent="0.3">
      <c r="A963" t="s">
        <v>5500</v>
      </c>
      <c r="B963" t="s">
        <v>5501</v>
      </c>
      <c r="C963" s="10">
        <v>26400</v>
      </c>
      <c r="D963" t="s">
        <v>5502</v>
      </c>
      <c r="E963" t="s">
        <v>4746</v>
      </c>
      <c r="F963" t="s">
        <v>5503</v>
      </c>
      <c r="G963" t="s">
        <v>2114</v>
      </c>
      <c r="H963" s="11">
        <v>43019.959166666697</v>
      </c>
      <c r="I963" s="7" t="s">
        <v>78</v>
      </c>
    </row>
    <row r="964" spans="1:9" ht="15" customHeight="1" x14ac:dyDescent="0.3">
      <c r="A964" t="s">
        <v>5504</v>
      </c>
      <c r="B964" t="s">
        <v>5505</v>
      </c>
      <c r="C964" s="10">
        <v>28291</v>
      </c>
      <c r="D964" t="s">
        <v>5506</v>
      </c>
      <c r="E964" t="s">
        <v>4884</v>
      </c>
      <c r="F964" t="s">
        <v>5507</v>
      </c>
      <c r="G964" t="s">
        <v>1683</v>
      </c>
      <c r="H964" s="11">
        <v>39734.1259027778</v>
      </c>
      <c r="I964" s="7" t="s">
        <v>71</v>
      </c>
    </row>
    <row r="965" spans="1:9" ht="15" customHeight="1" x14ac:dyDescent="0.3">
      <c r="A965" t="s">
        <v>5508</v>
      </c>
      <c r="B965" t="s">
        <v>5509</v>
      </c>
      <c r="C965" s="10">
        <v>26964</v>
      </c>
      <c r="D965" t="s">
        <v>5510</v>
      </c>
      <c r="E965" t="s">
        <v>4431</v>
      </c>
      <c r="F965" t="s">
        <v>5511</v>
      </c>
      <c r="G965" t="s">
        <v>5512</v>
      </c>
      <c r="H965" s="11">
        <v>44101.625185185199</v>
      </c>
      <c r="I965" s="7" t="s">
        <v>52</v>
      </c>
    </row>
    <row r="966" spans="1:9" ht="15" customHeight="1" x14ac:dyDescent="0.3">
      <c r="A966" t="s">
        <v>5513</v>
      </c>
      <c r="B966" t="s">
        <v>5514</v>
      </c>
      <c r="C966" s="10">
        <v>33879</v>
      </c>
      <c r="D966" t="s">
        <v>5515</v>
      </c>
      <c r="E966" t="s">
        <v>4830</v>
      </c>
      <c r="F966" t="s">
        <v>5516</v>
      </c>
      <c r="G966" t="s">
        <v>5517</v>
      </c>
      <c r="H966" s="11">
        <v>39793.254178240699</v>
      </c>
      <c r="I966" s="7" t="s">
        <v>33</v>
      </c>
    </row>
    <row r="967" spans="1:9" ht="15" customHeight="1" x14ac:dyDescent="0.3">
      <c r="A967" t="s">
        <v>5518</v>
      </c>
      <c r="B967" t="s">
        <v>5519</v>
      </c>
      <c r="C967" s="10">
        <v>34297</v>
      </c>
      <c r="D967" t="s">
        <v>5520</v>
      </c>
      <c r="E967" t="s">
        <v>4973</v>
      </c>
      <c r="F967" t="s">
        <v>5521</v>
      </c>
      <c r="G967" t="s">
        <v>5522</v>
      </c>
      <c r="H967" s="11">
        <v>43197.688738425903</v>
      </c>
      <c r="I967" s="7" t="s">
        <v>33</v>
      </c>
    </row>
    <row r="968" spans="1:9" ht="15" customHeight="1" x14ac:dyDescent="0.3">
      <c r="A968" t="s">
        <v>5523</v>
      </c>
      <c r="B968" t="s">
        <v>5524</v>
      </c>
      <c r="C968" s="10">
        <v>27480</v>
      </c>
      <c r="D968" t="s">
        <v>5525</v>
      </c>
      <c r="E968" t="s">
        <v>5051</v>
      </c>
      <c r="F968" t="s">
        <v>5526</v>
      </c>
      <c r="G968" t="s">
        <v>5527</v>
      </c>
      <c r="H968" s="11">
        <v>41428.2575462963</v>
      </c>
      <c r="I968" s="7" t="s">
        <v>71</v>
      </c>
    </row>
    <row r="969" spans="1:9" ht="15" customHeight="1" x14ac:dyDescent="0.3">
      <c r="A969" t="s">
        <v>5528</v>
      </c>
      <c r="B969" t="s">
        <v>5529</v>
      </c>
      <c r="C969" s="10">
        <v>31242</v>
      </c>
      <c r="D969" t="s">
        <v>5530</v>
      </c>
      <c r="E969" t="s">
        <v>4770</v>
      </c>
      <c r="F969" t="s">
        <v>5531</v>
      </c>
      <c r="G969" t="s">
        <v>5532</v>
      </c>
      <c r="H969" s="11">
        <v>38760.2093634259</v>
      </c>
      <c r="I969" s="7" t="s">
        <v>52</v>
      </c>
    </row>
    <row r="970" spans="1:9" ht="15" customHeight="1" x14ac:dyDescent="0.3">
      <c r="A970" t="s">
        <v>5533</v>
      </c>
      <c r="B970" t="s">
        <v>5534</v>
      </c>
      <c r="C970" s="10">
        <v>34813</v>
      </c>
      <c r="D970" t="s">
        <v>5535</v>
      </c>
      <c r="E970" t="s">
        <v>4407</v>
      </c>
      <c r="F970" t="s">
        <v>5536</v>
      </c>
      <c r="G970" t="s">
        <v>5537</v>
      </c>
      <c r="H970" s="11">
        <v>41483.625648148198</v>
      </c>
      <c r="I970" s="7" t="s">
        <v>26</v>
      </c>
    </row>
    <row r="971" spans="1:9" ht="15" customHeight="1" x14ac:dyDescent="0.3">
      <c r="A971" t="s">
        <v>5538</v>
      </c>
      <c r="B971" t="s">
        <v>5539</v>
      </c>
      <c r="C971" s="10">
        <v>28194</v>
      </c>
      <c r="D971" t="s">
        <v>5540</v>
      </c>
      <c r="E971" t="s">
        <v>4854</v>
      </c>
      <c r="F971" t="s">
        <v>5541</v>
      </c>
      <c r="G971" t="s">
        <v>5542</v>
      </c>
      <c r="H971" s="11">
        <v>38501.865891203699</v>
      </c>
      <c r="I971" s="7" t="s">
        <v>78</v>
      </c>
    </row>
    <row r="972" spans="1:9" ht="15" customHeight="1" x14ac:dyDescent="0.3">
      <c r="A972" t="s">
        <v>5543</v>
      </c>
      <c r="B972" t="s">
        <v>5544</v>
      </c>
      <c r="C972" s="10">
        <v>27488</v>
      </c>
      <c r="D972" t="s">
        <v>5545</v>
      </c>
      <c r="E972" t="s">
        <v>4836</v>
      </c>
      <c r="F972" t="s">
        <v>5546</v>
      </c>
      <c r="G972" t="s">
        <v>5547</v>
      </c>
      <c r="H972" s="11">
        <v>43338.960613425901</v>
      </c>
      <c r="I972" s="7" t="s">
        <v>78</v>
      </c>
    </row>
    <row r="973" spans="1:9" ht="15" customHeight="1" x14ac:dyDescent="0.3">
      <c r="A973" t="s">
        <v>5548</v>
      </c>
      <c r="B973" t="s">
        <v>5549</v>
      </c>
      <c r="C973" s="10">
        <v>28675</v>
      </c>
      <c r="D973" t="s">
        <v>5550</v>
      </c>
      <c r="E973" t="s">
        <v>4466</v>
      </c>
      <c r="F973" t="s">
        <v>5551</v>
      </c>
      <c r="G973" t="s">
        <v>5552</v>
      </c>
      <c r="H973" s="11">
        <v>39912.123726851903</v>
      </c>
      <c r="I973" s="7" t="s">
        <v>78</v>
      </c>
    </row>
    <row r="974" spans="1:9" ht="15" customHeight="1" x14ac:dyDescent="0.3">
      <c r="A974" t="s">
        <v>5553</v>
      </c>
      <c r="B974" t="s">
        <v>5554</v>
      </c>
      <c r="C974" s="10">
        <v>29360</v>
      </c>
      <c r="D974" t="s">
        <v>5555</v>
      </c>
      <c r="E974" t="s">
        <v>4383</v>
      </c>
      <c r="F974" t="s">
        <v>5556</v>
      </c>
      <c r="G974" t="s">
        <v>5557</v>
      </c>
      <c r="H974" s="11">
        <v>43294.032442129603</v>
      </c>
      <c r="I974" s="7" t="s">
        <v>52</v>
      </c>
    </row>
    <row r="975" spans="1:9" ht="15" customHeight="1" x14ac:dyDescent="0.3">
      <c r="A975" t="s">
        <v>5558</v>
      </c>
      <c r="B975" t="s">
        <v>5559</v>
      </c>
      <c r="C975" s="10">
        <v>25881</v>
      </c>
      <c r="D975" t="s">
        <v>5560</v>
      </c>
      <c r="E975" t="s">
        <v>4919</v>
      </c>
      <c r="F975" t="s">
        <v>5561</v>
      </c>
      <c r="G975" t="s">
        <v>5562</v>
      </c>
      <c r="H975" s="11">
        <v>42425.609131944497</v>
      </c>
      <c r="I975" s="7" t="s">
        <v>78</v>
      </c>
    </row>
    <row r="976" spans="1:9" ht="15" customHeight="1" x14ac:dyDescent="0.3">
      <c r="A976" t="s">
        <v>5563</v>
      </c>
      <c r="B976" t="s">
        <v>5564</v>
      </c>
      <c r="C976" s="10">
        <v>31636</v>
      </c>
      <c r="D976" t="s">
        <v>5565</v>
      </c>
      <c r="E976" t="s">
        <v>4633</v>
      </c>
      <c r="F976" t="s">
        <v>5566</v>
      </c>
      <c r="G976" t="s">
        <v>5567</v>
      </c>
      <c r="H976" s="11">
        <v>42762.995034722197</v>
      </c>
      <c r="I976" s="7" t="s">
        <v>33</v>
      </c>
    </row>
    <row r="977" spans="1:9" ht="15" customHeight="1" x14ac:dyDescent="0.3">
      <c r="A977" t="s">
        <v>5568</v>
      </c>
      <c r="B977" t="s">
        <v>5569</v>
      </c>
      <c r="C977" s="10">
        <v>33874</v>
      </c>
      <c r="D977" t="s">
        <v>5570</v>
      </c>
      <c r="E977" t="s">
        <v>4943</v>
      </c>
      <c r="F977" t="s">
        <v>5571</v>
      </c>
      <c r="G977" t="s">
        <v>5572</v>
      </c>
      <c r="H977" s="11">
        <v>42291.859722222202</v>
      </c>
      <c r="I977" s="7" t="s">
        <v>78</v>
      </c>
    </row>
    <row r="978" spans="1:9" ht="15" customHeight="1" x14ac:dyDescent="0.3">
      <c r="A978" t="s">
        <v>5573</v>
      </c>
      <c r="B978" t="s">
        <v>5574</v>
      </c>
      <c r="C978" s="10">
        <v>26076</v>
      </c>
      <c r="D978" t="s">
        <v>5575</v>
      </c>
      <c r="E978" t="s">
        <v>4573</v>
      </c>
      <c r="F978" t="s">
        <v>5576</v>
      </c>
      <c r="G978" t="s">
        <v>5577</v>
      </c>
      <c r="H978" s="11">
        <v>40968.121307870402</v>
      </c>
      <c r="I978" s="7" t="s">
        <v>26</v>
      </c>
    </row>
    <row r="979" spans="1:9" ht="15" customHeight="1" x14ac:dyDescent="0.3">
      <c r="A979" t="s">
        <v>5578</v>
      </c>
      <c r="B979" t="s">
        <v>5579</v>
      </c>
      <c r="C979" s="10">
        <v>31678</v>
      </c>
      <c r="D979" t="s">
        <v>5580</v>
      </c>
      <c r="E979" t="s">
        <v>4549</v>
      </c>
      <c r="F979" t="s">
        <v>5581</v>
      </c>
      <c r="G979" t="s">
        <v>5582</v>
      </c>
      <c r="H979" s="11">
        <v>43114.704756944499</v>
      </c>
      <c r="I979" s="7" t="s">
        <v>71</v>
      </c>
    </row>
    <row r="980" spans="1:9" ht="15" customHeight="1" x14ac:dyDescent="0.3">
      <c r="A980" t="s">
        <v>5583</v>
      </c>
      <c r="B980" t="s">
        <v>5584</v>
      </c>
      <c r="C980" s="10">
        <v>36490</v>
      </c>
      <c r="D980" t="s">
        <v>5585</v>
      </c>
      <c r="E980" t="s">
        <v>4478</v>
      </c>
      <c r="F980" t="s">
        <v>5586</v>
      </c>
      <c r="G980" t="s">
        <v>5587</v>
      </c>
      <c r="H980" s="11">
        <v>43410.436921296299</v>
      </c>
      <c r="I980" s="7" t="s">
        <v>33</v>
      </c>
    </row>
    <row r="981" spans="1:9" ht="15" customHeight="1" x14ac:dyDescent="0.3">
      <c r="A981" t="s">
        <v>5588</v>
      </c>
      <c r="B981" t="s">
        <v>5589</v>
      </c>
      <c r="C981" s="10">
        <v>27288</v>
      </c>
      <c r="D981" t="s">
        <v>5590</v>
      </c>
      <c r="E981" t="s">
        <v>4711</v>
      </c>
      <c r="F981" t="s">
        <v>5591</v>
      </c>
      <c r="G981" t="s">
        <v>5592</v>
      </c>
      <c r="H981" s="11">
        <v>39385.043425925898</v>
      </c>
      <c r="I981" s="7" t="s">
        <v>52</v>
      </c>
    </row>
    <row r="982" spans="1:9" ht="15" customHeight="1" x14ac:dyDescent="0.3">
      <c r="A982" t="s">
        <v>5593</v>
      </c>
      <c r="B982" t="s">
        <v>5594</v>
      </c>
      <c r="C982" s="10">
        <v>34213</v>
      </c>
      <c r="D982" t="s">
        <v>5595</v>
      </c>
      <c r="E982" t="s">
        <v>4681</v>
      </c>
      <c r="F982" t="s">
        <v>5596</v>
      </c>
      <c r="G982" t="s">
        <v>5597</v>
      </c>
      <c r="H982" s="11">
        <v>43440.725451388898</v>
      </c>
      <c r="I982" s="7" t="s">
        <v>78</v>
      </c>
    </row>
    <row r="983" spans="1:9" ht="15" customHeight="1" x14ac:dyDescent="0.3">
      <c r="A983" t="s">
        <v>5598</v>
      </c>
      <c r="B983" t="s">
        <v>5599</v>
      </c>
      <c r="C983" s="10">
        <v>26530</v>
      </c>
      <c r="D983" t="s">
        <v>5600</v>
      </c>
      <c r="E983" t="s">
        <v>4454</v>
      </c>
      <c r="F983" t="s">
        <v>5601</v>
      </c>
      <c r="G983" t="s">
        <v>5602</v>
      </c>
      <c r="H983" s="11">
        <v>41284.308657407397</v>
      </c>
      <c r="I983" s="7" t="s">
        <v>26</v>
      </c>
    </row>
    <row r="984" spans="1:9" ht="15" customHeight="1" x14ac:dyDescent="0.3">
      <c r="A984" t="s">
        <v>5603</v>
      </c>
      <c r="B984" t="s">
        <v>5604</v>
      </c>
      <c r="C984" s="10">
        <v>30446</v>
      </c>
      <c r="D984" t="s">
        <v>5605</v>
      </c>
      <c r="E984" t="s">
        <v>4609</v>
      </c>
      <c r="F984" t="s">
        <v>5606</v>
      </c>
      <c r="G984" t="s">
        <v>5156</v>
      </c>
      <c r="H984" s="11">
        <v>40536.009988425903</v>
      </c>
      <c r="I984" s="7" t="s">
        <v>26</v>
      </c>
    </row>
    <row r="985" spans="1:9" ht="15" customHeight="1" x14ac:dyDescent="0.3">
      <c r="A985" t="s">
        <v>5607</v>
      </c>
      <c r="B985" t="s">
        <v>5608</v>
      </c>
      <c r="C985" s="10">
        <v>34730</v>
      </c>
      <c r="D985" t="s">
        <v>5609</v>
      </c>
      <c r="E985" t="s">
        <v>5003</v>
      </c>
      <c r="F985" t="s">
        <v>5610</v>
      </c>
      <c r="G985" t="s">
        <v>5611</v>
      </c>
      <c r="H985" s="11">
        <v>43430.870752314797</v>
      </c>
      <c r="I985" s="7" t="s">
        <v>78</v>
      </c>
    </row>
    <row r="986" spans="1:9" ht="15" customHeight="1" x14ac:dyDescent="0.3">
      <c r="A986" t="s">
        <v>5612</v>
      </c>
      <c r="B986" t="s">
        <v>5613</v>
      </c>
      <c r="C986" s="10">
        <v>32774</v>
      </c>
      <c r="D986" t="s">
        <v>5614</v>
      </c>
      <c r="E986" t="s">
        <v>4979</v>
      </c>
      <c r="F986" t="s">
        <v>5615</v>
      </c>
      <c r="G986" t="s">
        <v>2473</v>
      </c>
      <c r="H986" s="11">
        <v>42121.8362037037</v>
      </c>
      <c r="I986" s="7" t="s">
        <v>26</v>
      </c>
    </row>
    <row r="987" spans="1:9" ht="15" customHeight="1" x14ac:dyDescent="0.3">
      <c r="A987" t="s">
        <v>5616</v>
      </c>
      <c r="B987" t="s">
        <v>5617</v>
      </c>
      <c r="C987" s="10">
        <v>28066</v>
      </c>
      <c r="D987" t="s">
        <v>5618</v>
      </c>
      <c r="E987" t="s">
        <v>4401</v>
      </c>
      <c r="F987" t="s">
        <v>5619</v>
      </c>
      <c r="G987" t="s">
        <v>5620</v>
      </c>
      <c r="H987" s="11">
        <v>43256.360127314802</v>
      </c>
      <c r="I987" s="7" t="s">
        <v>33</v>
      </c>
    </row>
    <row r="988" spans="1:9" ht="15" customHeight="1" x14ac:dyDescent="0.3">
      <c r="A988" t="s">
        <v>5621</v>
      </c>
      <c r="B988" t="s">
        <v>5622</v>
      </c>
      <c r="C988" s="10">
        <v>25652</v>
      </c>
      <c r="D988" t="s">
        <v>5623</v>
      </c>
      <c r="E988" t="s">
        <v>4413</v>
      </c>
      <c r="F988" t="s">
        <v>5624</v>
      </c>
      <c r="G988" t="s">
        <v>5625</v>
      </c>
      <c r="H988" s="11">
        <v>44198.741747685199</v>
      </c>
      <c r="I988" s="7" t="s">
        <v>78</v>
      </c>
    </row>
    <row r="989" spans="1:9" ht="15" customHeight="1" x14ac:dyDescent="0.3">
      <c r="A989" t="s">
        <v>5626</v>
      </c>
      <c r="B989" t="s">
        <v>5627</v>
      </c>
      <c r="C989" s="10">
        <v>31140</v>
      </c>
      <c r="D989" t="s">
        <v>5628</v>
      </c>
      <c r="E989" t="s">
        <v>4758</v>
      </c>
      <c r="F989" t="s">
        <v>5629</v>
      </c>
      <c r="G989" t="s">
        <v>5630</v>
      </c>
      <c r="H989" s="11">
        <v>38751.189583333296</v>
      </c>
      <c r="I989" s="7" t="s">
        <v>71</v>
      </c>
    </row>
    <row r="990" spans="1:9" ht="15" customHeight="1" x14ac:dyDescent="0.3">
      <c r="A990" t="s">
        <v>5631</v>
      </c>
      <c r="B990" t="s">
        <v>5632</v>
      </c>
      <c r="C990" s="10">
        <v>26330</v>
      </c>
      <c r="D990" t="s">
        <v>5633</v>
      </c>
      <c r="E990" t="s">
        <v>5057</v>
      </c>
      <c r="F990" t="s">
        <v>5634</v>
      </c>
      <c r="G990" t="s">
        <v>5635</v>
      </c>
      <c r="H990" s="11">
        <v>40468.270844907398</v>
      </c>
      <c r="I990" s="7" t="s">
        <v>78</v>
      </c>
    </row>
    <row r="991" spans="1:9" ht="15" customHeight="1" x14ac:dyDescent="0.3">
      <c r="A991" t="s">
        <v>5636</v>
      </c>
      <c r="B991" t="s">
        <v>5637</v>
      </c>
      <c r="C991" s="10">
        <v>28342</v>
      </c>
      <c r="D991" t="s">
        <v>5638</v>
      </c>
      <c r="E991" t="s">
        <v>4651</v>
      </c>
      <c r="F991" t="s">
        <v>5639</v>
      </c>
      <c r="G991" t="s">
        <v>5640</v>
      </c>
      <c r="H991" s="11">
        <v>38463.045671296299</v>
      </c>
      <c r="I991" s="7" t="s">
        <v>52</v>
      </c>
    </row>
    <row r="992" spans="1:9" ht="15" customHeight="1" x14ac:dyDescent="0.3">
      <c r="A992" t="s">
        <v>5641</v>
      </c>
      <c r="B992" t="s">
        <v>5642</v>
      </c>
      <c r="C992" s="10">
        <v>27042</v>
      </c>
      <c r="D992" t="s">
        <v>5643</v>
      </c>
      <c r="E992" t="s">
        <v>4603</v>
      </c>
      <c r="F992" t="s">
        <v>5644</v>
      </c>
      <c r="G992" t="s">
        <v>5645</v>
      </c>
      <c r="H992" s="11">
        <v>40820.272743055597</v>
      </c>
      <c r="I992" s="7" t="s">
        <v>78</v>
      </c>
    </row>
    <row r="993" spans="1:9" ht="15" customHeight="1" x14ac:dyDescent="0.3">
      <c r="A993" t="s">
        <v>5646</v>
      </c>
      <c r="B993" t="s">
        <v>5647</v>
      </c>
      <c r="C993" s="10">
        <v>32092</v>
      </c>
      <c r="D993" t="s">
        <v>5648</v>
      </c>
      <c r="E993" t="s">
        <v>4860</v>
      </c>
      <c r="F993" t="s">
        <v>5649</v>
      </c>
      <c r="G993" t="s">
        <v>5650</v>
      </c>
      <c r="H993" s="11">
        <v>42535.487361111103</v>
      </c>
      <c r="I993" s="7" t="s">
        <v>78</v>
      </c>
    </row>
    <row r="994" spans="1:9" ht="15" customHeight="1" x14ac:dyDescent="0.3">
      <c r="A994" t="s">
        <v>5651</v>
      </c>
      <c r="B994" t="s">
        <v>5652</v>
      </c>
      <c r="C994" s="10">
        <v>28943</v>
      </c>
      <c r="D994" t="s">
        <v>5653</v>
      </c>
      <c r="E994" t="s">
        <v>4621</v>
      </c>
      <c r="F994" t="s">
        <v>5654</v>
      </c>
      <c r="G994" t="s">
        <v>5655</v>
      </c>
      <c r="H994" s="11">
        <v>39049.422384259298</v>
      </c>
      <c r="I994" s="7" t="s">
        <v>52</v>
      </c>
    </row>
    <row r="995" spans="1:9" ht="15" customHeight="1" x14ac:dyDescent="0.3">
      <c r="A995" t="s">
        <v>5656</v>
      </c>
      <c r="B995" t="s">
        <v>5657</v>
      </c>
      <c r="C995" s="10">
        <v>26540</v>
      </c>
      <c r="D995" t="s">
        <v>5658</v>
      </c>
      <c r="E995" t="s">
        <v>5069</v>
      </c>
      <c r="F995" t="s">
        <v>5659</v>
      </c>
      <c r="G995" t="s">
        <v>5660</v>
      </c>
      <c r="H995" s="11">
        <v>41516.643159722204</v>
      </c>
      <c r="I995" s="7" t="s">
        <v>52</v>
      </c>
    </row>
    <row r="996" spans="1:9" ht="15" customHeight="1" x14ac:dyDescent="0.3">
      <c r="A996" t="s">
        <v>5661</v>
      </c>
      <c r="B996" t="s">
        <v>5662</v>
      </c>
      <c r="C996" s="10">
        <v>28772</v>
      </c>
      <c r="D996" t="s">
        <v>5663</v>
      </c>
      <c r="E996" t="s">
        <v>4997</v>
      </c>
      <c r="F996" t="s">
        <v>5664</v>
      </c>
      <c r="G996" t="s">
        <v>5665</v>
      </c>
      <c r="H996" s="11">
        <v>40272.879976851902</v>
      </c>
      <c r="I996" s="7" t="s">
        <v>78</v>
      </c>
    </row>
    <row r="997" spans="1:9" ht="15" customHeight="1" x14ac:dyDescent="0.3">
      <c r="A997" t="s">
        <v>5666</v>
      </c>
      <c r="B997" t="s">
        <v>5667</v>
      </c>
      <c r="C997" s="10">
        <v>31554</v>
      </c>
      <c r="D997" t="s">
        <v>5668</v>
      </c>
      <c r="E997" t="s">
        <v>4949</v>
      </c>
      <c r="F997" t="s">
        <v>5669</v>
      </c>
      <c r="G997" t="s">
        <v>5670</v>
      </c>
      <c r="H997" s="11">
        <v>39493.921851851897</v>
      </c>
      <c r="I997" s="7" t="s">
        <v>52</v>
      </c>
    </row>
    <row r="998" spans="1:9" ht="15" customHeight="1" x14ac:dyDescent="0.3">
      <c r="A998" t="s">
        <v>5671</v>
      </c>
      <c r="B998" t="s">
        <v>5672</v>
      </c>
      <c r="C998" s="10">
        <v>31797</v>
      </c>
      <c r="D998" t="s">
        <v>5673</v>
      </c>
      <c r="E998" t="s">
        <v>4425</v>
      </c>
      <c r="F998" t="s">
        <v>5674</v>
      </c>
      <c r="G998" t="s">
        <v>5675</v>
      </c>
      <c r="H998" s="11">
        <v>42401.895949074104</v>
      </c>
      <c r="I998" s="7" t="s">
        <v>26</v>
      </c>
    </row>
    <row r="999" spans="1:9" ht="15" customHeight="1" x14ac:dyDescent="0.3">
      <c r="A999" t="s">
        <v>5676</v>
      </c>
      <c r="B999" t="s">
        <v>5677</v>
      </c>
      <c r="C999" s="10">
        <v>36041</v>
      </c>
      <c r="D999" t="s">
        <v>5678</v>
      </c>
      <c r="E999" t="s">
        <v>4448</v>
      </c>
      <c r="F999" t="s">
        <v>5679</v>
      </c>
      <c r="G999" t="s">
        <v>5680</v>
      </c>
      <c r="H999" s="11">
        <v>42502.694120370397</v>
      </c>
      <c r="I999" s="7" t="s">
        <v>52</v>
      </c>
    </row>
    <row r="1000" spans="1:9" ht="15" customHeight="1" x14ac:dyDescent="0.3">
      <c r="A1000" t="s">
        <v>5681</v>
      </c>
      <c r="B1000" t="s">
        <v>5682</v>
      </c>
      <c r="C1000" s="10">
        <v>28099</v>
      </c>
      <c r="D1000" t="s">
        <v>5683</v>
      </c>
      <c r="E1000" t="s">
        <v>5039</v>
      </c>
      <c r="F1000" t="s">
        <v>5684</v>
      </c>
      <c r="G1000" t="s">
        <v>5685</v>
      </c>
      <c r="H1000" s="11">
        <v>43322.088252314803</v>
      </c>
      <c r="I1000" s="7" t="s">
        <v>26</v>
      </c>
    </row>
  </sheetData>
  <autoFilter ref="A1:I1000" xr:uid="{00000000-0009-0000-0000-000001000000}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showGridLines="0" zoomScaleNormal="100" workbookViewId="0">
      <selection activeCell="A14" sqref="A14:F14"/>
    </sheetView>
  </sheetViews>
  <sheetFormatPr baseColWidth="10" defaultColWidth="8.6640625" defaultRowHeight="14.4" x14ac:dyDescent="0.3"/>
  <cols>
    <col min="1" max="1" width="42" customWidth="1"/>
    <col min="2" max="2" width="14" customWidth="1"/>
  </cols>
  <sheetData>
    <row r="1" spans="1:6" ht="17.25" customHeight="1" x14ac:dyDescent="0.3">
      <c r="A1" s="2" t="s">
        <v>0</v>
      </c>
    </row>
    <row r="3" spans="1:6" ht="15" customHeight="1" x14ac:dyDescent="0.3">
      <c r="A3" s="3" t="s">
        <v>1</v>
      </c>
      <c r="B3" s="4">
        <f>COUNTA(Hoja1!A2:A1000)</f>
        <v>999</v>
      </c>
    </row>
    <row r="4" spans="1:6" ht="15" customHeight="1" x14ac:dyDescent="0.3">
      <c r="A4" s="3" t="s">
        <v>2</v>
      </c>
      <c r="B4" s="4">
        <f>COUNTIF(Diagnóstico!C2:C1000,"Sí")</f>
        <v>0</v>
      </c>
    </row>
    <row r="5" spans="1:6" ht="15" customHeight="1" x14ac:dyDescent="0.3">
      <c r="A5" s="3" t="s">
        <v>3</v>
      </c>
      <c r="B5" s="4">
        <f>COUNTIF(Diagnóstico!D2:D1000,"Sí")</f>
        <v>0</v>
      </c>
    </row>
    <row r="6" spans="1:6" ht="15" customHeight="1" x14ac:dyDescent="0.3">
      <c r="A6" s="3" t="s">
        <v>4</v>
      </c>
      <c r="B6" s="4">
        <f>COUNTIF(Diagnóstico!E2:E1000,"Sí")</f>
        <v>0</v>
      </c>
    </row>
    <row r="7" spans="1:6" ht="15" customHeight="1" x14ac:dyDescent="0.3">
      <c r="A7" s="3" t="s">
        <v>5</v>
      </c>
      <c r="B7" s="4">
        <f>COUNTIF(Diagnóstico!F2:F1000,"Sí")</f>
        <v>44</v>
      </c>
    </row>
    <row r="8" spans="1:6" ht="15" customHeight="1" x14ac:dyDescent="0.3">
      <c r="A8" s="3" t="s">
        <v>6</v>
      </c>
      <c r="B8" s="4">
        <f>COUNTIF(Diagnóstico!G2:G1000,"Sí")</f>
        <v>0</v>
      </c>
    </row>
    <row r="9" spans="1:6" ht="15" customHeight="1" x14ac:dyDescent="0.3">
      <c r="A9" s="3" t="s">
        <v>7</v>
      </c>
      <c r="B9" s="4">
        <f>COUNTIF(Diagnóstico!H2:H1000,"Sí")</f>
        <v>0</v>
      </c>
    </row>
    <row r="10" spans="1:6" ht="15" customHeight="1" x14ac:dyDescent="0.3">
      <c r="A10" s="3" t="s">
        <v>8</v>
      </c>
      <c r="B10" s="4">
        <f>COUNTIF(Diagnóstico!I2:I1000,"Sí")</f>
        <v>0</v>
      </c>
    </row>
    <row r="11" spans="1:6" ht="15" customHeight="1" x14ac:dyDescent="0.3">
      <c r="A11" s="3" t="s">
        <v>9</v>
      </c>
      <c r="B11" s="4">
        <f>COUNTIF(Diagnóstico!J2:J1000,"Sí")</f>
        <v>119</v>
      </c>
    </row>
    <row r="12" spans="1:6" ht="15" customHeight="1" x14ac:dyDescent="0.3">
      <c r="A12" s="5" t="s">
        <v>10</v>
      </c>
      <c r="B12" s="6">
        <f>COUNTIF(Diagnóstico!K2:K1000,"Sí")</f>
        <v>157</v>
      </c>
    </row>
    <row r="14" spans="1:6" ht="21.75" customHeight="1" x14ac:dyDescent="0.3">
      <c r="A14" s="1"/>
      <c r="B14" s="1"/>
      <c r="C14" s="1"/>
      <c r="D14" s="1"/>
      <c r="E14" s="1"/>
      <c r="F14" s="1"/>
    </row>
  </sheetData>
  <mergeCells count="1">
    <mergeCell ref="A14:F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12" customWidth="1"/>
    <col min="4" max="4" width="18" customWidth="1"/>
    <col min="5" max="5" width="12" customWidth="1"/>
    <col min="6" max="6" width="15" customWidth="1"/>
    <col min="7" max="8" width="22" customWidth="1"/>
    <col min="9" max="10" width="26" customWidth="1"/>
    <col min="11" max="11" width="10" hidden="1" customWidth="1"/>
  </cols>
  <sheetData>
    <row r="1" spans="1:11" ht="30" customHeight="1" x14ac:dyDescent="0.3">
      <c r="A1" s="12" t="s">
        <v>11</v>
      </c>
      <c r="B1" s="12" t="s">
        <v>12</v>
      </c>
      <c r="C1" s="12" t="s">
        <v>5686</v>
      </c>
      <c r="D1" s="12" t="s">
        <v>5687</v>
      </c>
      <c r="E1" s="12" t="s">
        <v>5688</v>
      </c>
      <c r="F1" s="12" t="s">
        <v>5689</v>
      </c>
      <c r="G1" s="12" t="s">
        <v>5690</v>
      </c>
      <c r="H1" s="12" t="s">
        <v>5691</v>
      </c>
      <c r="I1" s="12" t="s">
        <v>5692</v>
      </c>
      <c r="J1" s="12" t="s">
        <v>5693</v>
      </c>
      <c r="K1" s="12" t="s">
        <v>5694</v>
      </c>
    </row>
    <row r="2" spans="1:11" ht="15" customHeight="1" x14ac:dyDescent="0.3">
      <c r="A2" s="3" t="str">
        <f>Hoja1!A2</f>
        <v>C0001</v>
      </c>
      <c r="B2" s="3" t="str">
        <f>Hoja1!B2</f>
        <v>Leandra Anna Malo Alba</v>
      </c>
      <c r="C2" s="3" t="str">
        <f>IF(COUNTA(Hoja1!A2:I2)=0,"Sí","No")</f>
        <v>No</v>
      </c>
      <c r="D2" s="3" t="str">
        <f>IF(COUNTBLANK(Hoja1!A2:I2)&gt;0,"Sí","No")</f>
        <v>No</v>
      </c>
      <c r="E2" s="3" t="str">
        <f>IF(COUNTIF(Hoja1!$A$2:$A$1000,Hoja1!A2)&gt;1,"Sí","No")</f>
        <v>No</v>
      </c>
      <c r="F2" s="3" t="str">
        <f>IF(COUNTIF(Hoja1!$G$2:$G$1000,Hoja1!G2)&gt;1,"Sí","No")</f>
        <v>No</v>
      </c>
      <c r="G2" s="3" t="str">
        <f>IF(OR(ISERROR(FIND("@",Hoja1!G2)),ISERROR(FIND(".",Hoja1!G2,FIND("@",Hoja1!G2)))),"Sí","No")</f>
        <v>No</v>
      </c>
      <c r="H2" s="3" t="str">
        <f>IF(LEN(Hoja1!F2)&lt;&gt;14,"Sí","No")</f>
        <v>No</v>
      </c>
      <c r="I2" s="3" t="str">
        <f>IF(Hoja1!C2&gt;Hoja1!H2,"Sí","No")</f>
        <v>No</v>
      </c>
      <c r="J2" s="3" t="str">
        <f>IF(SUMPRODUCT(--ISNUMBER(SEARCH({"0";"1";"2";"3";"4";"5";"6";"7";"8";"9"},Hoja1!D2)))=0,"Sí","No")</f>
        <v>No</v>
      </c>
      <c r="K2" s="3" t="str">
        <f t="shared" ref="K2:K65" si="0">IF(COUNTIF(C2:J2,"Sí")&gt;0,"Sí","No")</f>
        <v>No</v>
      </c>
    </row>
    <row r="3" spans="1:11" ht="15" customHeight="1" x14ac:dyDescent="0.3">
      <c r="A3" s="3" t="str">
        <f>Hoja1!A3</f>
        <v>C0002</v>
      </c>
      <c r="B3" s="3" t="str">
        <f>Hoja1!B3</f>
        <v>Severo Granados Iglesia</v>
      </c>
      <c r="C3" s="3" t="str">
        <f>IF(COUNTA(Hoja1!A3:I3)=0,"Sí","No")</f>
        <v>No</v>
      </c>
      <c r="D3" s="3" t="str">
        <f>IF(COUNTBLANK(Hoja1!A3:I3)&gt;0,"Sí","No")</f>
        <v>No</v>
      </c>
      <c r="E3" s="3" t="str">
        <f>IF(COUNTIF(Hoja1!$A$2:$A$1000,Hoja1!A3)&gt;1,"Sí","No")</f>
        <v>No</v>
      </c>
      <c r="F3" s="3" t="str">
        <f>IF(COUNTIF(Hoja1!$G$2:$G$1000,Hoja1!G3)&gt;1,"Sí","No")</f>
        <v>No</v>
      </c>
      <c r="G3" s="3" t="str">
        <f>IF(OR(ISERROR(FIND("@",Hoja1!G3)),ISERROR(FIND(".",Hoja1!G3,FIND("@",Hoja1!G3)))),"Sí","No")</f>
        <v>No</v>
      </c>
      <c r="H3" s="3" t="str">
        <f>IF(LEN(Hoja1!F3)&lt;&gt;14,"Sí","No")</f>
        <v>No</v>
      </c>
      <c r="I3" s="3" t="str">
        <f>IF(Hoja1!C3&gt;Hoja1!H3,"Sí","No")</f>
        <v>No</v>
      </c>
      <c r="J3" s="3" t="str">
        <f>IF(SUMPRODUCT(--ISNUMBER(SEARCH({"0";"1";"2";"3";"4";"5";"6";"7";"8";"9"},Hoja1!D3)))=0,"Sí","No")</f>
        <v>No</v>
      </c>
      <c r="K3" s="3" t="str">
        <f t="shared" si="0"/>
        <v>No</v>
      </c>
    </row>
    <row r="4" spans="1:11" ht="15" customHeight="1" x14ac:dyDescent="0.3">
      <c r="A4" s="3" t="str">
        <f>Hoja1!A4</f>
        <v>C0003</v>
      </c>
      <c r="B4" s="3" t="str">
        <f>Hoja1!B4</f>
        <v>Lucho Andreu Amat</v>
      </c>
      <c r="C4" s="3" t="str">
        <f>IF(COUNTA(Hoja1!A4:I4)=0,"Sí","No")</f>
        <v>No</v>
      </c>
      <c r="D4" s="3" t="str">
        <f>IF(COUNTBLANK(Hoja1!A4:I4)&gt;0,"Sí","No")</f>
        <v>No</v>
      </c>
      <c r="E4" s="3" t="str">
        <f>IF(COUNTIF(Hoja1!$A$2:$A$1000,Hoja1!A4)&gt;1,"Sí","No")</f>
        <v>No</v>
      </c>
      <c r="F4" s="3" t="str">
        <f>IF(COUNTIF(Hoja1!$G$2:$G$1000,Hoja1!G4)&gt;1,"Sí","No")</f>
        <v>No</v>
      </c>
      <c r="G4" s="3" t="str">
        <f>IF(OR(ISERROR(FIND("@",Hoja1!G4)),ISERROR(FIND(".",Hoja1!G4,FIND("@",Hoja1!G4)))),"Sí","No")</f>
        <v>No</v>
      </c>
      <c r="H4" s="3" t="str">
        <f>IF(LEN(Hoja1!F4)&lt;&gt;14,"Sí","No")</f>
        <v>No</v>
      </c>
      <c r="I4" s="3" t="str">
        <f>IF(Hoja1!C4&gt;Hoja1!H4,"Sí","No")</f>
        <v>No</v>
      </c>
      <c r="J4" s="3" t="str">
        <f>IF(SUMPRODUCT(--ISNUMBER(SEARCH({"0";"1";"2";"3";"4";"5";"6";"7";"8";"9"},Hoja1!D4)))=0,"Sí","No")</f>
        <v>No</v>
      </c>
      <c r="K4" s="3" t="str">
        <f t="shared" si="0"/>
        <v>No</v>
      </c>
    </row>
    <row r="5" spans="1:11" ht="15" customHeight="1" x14ac:dyDescent="0.3">
      <c r="A5" s="3" t="str">
        <f>Hoja1!A5</f>
        <v>C0004</v>
      </c>
      <c r="B5" s="3" t="str">
        <f>Hoja1!B5</f>
        <v>Matías Mauricio Castillo Barrera</v>
      </c>
      <c r="C5" s="3" t="str">
        <f>IF(COUNTA(Hoja1!A5:I5)=0,"Sí","No")</f>
        <v>No</v>
      </c>
      <c r="D5" s="3" t="str">
        <f>IF(COUNTBLANK(Hoja1!A5:I5)&gt;0,"Sí","No")</f>
        <v>No</v>
      </c>
      <c r="E5" s="3" t="str">
        <f>IF(COUNTIF(Hoja1!$A$2:$A$1000,Hoja1!A5)&gt;1,"Sí","No")</f>
        <v>No</v>
      </c>
      <c r="F5" s="3" t="str">
        <f>IF(COUNTIF(Hoja1!$G$2:$G$1000,Hoja1!G5)&gt;1,"Sí","No")</f>
        <v>No</v>
      </c>
      <c r="G5" s="3" t="str">
        <f>IF(OR(ISERROR(FIND("@",Hoja1!G5)),ISERROR(FIND(".",Hoja1!G5,FIND("@",Hoja1!G5)))),"Sí","No")</f>
        <v>No</v>
      </c>
      <c r="H5" s="3" t="str">
        <f>IF(LEN(Hoja1!F5)&lt;&gt;14,"Sí","No")</f>
        <v>No</v>
      </c>
      <c r="I5" s="3" t="str">
        <f>IF(Hoja1!C5&gt;Hoja1!H5,"Sí","No")</f>
        <v>No</v>
      </c>
      <c r="J5" s="3" t="str">
        <f>IF(SUMPRODUCT(--ISNUMBER(SEARCH({"0";"1";"2";"3";"4";"5";"6";"7";"8";"9"},Hoja1!D5)))=0,"Sí","No")</f>
        <v>No</v>
      </c>
      <c r="K5" s="3" t="str">
        <f t="shared" si="0"/>
        <v>No</v>
      </c>
    </row>
    <row r="6" spans="1:11" ht="15" customHeight="1" x14ac:dyDescent="0.3">
      <c r="A6" s="3" t="str">
        <f>Hoja1!A6</f>
        <v>C0005</v>
      </c>
      <c r="B6" s="3" t="str">
        <f>Hoja1!B6</f>
        <v>Mauricio Guijarro Castelló</v>
      </c>
      <c r="C6" s="3" t="str">
        <f>IF(COUNTA(Hoja1!A6:I6)=0,"Sí","No")</f>
        <v>No</v>
      </c>
      <c r="D6" s="3" t="str">
        <f>IF(COUNTBLANK(Hoja1!A6:I6)&gt;0,"Sí","No")</f>
        <v>No</v>
      </c>
      <c r="E6" s="3" t="str">
        <f>IF(COUNTIF(Hoja1!$A$2:$A$1000,Hoja1!A6)&gt;1,"Sí","No")</f>
        <v>No</v>
      </c>
      <c r="F6" s="3" t="str">
        <f>IF(COUNTIF(Hoja1!$G$2:$G$1000,Hoja1!G6)&gt;1,"Sí","No")</f>
        <v>No</v>
      </c>
      <c r="G6" s="3" t="str">
        <f>IF(OR(ISERROR(FIND("@",Hoja1!G6)),ISERROR(FIND(".",Hoja1!G6,FIND("@",Hoja1!G6)))),"Sí","No")</f>
        <v>No</v>
      </c>
      <c r="H6" s="3" t="str">
        <f>IF(LEN(Hoja1!F6)&lt;&gt;14,"Sí","No")</f>
        <v>No</v>
      </c>
      <c r="I6" s="3" t="str">
        <f>IF(Hoja1!C6&gt;Hoja1!H6,"Sí","No")</f>
        <v>No</v>
      </c>
      <c r="J6" s="3" t="str">
        <f>IF(SUMPRODUCT(--ISNUMBER(SEARCH({"0";"1";"2";"3";"4";"5";"6";"7";"8";"9"},Hoja1!D6)))=0,"Sí","No")</f>
        <v>No</v>
      </c>
      <c r="K6" s="3" t="str">
        <f t="shared" si="0"/>
        <v>No</v>
      </c>
    </row>
    <row r="7" spans="1:11" ht="15" customHeight="1" x14ac:dyDescent="0.3">
      <c r="A7" s="3" t="str">
        <f>Hoja1!A7</f>
        <v>C0006</v>
      </c>
      <c r="B7" s="3" t="str">
        <f>Hoja1!B7</f>
        <v>Isaura Leyre Avilés Pelayo</v>
      </c>
      <c r="C7" s="3" t="str">
        <f>IF(COUNTA(Hoja1!A7:I7)=0,"Sí","No")</f>
        <v>No</v>
      </c>
      <c r="D7" s="3" t="str">
        <f>IF(COUNTBLANK(Hoja1!A7:I7)&gt;0,"Sí","No")</f>
        <v>No</v>
      </c>
      <c r="E7" s="3" t="str">
        <f>IF(COUNTIF(Hoja1!$A$2:$A$1000,Hoja1!A7)&gt;1,"Sí","No")</f>
        <v>No</v>
      </c>
      <c r="F7" s="3" t="str">
        <f>IF(COUNTIF(Hoja1!$G$2:$G$1000,Hoja1!G7)&gt;1,"Sí","No")</f>
        <v>No</v>
      </c>
      <c r="G7" s="3" t="str">
        <f>IF(OR(ISERROR(FIND("@",Hoja1!G7)),ISERROR(FIND(".",Hoja1!G7,FIND("@",Hoja1!G7)))),"Sí","No")</f>
        <v>No</v>
      </c>
      <c r="H7" s="3" t="str">
        <f>IF(LEN(Hoja1!F7)&lt;&gt;14,"Sí","No")</f>
        <v>No</v>
      </c>
      <c r="I7" s="3" t="str">
        <f>IF(Hoja1!C7&gt;Hoja1!H7,"Sí","No")</f>
        <v>No</v>
      </c>
      <c r="J7" s="3" t="str">
        <f>IF(SUMPRODUCT(--ISNUMBER(SEARCH({"0";"1";"2";"3";"4";"5";"6";"7";"8";"9"},Hoja1!D7)))=0,"Sí","No")</f>
        <v>No</v>
      </c>
      <c r="K7" s="3" t="str">
        <f t="shared" si="0"/>
        <v>No</v>
      </c>
    </row>
    <row r="8" spans="1:11" ht="15" customHeight="1" x14ac:dyDescent="0.3">
      <c r="A8" s="3" t="str">
        <f>Hoja1!A8</f>
        <v>C0007</v>
      </c>
      <c r="B8" s="3" t="str">
        <f>Hoja1!B8</f>
        <v>Soraya Morera-Lago</v>
      </c>
      <c r="C8" s="3" t="str">
        <f>IF(COUNTA(Hoja1!A8:I8)=0,"Sí","No")</f>
        <v>No</v>
      </c>
      <c r="D8" s="3" t="str">
        <f>IF(COUNTBLANK(Hoja1!A8:I8)&gt;0,"Sí","No")</f>
        <v>No</v>
      </c>
      <c r="E8" s="3" t="str">
        <f>IF(COUNTIF(Hoja1!$A$2:$A$1000,Hoja1!A8)&gt;1,"Sí","No")</f>
        <v>No</v>
      </c>
      <c r="F8" s="3" t="str">
        <f>IF(COUNTIF(Hoja1!$G$2:$G$1000,Hoja1!G8)&gt;1,"Sí","No")</f>
        <v>No</v>
      </c>
      <c r="G8" s="3" t="str">
        <f>IF(OR(ISERROR(FIND("@",Hoja1!G8)),ISERROR(FIND(".",Hoja1!G8,FIND("@",Hoja1!G8)))),"Sí","No")</f>
        <v>No</v>
      </c>
      <c r="H8" s="3" t="str">
        <f>IF(LEN(Hoja1!F8)&lt;&gt;14,"Sí","No")</f>
        <v>No</v>
      </c>
      <c r="I8" s="3" t="str">
        <f>IF(Hoja1!C8&gt;Hoja1!H8,"Sí","No")</f>
        <v>No</v>
      </c>
      <c r="J8" s="3" t="str">
        <f>IF(SUMPRODUCT(--ISNUMBER(SEARCH({"0";"1";"2";"3";"4";"5";"6";"7";"8";"9"},Hoja1!D8)))=0,"Sí","No")</f>
        <v>No</v>
      </c>
      <c r="K8" s="3" t="str">
        <f t="shared" si="0"/>
        <v>No</v>
      </c>
    </row>
    <row r="9" spans="1:11" ht="15" customHeight="1" x14ac:dyDescent="0.3">
      <c r="A9" s="3" t="str">
        <f>Hoja1!A9</f>
        <v>C0008</v>
      </c>
      <c r="B9" s="3" t="str">
        <f>Hoja1!B9</f>
        <v>Victoriano Tapia-Cabanillas</v>
      </c>
      <c r="C9" s="3" t="str">
        <f>IF(COUNTA(Hoja1!A9:I9)=0,"Sí","No")</f>
        <v>No</v>
      </c>
      <c r="D9" s="3" t="str">
        <f>IF(COUNTBLANK(Hoja1!A9:I9)&gt;0,"Sí","No")</f>
        <v>No</v>
      </c>
      <c r="E9" s="3" t="str">
        <f>IF(COUNTIF(Hoja1!$A$2:$A$1000,Hoja1!A9)&gt;1,"Sí","No")</f>
        <v>No</v>
      </c>
      <c r="F9" s="3" t="str">
        <f>IF(COUNTIF(Hoja1!$G$2:$G$1000,Hoja1!G9)&gt;1,"Sí","No")</f>
        <v>No</v>
      </c>
      <c r="G9" s="3" t="str">
        <f>IF(OR(ISERROR(FIND("@",Hoja1!G9)),ISERROR(FIND(".",Hoja1!G9,FIND("@",Hoja1!G9)))),"Sí","No")</f>
        <v>No</v>
      </c>
      <c r="H9" s="3" t="str">
        <f>IF(LEN(Hoja1!F9)&lt;&gt;14,"Sí","No")</f>
        <v>No</v>
      </c>
      <c r="I9" s="3" t="str">
        <f>IF(Hoja1!C9&gt;Hoja1!H9,"Sí","No")</f>
        <v>No</v>
      </c>
      <c r="J9" s="3" t="str">
        <f>IF(SUMPRODUCT(--ISNUMBER(SEARCH({"0";"1";"2";"3";"4";"5";"6";"7";"8";"9"},Hoja1!D9)))=0,"Sí","No")</f>
        <v>No</v>
      </c>
      <c r="K9" s="3" t="str">
        <f t="shared" si="0"/>
        <v>No</v>
      </c>
    </row>
    <row r="10" spans="1:11" ht="15" customHeight="1" x14ac:dyDescent="0.3">
      <c r="A10" s="3" t="str">
        <f>Hoja1!A10</f>
        <v>C0009</v>
      </c>
      <c r="B10" s="3" t="str">
        <f>Hoja1!B10</f>
        <v>Nidia Saez Campoy</v>
      </c>
      <c r="C10" s="3" t="str">
        <f>IF(COUNTA(Hoja1!A10:I10)=0,"Sí","No")</f>
        <v>No</v>
      </c>
      <c r="D10" s="3" t="str">
        <f>IF(COUNTBLANK(Hoja1!A10:I10)&gt;0,"Sí","No")</f>
        <v>No</v>
      </c>
      <c r="E10" s="3" t="str">
        <f>IF(COUNTIF(Hoja1!$A$2:$A$1000,Hoja1!A10)&gt;1,"Sí","No")</f>
        <v>No</v>
      </c>
      <c r="F10" s="3" t="str">
        <f>IF(COUNTIF(Hoja1!$G$2:$G$1000,Hoja1!G10)&gt;1,"Sí","No")</f>
        <v>No</v>
      </c>
      <c r="G10" s="3" t="str">
        <f>IF(OR(ISERROR(FIND("@",Hoja1!G10)),ISERROR(FIND(".",Hoja1!G10,FIND("@",Hoja1!G10)))),"Sí","No")</f>
        <v>No</v>
      </c>
      <c r="H10" s="3" t="str">
        <f>IF(LEN(Hoja1!F10)&lt;&gt;14,"Sí","No")</f>
        <v>No</v>
      </c>
      <c r="I10" s="3" t="str">
        <f>IF(Hoja1!C10&gt;Hoja1!H10,"Sí","No")</f>
        <v>No</v>
      </c>
      <c r="J10" s="3" t="str">
        <f>IF(SUMPRODUCT(--ISNUMBER(SEARCH({"0";"1";"2";"3";"4";"5";"6";"7";"8";"9"},Hoja1!D10)))=0,"Sí","No")</f>
        <v>No</v>
      </c>
      <c r="K10" s="3" t="str">
        <f t="shared" si="0"/>
        <v>No</v>
      </c>
    </row>
    <row r="11" spans="1:11" ht="15" customHeight="1" x14ac:dyDescent="0.3">
      <c r="A11" s="3" t="str">
        <f>Hoja1!A11</f>
        <v>C0010</v>
      </c>
      <c r="B11" s="3" t="str">
        <f>Hoja1!B11</f>
        <v>Teófila Villanueva Molina</v>
      </c>
      <c r="C11" s="3" t="str">
        <f>IF(COUNTA(Hoja1!A11:I11)=0,"Sí","No")</f>
        <v>No</v>
      </c>
      <c r="D11" s="3" t="str">
        <f>IF(COUNTBLANK(Hoja1!A11:I11)&gt;0,"Sí","No")</f>
        <v>No</v>
      </c>
      <c r="E11" s="3" t="str">
        <f>IF(COUNTIF(Hoja1!$A$2:$A$1000,Hoja1!A11)&gt;1,"Sí","No")</f>
        <v>No</v>
      </c>
      <c r="F11" s="3" t="str">
        <f>IF(COUNTIF(Hoja1!$G$2:$G$1000,Hoja1!G11)&gt;1,"Sí","No")</f>
        <v>No</v>
      </c>
      <c r="G11" s="3" t="str">
        <f>IF(OR(ISERROR(FIND("@",Hoja1!G11)),ISERROR(FIND(".",Hoja1!G11,FIND("@",Hoja1!G11)))),"Sí","No")</f>
        <v>No</v>
      </c>
      <c r="H11" s="3" t="str">
        <f>IF(LEN(Hoja1!F11)&lt;&gt;14,"Sí","No")</f>
        <v>No</v>
      </c>
      <c r="I11" s="3" t="str">
        <f>IF(Hoja1!C11&gt;Hoja1!H11,"Sí","No")</f>
        <v>No</v>
      </c>
      <c r="J11" s="3" t="str">
        <f>IF(SUMPRODUCT(--ISNUMBER(SEARCH({"0";"1";"2";"3";"4";"5";"6";"7";"8";"9"},Hoja1!D11)))=0,"Sí","No")</f>
        <v>No</v>
      </c>
      <c r="K11" s="3" t="str">
        <f t="shared" si="0"/>
        <v>No</v>
      </c>
    </row>
    <row r="12" spans="1:11" ht="15" customHeight="1" x14ac:dyDescent="0.3">
      <c r="A12" s="3" t="str">
        <f>Hoja1!A12</f>
        <v>C0011</v>
      </c>
      <c r="B12" s="3" t="str">
        <f>Hoja1!B12</f>
        <v>Trini de Alberdi</v>
      </c>
      <c r="C12" s="3" t="str">
        <f>IF(COUNTA(Hoja1!A12:I12)=0,"Sí","No")</f>
        <v>No</v>
      </c>
      <c r="D12" s="3" t="str">
        <f>IF(COUNTBLANK(Hoja1!A12:I12)&gt;0,"Sí","No")</f>
        <v>No</v>
      </c>
      <c r="E12" s="3" t="str">
        <f>IF(COUNTIF(Hoja1!$A$2:$A$1000,Hoja1!A12)&gt;1,"Sí","No")</f>
        <v>No</v>
      </c>
      <c r="F12" s="3" t="str">
        <f>IF(COUNTIF(Hoja1!$G$2:$G$1000,Hoja1!G12)&gt;1,"Sí","No")</f>
        <v>No</v>
      </c>
      <c r="G12" s="3" t="str">
        <f>IF(OR(ISERROR(FIND("@",Hoja1!G12)),ISERROR(FIND(".",Hoja1!G12,FIND("@",Hoja1!G12)))),"Sí","No")</f>
        <v>No</v>
      </c>
      <c r="H12" s="3" t="str">
        <f>IF(LEN(Hoja1!F12)&lt;&gt;14,"Sí","No")</f>
        <v>No</v>
      </c>
      <c r="I12" s="3" t="str">
        <f>IF(Hoja1!C12&gt;Hoja1!H12,"Sí","No")</f>
        <v>No</v>
      </c>
      <c r="J12" s="3" t="str">
        <f>IF(SUMPRODUCT(--ISNUMBER(SEARCH({"0";"1";"2";"3";"4";"5";"6";"7";"8";"9"},Hoja1!D12)))=0,"Sí","No")</f>
        <v>No</v>
      </c>
      <c r="K12" s="3" t="str">
        <f t="shared" si="0"/>
        <v>No</v>
      </c>
    </row>
    <row r="13" spans="1:11" ht="15" customHeight="1" x14ac:dyDescent="0.3">
      <c r="A13" s="3" t="str">
        <f>Hoja1!A13</f>
        <v>C0012</v>
      </c>
      <c r="B13" s="3" t="str">
        <f>Hoja1!B13</f>
        <v>Dani Baena</v>
      </c>
      <c r="C13" s="3" t="str">
        <f>IF(COUNTA(Hoja1!A13:I13)=0,"Sí","No")</f>
        <v>No</v>
      </c>
      <c r="D13" s="3" t="str">
        <f>IF(COUNTBLANK(Hoja1!A13:I13)&gt;0,"Sí","No")</f>
        <v>No</v>
      </c>
      <c r="E13" s="3" t="str">
        <f>IF(COUNTIF(Hoja1!$A$2:$A$1000,Hoja1!A13)&gt;1,"Sí","No")</f>
        <v>No</v>
      </c>
      <c r="F13" s="3" t="str">
        <f>IF(COUNTIF(Hoja1!$G$2:$G$1000,Hoja1!G13)&gt;1,"Sí","No")</f>
        <v>No</v>
      </c>
      <c r="G13" s="3" t="str">
        <f>IF(OR(ISERROR(FIND("@",Hoja1!G13)),ISERROR(FIND(".",Hoja1!G13,FIND("@",Hoja1!G13)))),"Sí","No")</f>
        <v>No</v>
      </c>
      <c r="H13" s="3" t="str">
        <f>IF(LEN(Hoja1!F13)&lt;&gt;14,"Sí","No")</f>
        <v>No</v>
      </c>
      <c r="I13" s="3" t="str">
        <f>IF(Hoja1!C13&gt;Hoja1!H13,"Sí","No")</f>
        <v>No</v>
      </c>
      <c r="J13" s="3" t="str">
        <f>IF(SUMPRODUCT(--ISNUMBER(SEARCH({"0";"1";"2";"3";"4";"5";"6";"7";"8";"9"},Hoja1!D13)))=0,"Sí","No")</f>
        <v>No</v>
      </c>
      <c r="K13" s="3" t="str">
        <f t="shared" si="0"/>
        <v>No</v>
      </c>
    </row>
    <row r="14" spans="1:11" ht="15" customHeight="1" x14ac:dyDescent="0.3">
      <c r="A14" s="3" t="str">
        <f>Hoja1!A14</f>
        <v>C0013</v>
      </c>
      <c r="B14" s="3" t="str">
        <f>Hoja1!B14</f>
        <v>Angelina de Arregui</v>
      </c>
      <c r="C14" s="3" t="str">
        <f>IF(COUNTA(Hoja1!A14:I14)=0,"Sí","No")</f>
        <v>No</v>
      </c>
      <c r="D14" s="3" t="str">
        <f>IF(COUNTBLANK(Hoja1!A14:I14)&gt;0,"Sí","No")</f>
        <v>No</v>
      </c>
      <c r="E14" s="3" t="str">
        <f>IF(COUNTIF(Hoja1!$A$2:$A$1000,Hoja1!A14)&gt;1,"Sí","No")</f>
        <v>No</v>
      </c>
      <c r="F14" s="3" t="str">
        <f>IF(COUNTIF(Hoja1!$G$2:$G$1000,Hoja1!G14)&gt;1,"Sí","No")</f>
        <v>No</v>
      </c>
      <c r="G14" s="3" t="str">
        <f>IF(OR(ISERROR(FIND("@",Hoja1!G14)),ISERROR(FIND(".",Hoja1!G14,FIND("@",Hoja1!G14)))),"Sí","No")</f>
        <v>No</v>
      </c>
      <c r="H14" s="3" t="str">
        <f>IF(LEN(Hoja1!F14)&lt;&gt;14,"Sí","No")</f>
        <v>No</v>
      </c>
      <c r="I14" s="3" t="str">
        <f>IF(Hoja1!C14&gt;Hoja1!H14,"Sí","No")</f>
        <v>No</v>
      </c>
      <c r="J14" s="3" t="str">
        <f>IF(SUMPRODUCT(--ISNUMBER(SEARCH({"0";"1";"2";"3";"4";"5";"6";"7";"8";"9"},Hoja1!D14)))=0,"Sí","No")</f>
        <v>No</v>
      </c>
      <c r="K14" s="3" t="str">
        <f t="shared" si="0"/>
        <v>No</v>
      </c>
    </row>
    <row r="15" spans="1:11" ht="15" customHeight="1" x14ac:dyDescent="0.3">
      <c r="A15" s="3" t="str">
        <f>Hoja1!A15</f>
        <v>C0014</v>
      </c>
      <c r="B15" s="3" t="str">
        <f>Hoja1!B15</f>
        <v>Samuel de Carranza</v>
      </c>
      <c r="C15" s="3" t="str">
        <f>IF(COUNTA(Hoja1!A15:I15)=0,"Sí","No")</f>
        <v>No</v>
      </c>
      <c r="D15" s="3" t="str">
        <f>IF(COUNTBLANK(Hoja1!A15:I15)&gt;0,"Sí","No")</f>
        <v>No</v>
      </c>
      <c r="E15" s="3" t="str">
        <f>IF(COUNTIF(Hoja1!$A$2:$A$1000,Hoja1!A15)&gt;1,"Sí","No")</f>
        <v>No</v>
      </c>
      <c r="F15" s="3" t="str">
        <f>IF(COUNTIF(Hoja1!$G$2:$G$1000,Hoja1!G15)&gt;1,"Sí","No")</f>
        <v>No</v>
      </c>
      <c r="G15" s="3" t="str">
        <f>IF(OR(ISERROR(FIND("@",Hoja1!G15)),ISERROR(FIND(".",Hoja1!G15,FIND("@",Hoja1!G15)))),"Sí","No")</f>
        <v>No</v>
      </c>
      <c r="H15" s="3" t="str">
        <f>IF(LEN(Hoja1!F15)&lt;&gt;14,"Sí","No")</f>
        <v>No</v>
      </c>
      <c r="I15" s="3" t="str">
        <f>IF(Hoja1!C15&gt;Hoja1!H15,"Sí","No")</f>
        <v>No</v>
      </c>
      <c r="J15" s="3" t="str">
        <f>IF(SUMPRODUCT(--ISNUMBER(SEARCH({"0";"1";"2";"3";"4";"5";"6";"7";"8";"9"},Hoja1!D15)))=0,"Sí","No")</f>
        <v>No</v>
      </c>
      <c r="K15" s="3" t="str">
        <f t="shared" si="0"/>
        <v>No</v>
      </c>
    </row>
    <row r="16" spans="1:11" ht="15" customHeight="1" x14ac:dyDescent="0.3">
      <c r="A16" s="3" t="str">
        <f>Hoja1!A16</f>
        <v>C0015</v>
      </c>
      <c r="B16" s="3" t="str">
        <f>Hoja1!B16</f>
        <v>Jacinta Montenegro Garcés</v>
      </c>
      <c r="C16" s="3" t="str">
        <f>IF(COUNTA(Hoja1!A16:I16)=0,"Sí","No")</f>
        <v>No</v>
      </c>
      <c r="D16" s="3" t="str">
        <f>IF(COUNTBLANK(Hoja1!A16:I16)&gt;0,"Sí","No")</f>
        <v>No</v>
      </c>
      <c r="E16" s="3" t="str">
        <f>IF(COUNTIF(Hoja1!$A$2:$A$1000,Hoja1!A16)&gt;1,"Sí","No")</f>
        <v>No</v>
      </c>
      <c r="F16" s="3" t="str">
        <f>IF(COUNTIF(Hoja1!$G$2:$G$1000,Hoja1!G16)&gt;1,"Sí","No")</f>
        <v>No</v>
      </c>
      <c r="G16" s="3" t="str">
        <f>IF(OR(ISERROR(FIND("@",Hoja1!G16)),ISERROR(FIND(".",Hoja1!G16,FIND("@",Hoja1!G16)))),"Sí","No")</f>
        <v>No</v>
      </c>
      <c r="H16" s="3" t="str">
        <f>IF(LEN(Hoja1!F16)&lt;&gt;14,"Sí","No")</f>
        <v>No</v>
      </c>
      <c r="I16" s="3" t="str">
        <f>IF(Hoja1!C16&gt;Hoja1!H16,"Sí","No")</f>
        <v>No</v>
      </c>
      <c r="J16" s="3" t="str">
        <f>IF(SUMPRODUCT(--ISNUMBER(SEARCH({"0";"1";"2";"3";"4";"5";"6";"7";"8";"9"},Hoja1!D16)))=0,"Sí","No")</f>
        <v>No</v>
      </c>
      <c r="K16" s="3" t="str">
        <f t="shared" si="0"/>
        <v>No</v>
      </c>
    </row>
    <row r="17" spans="1:11" ht="15" customHeight="1" x14ac:dyDescent="0.3">
      <c r="A17" s="3" t="str">
        <f>Hoja1!A17</f>
        <v>C0016</v>
      </c>
      <c r="B17" s="3" t="str">
        <f>Hoja1!B17</f>
        <v>Lisandro Delgado Nadal</v>
      </c>
      <c r="C17" s="3" t="str">
        <f>IF(COUNTA(Hoja1!A17:I17)=0,"Sí","No")</f>
        <v>No</v>
      </c>
      <c r="D17" s="3" t="str">
        <f>IF(COUNTBLANK(Hoja1!A17:I17)&gt;0,"Sí","No")</f>
        <v>No</v>
      </c>
      <c r="E17" s="3" t="str">
        <f>IF(COUNTIF(Hoja1!$A$2:$A$1000,Hoja1!A17)&gt;1,"Sí","No")</f>
        <v>No</v>
      </c>
      <c r="F17" s="3" t="str">
        <f>IF(COUNTIF(Hoja1!$G$2:$G$1000,Hoja1!G17)&gt;1,"Sí","No")</f>
        <v>No</v>
      </c>
      <c r="G17" s="3" t="str">
        <f>IF(OR(ISERROR(FIND("@",Hoja1!G17)),ISERROR(FIND(".",Hoja1!G17,FIND("@",Hoja1!G17)))),"Sí","No")</f>
        <v>No</v>
      </c>
      <c r="H17" s="3" t="str">
        <f>IF(LEN(Hoja1!F17)&lt;&gt;14,"Sí","No")</f>
        <v>No</v>
      </c>
      <c r="I17" s="3" t="str">
        <f>IF(Hoja1!C17&gt;Hoja1!H17,"Sí","No")</f>
        <v>No</v>
      </c>
      <c r="J17" s="3" t="str">
        <f>IF(SUMPRODUCT(--ISNUMBER(SEARCH({"0";"1";"2";"3";"4";"5";"6";"7";"8";"9"},Hoja1!D17)))=0,"Sí","No")</f>
        <v>No</v>
      </c>
      <c r="K17" s="3" t="str">
        <f t="shared" si="0"/>
        <v>No</v>
      </c>
    </row>
    <row r="18" spans="1:11" ht="15" customHeight="1" x14ac:dyDescent="0.3">
      <c r="A18" s="3" t="str">
        <f>Hoja1!A18</f>
        <v>C0017</v>
      </c>
      <c r="B18" s="3" t="str">
        <f>Hoja1!B18</f>
        <v>Samanta Manjón Godoy</v>
      </c>
      <c r="C18" s="3" t="str">
        <f>IF(COUNTA(Hoja1!A18:I18)=0,"Sí","No")</f>
        <v>No</v>
      </c>
      <c r="D18" s="3" t="str">
        <f>IF(COUNTBLANK(Hoja1!A18:I18)&gt;0,"Sí","No")</f>
        <v>No</v>
      </c>
      <c r="E18" s="3" t="str">
        <f>IF(COUNTIF(Hoja1!$A$2:$A$1000,Hoja1!A18)&gt;1,"Sí","No")</f>
        <v>No</v>
      </c>
      <c r="F18" s="3" t="str">
        <f>IF(COUNTIF(Hoja1!$G$2:$G$1000,Hoja1!G18)&gt;1,"Sí","No")</f>
        <v>No</v>
      </c>
      <c r="G18" s="3" t="str">
        <f>IF(OR(ISERROR(FIND("@",Hoja1!G18)),ISERROR(FIND(".",Hoja1!G18,FIND("@",Hoja1!G18)))),"Sí","No")</f>
        <v>No</v>
      </c>
      <c r="H18" s="3" t="str">
        <f>IF(LEN(Hoja1!F18)&lt;&gt;14,"Sí","No")</f>
        <v>No</v>
      </c>
      <c r="I18" s="3" t="str">
        <f>IF(Hoja1!C18&gt;Hoja1!H18,"Sí","No")</f>
        <v>No</v>
      </c>
      <c r="J18" s="3" t="str">
        <f>IF(SUMPRODUCT(--ISNUMBER(SEARCH({"0";"1";"2";"3";"4";"5";"6";"7";"8";"9"},Hoja1!D18)))=0,"Sí","No")</f>
        <v>No</v>
      </c>
      <c r="K18" s="3" t="str">
        <f t="shared" si="0"/>
        <v>No</v>
      </c>
    </row>
    <row r="19" spans="1:11" ht="15" customHeight="1" x14ac:dyDescent="0.3">
      <c r="A19" s="3" t="str">
        <f>Hoja1!A19</f>
        <v>C0018</v>
      </c>
      <c r="B19" s="3" t="str">
        <f>Hoja1!B19</f>
        <v>Albano Teodosio Cañete Rosa</v>
      </c>
      <c r="C19" s="3" t="str">
        <f>IF(COUNTA(Hoja1!A19:I19)=0,"Sí","No")</f>
        <v>No</v>
      </c>
      <c r="D19" s="3" t="str">
        <f>IF(COUNTBLANK(Hoja1!A19:I19)&gt;0,"Sí","No")</f>
        <v>No</v>
      </c>
      <c r="E19" s="3" t="str">
        <f>IF(COUNTIF(Hoja1!$A$2:$A$1000,Hoja1!A19)&gt;1,"Sí","No")</f>
        <v>No</v>
      </c>
      <c r="F19" s="3" t="str">
        <f>IF(COUNTIF(Hoja1!$G$2:$G$1000,Hoja1!G19)&gt;1,"Sí","No")</f>
        <v>No</v>
      </c>
      <c r="G19" s="3" t="str">
        <f>IF(OR(ISERROR(FIND("@",Hoja1!G19)),ISERROR(FIND(".",Hoja1!G19,FIND("@",Hoja1!G19)))),"Sí","No")</f>
        <v>No</v>
      </c>
      <c r="H19" s="3" t="str">
        <f>IF(LEN(Hoja1!F19)&lt;&gt;14,"Sí","No")</f>
        <v>No</v>
      </c>
      <c r="I19" s="3" t="str">
        <f>IF(Hoja1!C19&gt;Hoja1!H19,"Sí","No")</f>
        <v>No</v>
      </c>
      <c r="J19" s="3" t="str">
        <f>IF(SUMPRODUCT(--ISNUMBER(SEARCH({"0";"1";"2";"3";"4";"5";"6";"7";"8";"9"},Hoja1!D19)))=0,"Sí","No")</f>
        <v>No</v>
      </c>
      <c r="K19" s="3" t="str">
        <f t="shared" si="0"/>
        <v>No</v>
      </c>
    </row>
    <row r="20" spans="1:11" ht="15" customHeight="1" x14ac:dyDescent="0.3">
      <c r="A20" s="3" t="str">
        <f>Hoja1!A20</f>
        <v>C0019</v>
      </c>
      <c r="B20" s="3" t="str">
        <f>Hoja1!B20</f>
        <v>Abel Villanueva</v>
      </c>
      <c r="C20" s="3" t="str">
        <f>IF(COUNTA(Hoja1!A20:I20)=0,"Sí","No")</f>
        <v>No</v>
      </c>
      <c r="D20" s="3" t="str">
        <f>IF(COUNTBLANK(Hoja1!A20:I20)&gt;0,"Sí","No")</f>
        <v>No</v>
      </c>
      <c r="E20" s="3" t="str">
        <f>IF(COUNTIF(Hoja1!$A$2:$A$1000,Hoja1!A20)&gt;1,"Sí","No")</f>
        <v>No</v>
      </c>
      <c r="F20" s="3" t="str">
        <f>IF(COUNTIF(Hoja1!$G$2:$G$1000,Hoja1!G20)&gt;1,"Sí","No")</f>
        <v>Sí</v>
      </c>
      <c r="G20" s="3" t="str">
        <f>IF(OR(ISERROR(FIND("@",Hoja1!G20)),ISERROR(FIND(".",Hoja1!G20,FIND("@",Hoja1!G20)))),"Sí","No")</f>
        <v>No</v>
      </c>
      <c r="H20" s="3" t="str">
        <f>IF(LEN(Hoja1!F20)&lt;&gt;14,"Sí","No")</f>
        <v>No</v>
      </c>
      <c r="I20" s="3" t="str">
        <f>IF(Hoja1!C20&gt;Hoja1!H20,"Sí","No")</f>
        <v>No</v>
      </c>
      <c r="J20" s="3" t="str">
        <f>IF(SUMPRODUCT(--ISNUMBER(SEARCH({"0";"1";"2";"3";"4";"5";"6";"7";"8";"9"},Hoja1!D20)))=0,"Sí","No")</f>
        <v>No</v>
      </c>
      <c r="K20" s="3" t="str">
        <f t="shared" si="0"/>
        <v>Sí</v>
      </c>
    </row>
    <row r="21" spans="1:11" ht="15" customHeight="1" x14ac:dyDescent="0.3">
      <c r="A21" s="3" t="str">
        <f>Hoja1!A21</f>
        <v>C0020</v>
      </c>
      <c r="B21" s="3" t="str">
        <f>Hoja1!B21</f>
        <v>Bienvenida Pulido Cózar</v>
      </c>
      <c r="C21" s="3" t="str">
        <f>IF(COUNTA(Hoja1!A21:I21)=0,"Sí","No")</f>
        <v>No</v>
      </c>
      <c r="D21" s="3" t="str">
        <f>IF(COUNTBLANK(Hoja1!A21:I21)&gt;0,"Sí","No")</f>
        <v>No</v>
      </c>
      <c r="E21" s="3" t="str">
        <f>IF(COUNTIF(Hoja1!$A$2:$A$1000,Hoja1!A21)&gt;1,"Sí","No")</f>
        <v>No</v>
      </c>
      <c r="F21" s="3" t="str">
        <f>IF(COUNTIF(Hoja1!$G$2:$G$1000,Hoja1!G21)&gt;1,"Sí","No")</f>
        <v>No</v>
      </c>
      <c r="G21" s="3" t="str">
        <f>IF(OR(ISERROR(FIND("@",Hoja1!G21)),ISERROR(FIND(".",Hoja1!G21,FIND("@",Hoja1!G21)))),"Sí","No")</f>
        <v>No</v>
      </c>
      <c r="H21" s="3" t="str">
        <f>IF(LEN(Hoja1!F21)&lt;&gt;14,"Sí","No")</f>
        <v>No</v>
      </c>
      <c r="I21" s="3" t="str">
        <f>IF(Hoja1!C21&gt;Hoja1!H21,"Sí","No")</f>
        <v>No</v>
      </c>
      <c r="J21" s="3" t="str">
        <f>IF(SUMPRODUCT(--ISNUMBER(SEARCH({"0";"1";"2";"3";"4";"5";"6";"7";"8";"9"},Hoja1!D21)))=0,"Sí","No")</f>
        <v>No</v>
      </c>
      <c r="K21" s="3" t="str">
        <f t="shared" si="0"/>
        <v>No</v>
      </c>
    </row>
    <row r="22" spans="1:11" ht="15" customHeight="1" x14ac:dyDescent="0.3">
      <c r="A22" s="3" t="str">
        <f>Hoja1!A22</f>
        <v>C0021</v>
      </c>
      <c r="B22" s="3" t="str">
        <f>Hoja1!B22</f>
        <v>Patricio Manzano Pomares</v>
      </c>
      <c r="C22" s="3" t="str">
        <f>IF(COUNTA(Hoja1!A22:I22)=0,"Sí","No")</f>
        <v>No</v>
      </c>
      <c r="D22" s="3" t="str">
        <f>IF(COUNTBLANK(Hoja1!A22:I22)&gt;0,"Sí","No")</f>
        <v>No</v>
      </c>
      <c r="E22" s="3" t="str">
        <f>IF(COUNTIF(Hoja1!$A$2:$A$1000,Hoja1!A22)&gt;1,"Sí","No")</f>
        <v>No</v>
      </c>
      <c r="F22" s="3" t="str">
        <f>IF(COUNTIF(Hoja1!$G$2:$G$1000,Hoja1!G22)&gt;1,"Sí","No")</f>
        <v>No</v>
      </c>
      <c r="G22" s="3" t="str">
        <f>IF(OR(ISERROR(FIND("@",Hoja1!G22)),ISERROR(FIND(".",Hoja1!G22,FIND("@",Hoja1!G22)))),"Sí","No")</f>
        <v>No</v>
      </c>
      <c r="H22" s="3" t="str">
        <f>IF(LEN(Hoja1!F22)&lt;&gt;14,"Sí","No")</f>
        <v>No</v>
      </c>
      <c r="I22" s="3" t="str">
        <f>IF(Hoja1!C22&gt;Hoja1!H22,"Sí","No")</f>
        <v>No</v>
      </c>
      <c r="J22" s="3" t="str">
        <f>IF(SUMPRODUCT(--ISNUMBER(SEARCH({"0";"1";"2";"3";"4";"5";"6";"7";"8";"9"},Hoja1!D22)))=0,"Sí","No")</f>
        <v>No</v>
      </c>
      <c r="K22" s="3" t="str">
        <f t="shared" si="0"/>
        <v>No</v>
      </c>
    </row>
    <row r="23" spans="1:11" ht="15" customHeight="1" x14ac:dyDescent="0.3">
      <c r="A23" s="3" t="str">
        <f>Hoja1!A23</f>
        <v>C0022</v>
      </c>
      <c r="B23" s="3" t="str">
        <f>Hoja1!B23</f>
        <v>Modesto de Casares</v>
      </c>
      <c r="C23" s="3" t="str">
        <f>IF(COUNTA(Hoja1!A23:I23)=0,"Sí","No")</f>
        <v>No</v>
      </c>
      <c r="D23" s="3" t="str">
        <f>IF(COUNTBLANK(Hoja1!A23:I23)&gt;0,"Sí","No")</f>
        <v>No</v>
      </c>
      <c r="E23" s="3" t="str">
        <f>IF(COUNTIF(Hoja1!$A$2:$A$1000,Hoja1!A23)&gt;1,"Sí","No")</f>
        <v>No</v>
      </c>
      <c r="F23" s="3" t="str">
        <f>IF(COUNTIF(Hoja1!$G$2:$G$1000,Hoja1!G23)&gt;1,"Sí","No")</f>
        <v>No</v>
      </c>
      <c r="G23" s="3" t="str">
        <f>IF(OR(ISERROR(FIND("@",Hoja1!G23)),ISERROR(FIND(".",Hoja1!G23,FIND("@",Hoja1!G23)))),"Sí","No")</f>
        <v>No</v>
      </c>
      <c r="H23" s="3" t="str">
        <f>IF(LEN(Hoja1!F23)&lt;&gt;14,"Sí","No")</f>
        <v>No</v>
      </c>
      <c r="I23" s="3" t="str">
        <f>IF(Hoja1!C23&gt;Hoja1!H23,"Sí","No")</f>
        <v>No</v>
      </c>
      <c r="J23" s="3" t="str">
        <f>IF(SUMPRODUCT(--ISNUMBER(SEARCH({"0";"1";"2";"3";"4";"5";"6";"7";"8";"9"},Hoja1!D23)))=0,"Sí","No")</f>
        <v>No</v>
      </c>
      <c r="K23" s="3" t="str">
        <f t="shared" si="0"/>
        <v>No</v>
      </c>
    </row>
    <row r="24" spans="1:11" ht="15" customHeight="1" x14ac:dyDescent="0.3">
      <c r="A24" s="3" t="str">
        <f>Hoja1!A24</f>
        <v>C0023</v>
      </c>
      <c r="B24" s="3" t="str">
        <f>Hoja1!B24</f>
        <v>Berto del Morales</v>
      </c>
      <c r="C24" s="3" t="str">
        <f>IF(COUNTA(Hoja1!A24:I24)=0,"Sí","No")</f>
        <v>No</v>
      </c>
      <c r="D24" s="3" t="str">
        <f>IF(COUNTBLANK(Hoja1!A24:I24)&gt;0,"Sí","No")</f>
        <v>No</v>
      </c>
      <c r="E24" s="3" t="str">
        <f>IF(COUNTIF(Hoja1!$A$2:$A$1000,Hoja1!A24)&gt;1,"Sí","No")</f>
        <v>No</v>
      </c>
      <c r="F24" s="3" t="str">
        <f>IF(COUNTIF(Hoja1!$G$2:$G$1000,Hoja1!G24)&gt;1,"Sí","No")</f>
        <v>Sí</v>
      </c>
      <c r="G24" s="3" t="str">
        <f>IF(OR(ISERROR(FIND("@",Hoja1!G24)),ISERROR(FIND(".",Hoja1!G24,FIND("@",Hoja1!G24)))),"Sí","No")</f>
        <v>No</v>
      </c>
      <c r="H24" s="3" t="str">
        <f>IF(LEN(Hoja1!F24)&lt;&gt;14,"Sí","No")</f>
        <v>No</v>
      </c>
      <c r="I24" s="3" t="str">
        <f>IF(Hoja1!C24&gt;Hoja1!H24,"Sí","No")</f>
        <v>No</v>
      </c>
      <c r="J24" s="3" t="str">
        <f>IF(SUMPRODUCT(--ISNUMBER(SEARCH({"0";"1";"2";"3";"4";"5";"6";"7";"8";"9"},Hoja1!D24)))=0,"Sí","No")</f>
        <v>No</v>
      </c>
      <c r="K24" s="3" t="str">
        <f t="shared" si="0"/>
        <v>Sí</v>
      </c>
    </row>
    <row r="25" spans="1:11" ht="15" customHeight="1" x14ac:dyDescent="0.3">
      <c r="A25" s="3" t="str">
        <f>Hoja1!A25</f>
        <v>C0024</v>
      </c>
      <c r="B25" s="3" t="str">
        <f>Hoja1!B25</f>
        <v>Nuria Daniela Jáuregui Tejero</v>
      </c>
      <c r="C25" s="3" t="str">
        <f>IF(COUNTA(Hoja1!A25:I25)=0,"Sí","No")</f>
        <v>No</v>
      </c>
      <c r="D25" s="3" t="str">
        <f>IF(COUNTBLANK(Hoja1!A25:I25)&gt;0,"Sí","No")</f>
        <v>No</v>
      </c>
      <c r="E25" s="3" t="str">
        <f>IF(COUNTIF(Hoja1!$A$2:$A$1000,Hoja1!A25)&gt;1,"Sí","No")</f>
        <v>No</v>
      </c>
      <c r="F25" s="3" t="str">
        <f>IF(COUNTIF(Hoja1!$G$2:$G$1000,Hoja1!G25)&gt;1,"Sí","No")</f>
        <v>No</v>
      </c>
      <c r="G25" s="3" t="str">
        <f>IF(OR(ISERROR(FIND("@",Hoja1!G25)),ISERROR(FIND(".",Hoja1!G25,FIND("@",Hoja1!G25)))),"Sí","No")</f>
        <v>No</v>
      </c>
      <c r="H25" s="3" t="str">
        <f>IF(LEN(Hoja1!F25)&lt;&gt;14,"Sí","No")</f>
        <v>No</v>
      </c>
      <c r="I25" s="3" t="str">
        <f>IF(Hoja1!C25&gt;Hoja1!H25,"Sí","No")</f>
        <v>No</v>
      </c>
      <c r="J25" s="3" t="str">
        <f>IF(SUMPRODUCT(--ISNUMBER(SEARCH({"0";"1";"2";"3";"4";"5";"6";"7";"8";"9"},Hoja1!D25)))=0,"Sí","No")</f>
        <v>No</v>
      </c>
      <c r="K25" s="3" t="str">
        <f t="shared" si="0"/>
        <v>No</v>
      </c>
    </row>
    <row r="26" spans="1:11" ht="15" customHeight="1" x14ac:dyDescent="0.3">
      <c r="A26" s="3" t="str">
        <f>Hoja1!A26</f>
        <v>C0025</v>
      </c>
      <c r="B26" s="3" t="str">
        <f>Hoja1!B26</f>
        <v>Anastasia Pedrero Solera</v>
      </c>
      <c r="C26" s="3" t="str">
        <f>IF(COUNTA(Hoja1!A26:I26)=0,"Sí","No")</f>
        <v>No</v>
      </c>
      <c r="D26" s="3" t="str">
        <f>IF(COUNTBLANK(Hoja1!A26:I26)&gt;0,"Sí","No")</f>
        <v>No</v>
      </c>
      <c r="E26" s="3" t="str">
        <f>IF(COUNTIF(Hoja1!$A$2:$A$1000,Hoja1!A26)&gt;1,"Sí","No")</f>
        <v>No</v>
      </c>
      <c r="F26" s="3" t="str">
        <f>IF(COUNTIF(Hoja1!$G$2:$G$1000,Hoja1!G26)&gt;1,"Sí","No")</f>
        <v>No</v>
      </c>
      <c r="G26" s="3" t="str">
        <f>IF(OR(ISERROR(FIND("@",Hoja1!G26)),ISERROR(FIND(".",Hoja1!G26,FIND("@",Hoja1!G26)))),"Sí","No")</f>
        <v>No</v>
      </c>
      <c r="H26" s="3" t="str">
        <f>IF(LEN(Hoja1!F26)&lt;&gt;14,"Sí","No")</f>
        <v>No</v>
      </c>
      <c r="I26" s="3" t="str">
        <f>IF(Hoja1!C26&gt;Hoja1!H26,"Sí","No")</f>
        <v>No</v>
      </c>
      <c r="J26" s="3" t="str">
        <f>IF(SUMPRODUCT(--ISNUMBER(SEARCH({"0";"1";"2";"3";"4";"5";"6";"7";"8";"9"},Hoja1!D26)))=0,"Sí","No")</f>
        <v>No</v>
      </c>
      <c r="K26" s="3" t="str">
        <f t="shared" si="0"/>
        <v>No</v>
      </c>
    </row>
    <row r="27" spans="1:11" ht="15" customHeight="1" x14ac:dyDescent="0.3">
      <c r="A27" s="3" t="str">
        <f>Hoja1!A27</f>
        <v>C0026</v>
      </c>
      <c r="B27" s="3" t="str">
        <f>Hoja1!B27</f>
        <v>Purificación Salomé Ferrán Valero</v>
      </c>
      <c r="C27" s="3" t="str">
        <f>IF(COUNTA(Hoja1!A27:I27)=0,"Sí","No")</f>
        <v>No</v>
      </c>
      <c r="D27" s="3" t="str">
        <f>IF(COUNTBLANK(Hoja1!A27:I27)&gt;0,"Sí","No")</f>
        <v>No</v>
      </c>
      <c r="E27" s="3" t="str">
        <f>IF(COUNTIF(Hoja1!$A$2:$A$1000,Hoja1!A27)&gt;1,"Sí","No")</f>
        <v>No</v>
      </c>
      <c r="F27" s="3" t="str">
        <f>IF(COUNTIF(Hoja1!$G$2:$G$1000,Hoja1!G27)&gt;1,"Sí","No")</f>
        <v>No</v>
      </c>
      <c r="G27" s="3" t="str">
        <f>IF(OR(ISERROR(FIND("@",Hoja1!G27)),ISERROR(FIND(".",Hoja1!G27,FIND("@",Hoja1!G27)))),"Sí","No")</f>
        <v>No</v>
      </c>
      <c r="H27" s="3" t="str">
        <f>IF(LEN(Hoja1!F27)&lt;&gt;14,"Sí","No")</f>
        <v>No</v>
      </c>
      <c r="I27" s="3" t="str">
        <f>IF(Hoja1!C27&gt;Hoja1!H27,"Sí","No")</f>
        <v>No</v>
      </c>
      <c r="J27" s="3" t="str">
        <f>IF(SUMPRODUCT(--ISNUMBER(SEARCH({"0";"1";"2";"3";"4";"5";"6";"7";"8";"9"},Hoja1!D27)))=0,"Sí","No")</f>
        <v>No</v>
      </c>
      <c r="K27" s="3" t="str">
        <f t="shared" si="0"/>
        <v>No</v>
      </c>
    </row>
    <row r="28" spans="1:11" ht="15" customHeight="1" x14ac:dyDescent="0.3">
      <c r="A28" s="3" t="str">
        <f>Hoja1!A28</f>
        <v>C0027</v>
      </c>
      <c r="B28" s="3" t="str">
        <f>Hoja1!B28</f>
        <v>Melania Cobos Lozano</v>
      </c>
      <c r="C28" s="3" t="str">
        <f>IF(COUNTA(Hoja1!A28:I28)=0,"Sí","No")</f>
        <v>No</v>
      </c>
      <c r="D28" s="3" t="str">
        <f>IF(COUNTBLANK(Hoja1!A28:I28)&gt;0,"Sí","No")</f>
        <v>No</v>
      </c>
      <c r="E28" s="3" t="str">
        <f>IF(COUNTIF(Hoja1!$A$2:$A$1000,Hoja1!A28)&gt;1,"Sí","No")</f>
        <v>No</v>
      </c>
      <c r="F28" s="3" t="str">
        <f>IF(COUNTIF(Hoja1!$G$2:$G$1000,Hoja1!G28)&gt;1,"Sí","No")</f>
        <v>No</v>
      </c>
      <c r="G28" s="3" t="str">
        <f>IF(OR(ISERROR(FIND("@",Hoja1!G28)),ISERROR(FIND(".",Hoja1!G28,FIND("@",Hoja1!G28)))),"Sí","No")</f>
        <v>No</v>
      </c>
      <c r="H28" s="3" t="str">
        <f>IF(LEN(Hoja1!F28)&lt;&gt;14,"Sí","No")</f>
        <v>No</v>
      </c>
      <c r="I28" s="3" t="str">
        <f>IF(Hoja1!C28&gt;Hoja1!H28,"Sí","No")</f>
        <v>No</v>
      </c>
      <c r="J28" s="3" t="str">
        <f>IF(SUMPRODUCT(--ISNUMBER(SEARCH({"0";"1";"2";"3";"4";"5";"6";"7";"8";"9"},Hoja1!D28)))=0,"Sí","No")</f>
        <v>No</v>
      </c>
      <c r="K28" s="3" t="str">
        <f t="shared" si="0"/>
        <v>No</v>
      </c>
    </row>
    <row r="29" spans="1:11" ht="15" customHeight="1" x14ac:dyDescent="0.3">
      <c r="A29" s="3" t="str">
        <f>Hoja1!A29</f>
        <v>C0028</v>
      </c>
      <c r="B29" s="3" t="str">
        <f>Hoja1!B29</f>
        <v>Evangelina Font Lago</v>
      </c>
      <c r="C29" s="3" t="str">
        <f>IF(COUNTA(Hoja1!A29:I29)=0,"Sí","No")</f>
        <v>No</v>
      </c>
      <c r="D29" s="3" t="str">
        <f>IF(COUNTBLANK(Hoja1!A29:I29)&gt;0,"Sí","No")</f>
        <v>No</v>
      </c>
      <c r="E29" s="3" t="str">
        <f>IF(COUNTIF(Hoja1!$A$2:$A$1000,Hoja1!A29)&gt;1,"Sí","No")</f>
        <v>No</v>
      </c>
      <c r="F29" s="3" t="str">
        <f>IF(COUNTIF(Hoja1!$G$2:$G$1000,Hoja1!G29)&gt;1,"Sí","No")</f>
        <v>No</v>
      </c>
      <c r="G29" s="3" t="str">
        <f>IF(OR(ISERROR(FIND("@",Hoja1!G29)),ISERROR(FIND(".",Hoja1!G29,FIND("@",Hoja1!G29)))),"Sí","No")</f>
        <v>No</v>
      </c>
      <c r="H29" s="3" t="str">
        <f>IF(LEN(Hoja1!F29)&lt;&gt;14,"Sí","No")</f>
        <v>No</v>
      </c>
      <c r="I29" s="3" t="str">
        <f>IF(Hoja1!C29&gt;Hoja1!H29,"Sí","No")</f>
        <v>No</v>
      </c>
      <c r="J29" s="3" t="str">
        <f>IF(SUMPRODUCT(--ISNUMBER(SEARCH({"0";"1";"2";"3";"4";"5";"6";"7";"8";"9"},Hoja1!D29)))=0,"Sí","No")</f>
        <v>No</v>
      </c>
      <c r="K29" s="3" t="str">
        <f t="shared" si="0"/>
        <v>No</v>
      </c>
    </row>
    <row r="30" spans="1:11" ht="15" customHeight="1" x14ac:dyDescent="0.3">
      <c r="A30" s="3" t="str">
        <f>Hoja1!A30</f>
        <v>C0029</v>
      </c>
      <c r="B30" s="3" t="str">
        <f>Hoja1!B30</f>
        <v>Otilia Mercader Jimenez</v>
      </c>
      <c r="C30" s="3" t="str">
        <f>IF(COUNTA(Hoja1!A30:I30)=0,"Sí","No")</f>
        <v>No</v>
      </c>
      <c r="D30" s="3" t="str">
        <f>IF(COUNTBLANK(Hoja1!A30:I30)&gt;0,"Sí","No")</f>
        <v>No</v>
      </c>
      <c r="E30" s="3" t="str">
        <f>IF(COUNTIF(Hoja1!$A$2:$A$1000,Hoja1!A30)&gt;1,"Sí","No")</f>
        <v>No</v>
      </c>
      <c r="F30" s="3" t="str">
        <f>IF(COUNTIF(Hoja1!$G$2:$G$1000,Hoja1!G30)&gt;1,"Sí","No")</f>
        <v>No</v>
      </c>
      <c r="G30" s="3" t="str">
        <f>IF(OR(ISERROR(FIND("@",Hoja1!G30)),ISERROR(FIND(".",Hoja1!G30,FIND("@",Hoja1!G30)))),"Sí","No")</f>
        <v>No</v>
      </c>
      <c r="H30" s="3" t="str">
        <f>IF(LEN(Hoja1!F30)&lt;&gt;14,"Sí","No")</f>
        <v>No</v>
      </c>
      <c r="I30" s="3" t="str">
        <f>IF(Hoja1!C30&gt;Hoja1!H30,"Sí","No")</f>
        <v>No</v>
      </c>
      <c r="J30" s="3" t="str">
        <f>IF(SUMPRODUCT(--ISNUMBER(SEARCH({"0";"1";"2";"3";"4";"5";"6";"7";"8";"9"},Hoja1!D30)))=0,"Sí","No")</f>
        <v>No</v>
      </c>
      <c r="K30" s="3" t="str">
        <f t="shared" si="0"/>
        <v>No</v>
      </c>
    </row>
    <row r="31" spans="1:11" ht="15" customHeight="1" x14ac:dyDescent="0.3">
      <c r="A31" s="3" t="str">
        <f>Hoja1!A31</f>
        <v>C0030</v>
      </c>
      <c r="B31" s="3" t="str">
        <f>Hoja1!B31</f>
        <v>Nadia Reyes-Bosch</v>
      </c>
      <c r="C31" s="3" t="str">
        <f>IF(COUNTA(Hoja1!A31:I31)=0,"Sí","No")</f>
        <v>No</v>
      </c>
      <c r="D31" s="3" t="str">
        <f>IF(COUNTBLANK(Hoja1!A31:I31)&gt;0,"Sí","No")</f>
        <v>No</v>
      </c>
      <c r="E31" s="3" t="str">
        <f>IF(COUNTIF(Hoja1!$A$2:$A$1000,Hoja1!A31)&gt;1,"Sí","No")</f>
        <v>No</v>
      </c>
      <c r="F31" s="3" t="str">
        <f>IF(COUNTIF(Hoja1!$G$2:$G$1000,Hoja1!G31)&gt;1,"Sí","No")</f>
        <v>No</v>
      </c>
      <c r="G31" s="3" t="str">
        <f>IF(OR(ISERROR(FIND("@",Hoja1!G31)),ISERROR(FIND(".",Hoja1!G31,FIND("@",Hoja1!G31)))),"Sí","No")</f>
        <v>No</v>
      </c>
      <c r="H31" s="3" t="str">
        <f>IF(LEN(Hoja1!F31)&lt;&gt;14,"Sí","No")</f>
        <v>No</v>
      </c>
      <c r="I31" s="3" t="str">
        <f>IF(Hoja1!C31&gt;Hoja1!H31,"Sí","No")</f>
        <v>No</v>
      </c>
      <c r="J31" s="3" t="str">
        <f>IF(SUMPRODUCT(--ISNUMBER(SEARCH({"0";"1";"2";"3";"4";"5";"6";"7";"8";"9"},Hoja1!D31)))=0,"Sí","No")</f>
        <v>No</v>
      </c>
      <c r="K31" s="3" t="str">
        <f t="shared" si="0"/>
        <v>No</v>
      </c>
    </row>
    <row r="32" spans="1:11" ht="15" customHeight="1" x14ac:dyDescent="0.3">
      <c r="A32" s="3" t="str">
        <f>Hoja1!A32</f>
        <v>C0031</v>
      </c>
      <c r="B32" s="3" t="str">
        <f>Hoja1!B32</f>
        <v>Mireia Córdoba Pi</v>
      </c>
      <c r="C32" s="3" t="str">
        <f>IF(COUNTA(Hoja1!A32:I32)=0,"Sí","No")</f>
        <v>No</v>
      </c>
      <c r="D32" s="3" t="str">
        <f>IF(COUNTBLANK(Hoja1!A32:I32)&gt;0,"Sí","No")</f>
        <v>No</v>
      </c>
      <c r="E32" s="3" t="str">
        <f>IF(COUNTIF(Hoja1!$A$2:$A$1000,Hoja1!A32)&gt;1,"Sí","No")</f>
        <v>No</v>
      </c>
      <c r="F32" s="3" t="str">
        <f>IF(COUNTIF(Hoja1!$G$2:$G$1000,Hoja1!G32)&gt;1,"Sí","No")</f>
        <v>No</v>
      </c>
      <c r="G32" s="3" t="str">
        <f>IF(OR(ISERROR(FIND("@",Hoja1!G32)),ISERROR(FIND(".",Hoja1!G32,FIND("@",Hoja1!G32)))),"Sí","No")</f>
        <v>No</v>
      </c>
      <c r="H32" s="3" t="str">
        <f>IF(LEN(Hoja1!F32)&lt;&gt;14,"Sí","No")</f>
        <v>No</v>
      </c>
      <c r="I32" s="3" t="str">
        <f>IF(Hoja1!C32&gt;Hoja1!H32,"Sí","No")</f>
        <v>No</v>
      </c>
      <c r="J32" s="3" t="str">
        <f>IF(SUMPRODUCT(--ISNUMBER(SEARCH({"0";"1";"2";"3";"4";"5";"6";"7";"8";"9"},Hoja1!D32)))=0,"Sí","No")</f>
        <v>No</v>
      </c>
      <c r="K32" s="3" t="str">
        <f t="shared" si="0"/>
        <v>No</v>
      </c>
    </row>
    <row r="33" spans="1:11" ht="15" customHeight="1" x14ac:dyDescent="0.3">
      <c r="A33" s="3" t="str">
        <f>Hoja1!A33</f>
        <v>C0032</v>
      </c>
      <c r="B33" s="3" t="str">
        <f>Hoja1!B33</f>
        <v>Melisa Rueda Rosado</v>
      </c>
      <c r="C33" s="3" t="str">
        <f>IF(COUNTA(Hoja1!A33:I33)=0,"Sí","No")</f>
        <v>No</v>
      </c>
      <c r="D33" s="3" t="str">
        <f>IF(COUNTBLANK(Hoja1!A33:I33)&gt;0,"Sí","No")</f>
        <v>No</v>
      </c>
      <c r="E33" s="3" t="str">
        <f>IF(COUNTIF(Hoja1!$A$2:$A$1000,Hoja1!A33)&gt;1,"Sí","No")</f>
        <v>No</v>
      </c>
      <c r="F33" s="3" t="str">
        <f>IF(COUNTIF(Hoja1!$G$2:$G$1000,Hoja1!G33)&gt;1,"Sí","No")</f>
        <v>No</v>
      </c>
      <c r="G33" s="3" t="str">
        <f>IF(OR(ISERROR(FIND("@",Hoja1!G33)),ISERROR(FIND(".",Hoja1!G33,FIND("@",Hoja1!G33)))),"Sí","No")</f>
        <v>No</v>
      </c>
      <c r="H33" s="3" t="str">
        <f>IF(LEN(Hoja1!F33)&lt;&gt;14,"Sí","No")</f>
        <v>No</v>
      </c>
      <c r="I33" s="3" t="str">
        <f>IF(Hoja1!C33&gt;Hoja1!H33,"Sí","No")</f>
        <v>No</v>
      </c>
      <c r="J33" s="3" t="str">
        <f>IF(SUMPRODUCT(--ISNUMBER(SEARCH({"0";"1";"2";"3";"4";"5";"6";"7";"8";"9"},Hoja1!D33)))=0,"Sí","No")</f>
        <v>No</v>
      </c>
      <c r="K33" s="3" t="str">
        <f t="shared" si="0"/>
        <v>No</v>
      </c>
    </row>
    <row r="34" spans="1:11" ht="15" customHeight="1" x14ac:dyDescent="0.3">
      <c r="A34" s="3" t="str">
        <f>Hoja1!A34</f>
        <v>C0033</v>
      </c>
      <c r="B34" s="3" t="str">
        <f>Hoja1!B34</f>
        <v>Trini Sanabria-Frías</v>
      </c>
      <c r="C34" s="3" t="str">
        <f>IF(COUNTA(Hoja1!A34:I34)=0,"Sí","No")</f>
        <v>No</v>
      </c>
      <c r="D34" s="3" t="str">
        <f>IF(COUNTBLANK(Hoja1!A34:I34)&gt;0,"Sí","No")</f>
        <v>No</v>
      </c>
      <c r="E34" s="3" t="str">
        <f>IF(COUNTIF(Hoja1!$A$2:$A$1000,Hoja1!A34)&gt;1,"Sí","No")</f>
        <v>No</v>
      </c>
      <c r="F34" s="3" t="str">
        <f>IF(COUNTIF(Hoja1!$G$2:$G$1000,Hoja1!G34)&gt;1,"Sí","No")</f>
        <v>No</v>
      </c>
      <c r="G34" s="3" t="str">
        <f>IF(OR(ISERROR(FIND("@",Hoja1!G34)),ISERROR(FIND(".",Hoja1!G34,FIND("@",Hoja1!G34)))),"Sí","No")</f>
        <v>No</v>
      </c>
      <c r="H34" s="3" t="str">
        <f>IF(LEN(Hoja1!F34)&lt;&gt;14,"Sí","No")</f>
        <v>No</v>
      </c>
      <c r="I34" s="3" t="str">
        <f>IF(Hoja1!C34&gt;Hoja1!H34,"Sí","No")</f>
        <v>No</v>
      </c>
      <c r="J34" s="3" t="str">
        <f>IF(SUMPRODUCT(--ISNUMBER(SEARCH({"0";"1";"2";"3";"4";"5";"6";"7";"8";"9"},Hoja1!D34)))=0,"Sí","No")</f>
        <v>No</v>
      </c>
      <c r="K34" s="3" t="str">
        <f t="shared" si="0"/>
        <v>No</v>
      </c>
    </row>
    <row r="35" spans="1:11" ht="15" customHeight="1" x14ac:dyDescent="0.3">
      <c r="A35" s="3" t="str">
        <f>Hoja1!A35</f>
        <v>C0034</v>
      </c>
      <c r="B35" s="3" t="str">
        <f>Hoja1!B35</f>
        <v>Lucía Manola Briones Jove</v>
      </c>
      <c r="C35" s="3" t="str">
        <f>IF(COUNTA(Hoja1!A35:I35)=0,"Sí","No")</f>
        <v>No</v>
      </c>
      <c r="D35" s="3" t="str">
        <f>IF(COUNTBLANK(Hoja1!A35:I35)&gt;0,"Sí","No")</f>
        <v>No</v>
      </c>
      <c r="E35" s="3" t="str">
        <f>IF(COUNTIF(Hoja1!$A$2:$A$1000,Hoja1!A35)&gt;1,"Sí","No")</f>
        <v>No</v>
      </c>
      <c r="F35" s="3" t="str">
        <f>IF(COUNTIF(Hoja1!$G$2:$G$1000,Hoja1!G35)&gt;1,"Sí","No")</f>
        <v>No</v>
      </c>
      <c r="G35" s="3" t="str">
        <f>IF(OR(ISERROR(FIND("@",Hoja1!G35)),ISERROR(FIND(".",Hoja1!G35,FIND("@",Hoja1!G35)))),"Sí","No")</f>
        <v>No</v>
      </c>
      <c r="H35" s="3" t="str">
        <f>IF(LEN(Hoja1!F35)&lt;&gt;14,"Sí","No")</f>
        <v>No</v>
      </c>
      <c r="I35" s="3" t="str">
        <f>IF(Hoja1!C35&gt;Hoja1!H35,"Sí","No")</f>
        <v>No</v>
      </c>
      <c r="J35" s="3" t="str">
        <f>IF(SUMPRODUCT(--ISNUMBER(SEARCH({"0";"1";"2";"3";"4";"5";"6";"7";"8";"9"},Hoja1!D35)))=0,"Sí","No")</f>
        <v>No</v>
      </c>
      <c r="K35" s="3" t="str">
        <f t="shared" si="0"/>
        <v>No</v>
      </c>
    </row>
    <row r="36" spans="1:11" ht="15" customHeight="1" x14ac:dyDescent="0.3">
      <c r="A36" s="3" t="str">
        <f>Hoja1!A36</f>
        <v>C0035</v>
      </c>
      <c r="B36" s="3" t="str">
        <f>Hoja1!B36</f>
        <v>Natalio Pereira Barrio</v>
      </c>
      <c r="C36" s="3" t="str">
        <f>IF(COUNTA(Hoja1!A36:I36)=0,"Sí","No")</f>
        <v>No</v>
      </c>
      <c r="D36" s="3" t="str">
        <f>IF(COUNTBLANK(Hoja1!A36:I36)&gt;0,"Sí","No")</f>
        <v>No</v>
      </c>
      <c r="E36" s="3" t="str">
        <f>IF(COUNTIF(Hoja1!$A$2:$A$1000,Hoja1!A36)&gt;1,"Sí","No")</f>
        <v>No</v>
      </c>
      <c r="F36" s="3" t="str">
        <f>IF(COUNTIF(Hoja1!$G$2:$G$1000,Hoja1!G36)&gt;1,"Sí","No")</f>
        <v>No</v>
      </c>
      <c r="G36" s="3" t="str">
        <f>IF(OR(ISERROR(FIND("@",Hoja1!G36)),ISERROR(FIND(".",Hoja1!G36,FIND("@",Hoja1!G36)))),"Sí","No")</f>
        <v>No</v>
      </c>
      <c r="H36" s="3" t="str">
        <f>IF(LEN(Hoja1!F36)&lt;&gt;14,"Sí","No")</f>
        <v>No</v>
      </c>
      <c r="I36" s="3" t="str">
        <f>IF(Hoja1!C36&gt;Hoja1!H36,"Sí","No")</f>
        <v>No</v>
      </c>
      <c r="J36" s="3" t="str">
        <f>IF(SUMPRODUCT(--ISNUMBER(SEARCH({"0";"1";"2";"3";"4";"5";"6";"7";"8";"9"},Hoja1!D36)))=0,"Sí","No")</f>
        <v>No</v>
      </c>
      <c r="K36" s="3" t="str">
        <f t="shared" si="0"/>
        <v>No</v>
      </c>
    </row>
    <row r="37" spans="1:11" ht="15" customHeight="1" x14ac:dyDescent="0.3">
      <c r="A37" s="3" t="str">
        <f>Hoja1!A37</f>
        <v>C0036</v>
      </c>
      <c r="B37" s="3" t="str">
        <f>Hoja1!B37</f>
        <v>Nerea Alcalde Solé</v>
      </c>
      <c r="C37" s="3" t="str">
        <f>IF(COUNTA(Hoja1!A37:I37)=0,"Sí","No")</f>
        <v>No</v>
      </c>
      <c r="D37" s="3" t="str">
        <f>IF(COUNTBLANK(Hoja1!A37:I37)&gt;0,"Sí","No")</f>
        <v>No</v>
      </c>
      <c r="E37" s="3" t="str">
        <f>IF(COUNTIF(Hoja1!$A$2:$A$1000,Hoja1!A37)&gt;1,"Sí","No")</f>
        <v>No</v>
      </c>
      <c r="F37" s="3" t="str">
        <f>IF(COUNTIF(Hoja1!$G$2:$G$1000,Hoja1!G37)&gt;1,"Sí","No")</f>
        <v>No</v>
      </c>
      <c r="G37" s="3" t="str">
        <f>IF(OR(ISERROR(FIND("@",Hoja1!G37)),ISERROR(FIND(".",Hoja1!G37,FIND("@",Hoja1!G37)))),"Sí","No")</f>
        <v>No</v>
      </c>
      <c r="H37" s="3" t="str">
        <f>IF(LEN(Hoja1!F37)&lt;&gt;14,"Sí","No")</f>
        <v>No</v>
      </c>
      <c r="I37" s="3" t="str">
        <f>IF(Hoja1!C37&gt;Hoja1!H37,"Sí","No")</f>
        <v>No</v>
      </c>
      <c r="J37" s="3" t="str">
        <f>IF(SUMPRODUCT(--ISNUMBER(SEARCH({"0";"1";"2";"3";"4";"5";"6";"7";"8";"9"},Hoja1!D37)))=0,"Sí","No")</f>
        <v>No</v>
      </c>
      <c r="K37" s="3" t="str">
        <f t="shared" si="0"/>
        <v>No</v>
      </c>
    </row>
    <row r="38" spans="1:11" ht="15" customHeight="1" x14ac:dyDescent="0.3">
      <c r="A38" s="3" t="str">
        <f>Hoja1!A38</f>
        <v>C0037</v>
      </c>
      <c r="B38" s="3" t="str">
        <f>Hoja1!B38</f>
        <v>Gracia Goicoechea Alba</v>
      </c>
      <c r="C38" s="3" t="str">
        <f>IF(COUNTA(Hoja1!A38:I38)=0,"Sí","No")</f>
        <v>No</v>
      </c>
      <c r="D38" s="3" t="str">
        <f>IF(COUNTBLANK(Hoja1!A38:I38)&gt;0,"Sí","No")</f>
        <v>No</v>
      </c>
      <c r="E38" s="3" t="str">
        <f>IF(COUNTIF(Hoja1!$A$2:$A$1000,Hoja1!A38)&gt;1,"Sí","No")</f>
        <v>No</v>
      </c>
      <c r="F38" s="3" t="str">
        <f>IF(COUNTIF(Hoja1!$G$2:$G$1000,Hoja1!G38)&gt;1,"Sí","No")</f>
        <v>No</v>
      </c>
      <c r="G38" s="3" t="str">
        <f>IF(OR(ISERROR(FIND("@",Hoja1!G38)),ISERROR(FIND(".",Hoja1!G38,FIND("@",Hoja1!G38)))),"Sí","No")</f>
        <v>No</v>
      </c>
      <c r="H38" s="3" t="str">
        <f>IF(LEN(Hoja1!F38)&lt;&gt;14,"Sí","No")</f>
        <v>No</v>
      </c>
      <c r="I38" s="3" t="str">
        <f>IF(Hoja1!C38&gt;Hoja1!H38,"Sí","No")</f>
        <v>No</v>
      </c>
      <c r="J38" s="3" t="str">
        <f>IF(SUMPRODUCT(--ISNUMBER(SEARCH({"0";"1";"2";"3";"4";"5";"6";"7";"8";"9"},Hoja1!D38)))=0,"Sí","No")</f>
        <v>No</v>
      </c>
      <c r="K38" s="3" t="str">
        <f t="shared" si="0"/>
        <v>No</v>
      </c>
    </row>
    <row r="39" spans="1:11" ht="15" customHeight="1" x14ac:dyDescent="0.3">
      <c r="A39" s="3" t="str">
        <f>Hoja1!A39</f>
        <v>C0038</v>
      </c>
      <c r="B39" s="3" t="str">
        <f>Hoja1!B39</f>
        <v>Toño Hidalgo Blázquez</v>
      </c>
      <c r="C39" s="3" t="str">
        <f>IF(COUNTA(Hoja1!A39:I39)=0,"Sí","No")</f>
        <v>No</v>
      </c>
      <c r="D39" s="3" t="str">
        <f>IF(COUNTBLANK(Hoja1!A39:I39)&gt;0,"Sí","No")</f>
        <v>No</v>
      </c>
      <c r="E39" s="3" t="str">
        <f>IF(COUNTIF(Hoja1!$A$2:$A$1000,Hoja1!A39)&gt;1,"Sí","No")</f>
        <v>No</v>
      </c>
      <c r="F39" s="3" t="str">
        <f>IF(COUNTIF(Hoja1!$G$2:$G$1000,Hoja1!G39)&gt;1,"Sí","No")</f>
        <v>No</v>
      </c>
      <c r="G39" s="3" t="str">
        <f>IF(OR(ISERROR(FIND("@",Hoja1!G39)),ISERROR(FIND(".",Hoja1!G39,FIND("@",Hoja1!G39)))),"Sí","No")</f>
        <v>No</v>
      </c>
      <c r="H39" s="3" t="str">
        <f>IF(LEN(Hoja1!F39)&lt;&gt;14,"Sí","No")</f>
        <v>No</v>
      </c>
      <c r="I39" s="3" t="str">
        <f>IF(Hoja1!C39&gt;Hoja1!H39,"Sí","No")</f>
        <v>No</v>
      </c>
      <c r="J39" s="3" t="str">
        <f>IF(SUMPRODUCT(--ISNUMBER(SEARCH({"0";"1";"2";"3";"4";"5";"6";"7";"8";"9"},Hoja1!D39)))=0,"Sí","No")</f>
        <v>No</v>
      </c>
      <c r="K39" s="3" t="str">
        <f t="shared" si="0"/>
        <v>No</v>
      </c>
    </row>
    <row r="40" spans="1:11" ht="15" customHeight="1" x14ac:dyDescent="0.3">
      <c r="A40" s="3" t="str">
        <f>Hoja1!A40</f>
        <v>C0039</v>
      </c>
      <c r="B40" s="3" t="str">
        <f>Hoja1!B40</f>
        <v>Cándida Sedano Jiménez</v>
      </c>
      <c r="C40" s="3" t="str">
        <f>IF(COUNTA(Hoja1!A40:I40)=0,"Sí","No")</f>
        <v>No</v>
      </c>
      <c r="D40" s="3" t="str">
        <f>IF(COUNTBLANK(Hoja1!A40:I40)&gt;0,"Sí","No")</f>
        <v>No</v>
      </c>
      <c r="E40" s="3" t="str">
        <f>IF(COUNTIF(Hoja1!$A$2:$A$1000,Hoja1!A40)&gt;1,"Sí","No")</f>
        <v>No</v>
      </c>
      <c r="F40" s="3" t="str">
        <f>IF(COUNTIF(Hoja1!$G$2:$G$1000,Hoja1!G40)&gt;1,"Sí","No")</f>
        <v>Sí</v>
      </c>
      <c r="G40" s="3" t="str">
        <f>IF(OR(ISERROR(FIND("@",Hoja1!G40)),ISERROR(FIND(".",Hoja1!G40,FIND("@",Hoja1!G40)))),"Sí","No")</f>
        <v>No</v>
      </c>
      <c r="H40" s="3" t="str">
        <f>IF(LEN(Hoja1!F40)&lt;&gt;14,"Sí","No")</f>
        <v>No</v>
      </c>
      <c r="I40" s="3" t="str">
        <f>IF(Hoja1!C40&gt;Hoja1!H40,"Sí","No")</f>
        <v>No</v>
      </c>
      <c r="J40" s="3" t="str">
        <f>IF(SUMPRODUCT(--ISNUMBER(SEARCH({"0";"1";"2";"3";"4";"5";"6";"7";"8";"9"},Hoja1!D40)))=0,"Sí","No")</f>
        <v>No</v>
      </c>
      <c r="K40" s="3" t="str">
        <f t="shared" si="0"/>
        <v>Sí</v>
      </c>
    </row>
    <row r="41" spans="1:11" ht="15" customHeight="1" x14ac:dyDescent="0.3">
      <c r="A41" s="3" t="str">
        <f>Hoja1!A41</f>
        <v>C0040</v>
      </c>
      <c r="B41" s="3" t="str">
        <f>Hoja1!B41</f>
        <v>Eutimio Barreda Cobos</v>
      </c>
      <c r="C41" s="3" t="str">
        <f>IF(COUNTA(Hoja1!A41:I41)=0,"Sí","No")</f>
        <v>No</v>
      </c>
      <c r="D41" s="3" t="str">
        <f>IF(COUNTBLANK(Hoja1!A41:I41)&gt;0,"Sí","No")</f>
        <v>No</v>
      </c>
      <c r="E41" s="3" t="str">
        <f>IF(COUNTIF(Hoja1!$A$2:$A$1000,Hoja1!A41)&gt;1,"Sí","No")</f>
        <v>No</v>
      </c>
      <c r="F41" s="3" t="str">
        <f>IF(COUNTIF(Hoja1!$G$2:$G$1000,Hoja1!G41)&gt;1,"Sí","No")</f>
        <v>No</v>
      </c>
      <c r="G41" s="3" t="str">
        <f>IF(OR(ISERROR(FIND("@",Hoja1!G41)),ISERROR(FIND(".",Hoja1!G41,FIND("@",Hoja1!G41)))),"Sí","No")</f>
        <v>No</v>
      </c>
      <c r="H41" s="3" t="str">
        <f>IF(LEN(Hoja1!F41)&lt;&gt;14,"Sí","No")</f>
        <v>No</v>
      </c>
      <c r="I41" s="3" t="str">
        <f>IF(Hoja1!C41&gt;Hoja1!H41,"Sí","No")</f>
        <v>No</v>
      </c>
      <c r="J41" s="3" t="str">
        <f>IF(SUMPRODUCT(--ISNUMBER(SEARCH({"0";"1";"2";"3";"4";"5";"6";"7";"8";"9"},Hoja1!D41)))=0,"Sí","No")</f>
        <v>No</v>
      </c>
      <c r="K41" s="3" t="str">
        <f t="shared" si="0"/>
        <v>No</v>
      </c>
    </row>
    <row r="42" spans="1:11" ht="15" customHeight="1" x14ac:dyDescent="0.3">
      <c r="A42" s="3" t="str">
        <f>Hoja1!A42</f>
        <v>C0041</v>
      </c>
      <c r="B42" s="3" t="str">
        <f>Hoja1!B42</f>
        <v>Rosario Yuste Falcón</v>
      </c>
      <c r="C42" s="3" t="str">
        <f>IF(COUNTA(Hoja1!A42:I42)=0,"Sí","No")</f>
        <v>No</v>
      </c>
      <c r="D42" s="3" t="str">
        <f>IF(COUNTBLANK(Hoja1!A42:I42)&gt;0,"Sí","No")</f>
        <v>No</v>
      </c>
      <c r="E42" s="3" t="str">
        <f>IF(COUNTIF(Hoja1!$A$2:$A$1000,Hoja1!A42)&gt;1,"Sí","No")</f>
        <v>No</v>
      </c>
      <c r="F42" s="3" t="str">
        <f>IF(COUNTIF(Hoja1!$G$2:$G$1000,Hoja1!G42)&gt;1,"Sí","No")</f>
        <v>No</v>
      </c>
      <c r="G42" s="3" t="str">
        <f>IF(OR(ISERROR(FIND("@",Hoja1!G42)),ISERROR(FIND(".",Hoja1!G42,FIND("@",Hoja1!G42)))),"Sí","No")</f>
        <v>No</v>
      </c>
      <c r="H42" s="3" t="str">
        <f>IF(LEN(Hoja1!F42)&lt;&gt;14,"Sí","No")</f>
        <v>No</v>
      </c>
      <c r="I42" s="3" t="str">
        <f>IF(Hoja1!C42&gt;Hoja1!H42,"Sí","No")</f>
        <v>No</v>
      </c>
      <c r="J42" s="3" t="str">
        <f>IF(SUMPRODUCT(--ISNUMBER(SEARCH({"0";"1";"2";"3";"4";"5";"6";"7";"8";"9"},Hoja1!D42)))=0,"Sí","No")</f>
        <v>No</v>
      </c>
      <c r="K42" s="3" t="str">
        <f t="shared" si="0"/>
        <v>No</v>
      </c>
    </row>
    <row r="43" spans="1:11" ht="15" customHeight="1" x14ac:dyDescent="0.3">
      <c r="A43" s="3" t="str">
        <f>Hoja1!A43</f>
        <v>C0042</v>
      </c>
      <c r="B43" s="3" t="str">
        <f>Hoja1!B43</f>
        <v>Encarnacion Español Ocaña</v>
      </c>
      <c r="C43" s="3" t="str">
        <f>IF(COUNTA(Hoja1!A43:I43)=0,"Sí","No")</f>
        <v>No</v>
      </c>
      <c r="D43" s="3" t="str">
        <f>IF(COUNTBLANK(Hoja1!A43:I43)&gt;0,"Sí","No")</f>
        <v>No</v>
      </c>
      <c r="E43" s="3" t="str">
        <f>IF(COUNTIF(Hoja1!$A$2:$A$1000,Hoja1!A43)&gt;1,"Sí","No")</f>
        <v>No</v>
      </c>
      <c r="F43" s="3" t="str">
        <f>IF(COUNTIF(Hoja1!$G$2:$G$1000,Hoja1!G43)&gt;1,"Sí","No")</f>
        <v>No</v>
      </c>
      <c r="G43" s="3" t="str">
        <f>IF(OR(ISERROR(FIND("@",Hoja1!G43)),ISERROR(FIND(".",Hoja1!G43,FIND("@",Hoja1!G43)))),"Sí","No")</f>
        <v>No</v>
      </c>
      <c r="H43" s="3" t="str">
        <f>IF(LEN(Hoja1!F43)&lt;&gt;14,"Sí","No")</f>
        <v>No</v>
      </c>
      <c r="I43" s="3" t="str">
        <f>IF(Hoja1!C43&gt;Hoja1!H43,"Sí","No")</f>
        <v>No</v>
      </c>
      <c r="J43" s="3" t="str">
        <f>IF(SUMPRODUCT(--ISNUMBER(SEARCH({"0";"1";"2";"3";"4";"5";"6";"7";"8";"9"},Hoja1!D43)))=0,"Sí","No")</f>
        <v>No</v>
      </c>
      <c r="K43" s="3" t="str">
        <f t="shared" si="0"/>
        <v>No</v>
      </c>
    </row>
    <row r="44" spans="1:11" ht="15" customHeight="1" x14ac:dyDescent="0.3">
      <c r="A44" s="3" t="str">
        <f>Hoja1!A44</f>
        <v>C0043</v>
      </c>
      <c r="B44" s="3" t="str">
        <f>Hoja1!B44</f>
        <v>Magdalena Vilaplana Esteve</v>
      </c>
      <c r="C44" s="3" t="str">
        <f>IF(COUNTA(Hoja1!A44:I44)=0,"Sí","No")</f>
        <v>No</v>
      </c>
      <c r="D44" s="3" t="str">
        <f>IF(COUNTBLANK(Hoja1!A44:I44)&gt;0,"Sí","No")</f>
        <v>No</v>
      </c>
      <c r="E44" s="3" t="str">
        <f>IF(COUNTIF(Hoja1!$A$2:$A$1000,Hoja1!A44)&gt;1,"Sí","No")</f>
        <v>No</v>
      </c>
      <c r="F44" s="3" t="str">
        <f>IF(COUNTIF(Hoja1!$G$2:$G$1000,Hoja1!G44)&gt;1,"Sí","No")</f>
        <v>No</v>
      </c>
      <c r="G44" s="3" t="str">
        <f>IF(OR(ISERROR(FIND("@",Hoja1!G44)),ISERROR(FIND(".",Hoja1!G44,FIND("@",Hoja1!G44)))),"Sí","No")</f>
        <v>No</v>
      </c>
      <c r="H44" s="3" t="str">
        <f>IF(LEN(Hoja1!F44)&lt;&gt;14,"Sí","No")</f>
        <v>No</v>
      </c>
      <c r="I44" s="3" t="str">
        <f>IF(Hoja1!C44&gt;Hoja1!H44,"Sí","No")</f>
        <v>No</v>
      </c>
      <c r="J44" s="3" t="str">
        <f>IF(SUMPRODUCT(--ISNUMBER(SEARCH({"0";"1";"2";"3";"4";"5";"6";"7";"8";"9"},Hoja1!D44)))=0,"Sí","No")</f>
        <v>Sí</v>
      </c>
      <c r="K44" s="3" t="str">
        <f t="shared" si="0"/>
        <v>Sí</v>
      </c>
    </row>
    <row r="45" spans="1:11" ht="15" customHeight="1" x14ac:dyDescent="0.3">
      <c r="A45" s="3" t="str">
        <f>Hoja1!A45</f>
        <v>C0044</v>
      </c>
      <c r="B45" s="3" t="str">
        <f>Hoja1!B45</f>
        <v>Adelardo Novoa</v>
      </c>
      <c r="C45" s="3" t="str">
        <f>IF(COUNTA(Hoja1!A45:I45)=0,"Sí","No")</f>
        <v>No</v>
      </c>
      <c r="D45" s="3" t="str">
        <f>IF(COUNTBLANK(Hoja1!A45:I45)&gt;0,"Sí","No")</f>
        <v>No</v>
      </c>
      <c r="E45" s="3" t="str">
        <f>IF(COUNTIF(Hoja1!$A$2:$A$1000,Hoja1!A45)&gt;1,"Sí","No")</f>
        <v>No</v>
      </c>
      <c r="F45" s="3" t="str">
        <f>IF(COUNTIF(Hoja1!$G$2:$G$1000,Hoja1!G45)&gt;1,"Sí","No")</f>
        <v>No</v>
      </c>
      <c r="G45" s="3" t="str">
        <f>IF(OR(ISERROR(FIND("@",Hoja1!G45)),ISERROR(FIND(".",Hoja1!G45,FIND("@",Hoja1!G45)))),"Sí","No")</f>
        <v>No</v>
      </c>
      <c r="H45" s="3" t="str">
        <f>IF(LEN(Hoja1!F45)&lt;&gt;14,"Sí","No")</f>
        <v>No</v>
      </c>
      <c r="I45" s="3" t="str">
        <f>IF(Hoja1!C45&gt;Hoja1!H45,"Sí","No")</f>
        <v>No</v>
      </c>
      <c r="J45" s="3" t="str">
        <f>IF(SUMPRODUCT(--ISNUMBER(SEARCH({"0";"1";"2";"3";"4";"5";"6";"7";"8";"9"},Hoja1!D45)))=0,"Sí","No")</f>
        <v>No</v>
      </c>
      <c r="K45" s="3" t="str">
        <f t="shared" si="0"/>
        <v>No</v>
      </c>
    </row>
    <row r="46" spans="1:11" ht="15" customHeight="1" x14ac:dyDescent="0.3">
      <c r="A46" s="3" t="str">
        <f>Hoja1!A46</f>
        <v>C0045</v>
      </c>
      <c r="B46" s="3" t="str">
        <f>Hoja1!B46</f>
        <v>Adoración Rovira Zabala</v>
      </c>
      <c r="C46" s="3" t="str">
        <f>IF(COUNTA(Hoja1!A46:I46)=0,"Sí","No")</f>
        <v>No</v>
      </c>
      <c r="D46" s="3" t="str">
        <f>IF(COUNTBLANK(Hoja1!A46:I46)&gt;0,"Sí","No")</f>
        <v>No</v>
      </c>
      <c r="E46" s="3" t="str">
        <f>IF(COUNTIF(Hoja1!$A$2:$A$1000,Hoja1!A46)&gt;1,"Sí","No")</f>
        <v>No</v>
      </c>
      <c r="F46" s="3" t="str">
        <f>IF(COUNTIF(Hoja1!$G$2:$G$1000,Hoja1!G46)&gt;1,"Sí","No")</f>
        <v>No</v>
      </c>
      <c r="G46" s="3" t="str">
        <f>IF(OR(ISERROR(FIND("@",Hoja1!G46)),ISERROR(FIND(".",Hoja1!G46,FIND("@",Hoja1!G46)))),"Sí","No")</f>
        <v>No</v>
      </c>
      <c r="H46" s="3" t="str">
        <f>IF(LEN(Hoja1!F46)&lt;&gt;14,"Sí","No")</f>
        <v>No</v>
      </c>
      <c r="I46" s="3" t="str">
        <f>IF(Hoja1!C46&gt;Hoja1!H46,"Sí","No")</f>
        <v>No</v>
      </c>
      <c r="J46" s="3" t="str">
        <f>IF(SUMPRODUCT(--ISNUMBER(SEARCH({"0";"1";"2";"3";"4";"5";"6";"7";"8";"9"},Hoja1!D46)))=0,"Sí","No")</f>
        <v>No</v>
      </c>
      <c r="K46" s="3" t="str">
        <f t="shared" si="0"/>
        <v>No</v>
      </c>
    </row>
    <row r="47" spans="1:11" ht="15" customHeight="1" x14ac:dyDescent="0.3">
      <c r="A47" s="3" t="str">
        <f>Hoja1!A47</f>
        <v>C0046</v>
      </c>
      <c r="B47" s="3" t="str">
        <f>Hoja1!B47</f>
        <v>Ovidio Lamas</v>
      </c>
      <c r="C47" s="3" t="str">
        <f>IF(COUNTA(Hoja1!A47:I47)=0,"Sí","No")</f>
        <v>No</v>
      </c>
      <c r="D47" s="3" t="str">
        <f>IF(COUNTBLANK(Hoja1!A47:I47)&gt;0,"Sí","No")</f>
        <v>No</v>
      </c>
      <c r="E47" s="3" t="str">
        <f>IF(COUNTIF(Hoja1!$A$2:$A$1000,Hoja1!A47)&gt;1,"Sí","No")</f>
        <v>No</v>
      </c>
      <c r="F47" s="3" t="str">
        <f>IF(COUNTIF(Hoja1!$G$2:$G$1000,Hoja1!G47)&gt;1,"Sí","No")</f>
        <v>No</v>
      </c>
      <c r="G47" s="3" t="str">
        <f>IF(OR(ISERROR(FIND("@",Hoja1!G47)),ISERROR(FIND(".",Hoja1!G47,FIND("@",Hoja1!G47)))),"Sí","No")</f>
        <v>No</v>
      </c>
      <c r="H47" s="3" t="str">
        <f>IF(LEN(Hoja1!F47)&lt;&gt;14,"Sí","No")</f>
        <v>No</v>
      </c>
      <c r="I47" s="3" t="str">
        <f>IF(Hoja1!C47&gt;Hoja1!H47,"Sí","No")</f>
        <v>No</v>
      </c>
      <c r="J47" s="3" t="str">
        <f>IF(SUMPRODUCT(--ISNUMBER(SEARCH({"0";"1";"2";"3";"4";"5";"6";"7";"8";"9"},Hoja1!D47)))=0,"Sí","No")</f>
        <v>Sí</v>
      </c>
      <c r="K47" s="3" t="str">
        <f t="shared" si="0"/>
        <v>Sí</v>
      </c>
    </row>
    <row r="48" spans="1:11" ht="15" customHeight="1" x14ac:dyDescent="0.3">
      <c r="A48" s="3" t="str">
        <f>Hoja1!A48</f>
        <v>C0047</v>
      </c>
      <c r="B48" s="3" t="str">
        <f>Hoja1!B48</f>
        <v>Reyes Julián Nogués</v>
      </c>
      <c r="C48" s="3" t="str">
        <f>IF(COUNTA(Hoja1!A48:I48)=0,"Sí","No")</f>
        <v>No</v>
      </c>
      <c r="D48" s="3" t="str">
        <f>IF(COUNTBLANK(Hoja1!A48:I48)&gt;0,"Sí","No")</f>
        <v>No</v>
      </c>
      <c r="E48" s="3" t="str">
        <f>IF(COUNTIF(Hoja1!$A$2:$A$1000,Hoja1!A48)&gt;1,"Sí","No")</f>
        <v>No</v>
      </c>
      <c r="F48" s="3" t="str">
        <f>IF(COUNTIF(Hoja1!$G$2:$G$1000,Hoja1!G48)&gt;1,"Sí","No")</f>
        <v>No</v>
      </c>
      <c r="G48" s="3" t="str">
        <f>IF(OR(ISERROR(FIND("@",Hoja1!G48)),ISERROR(FIND(".",Hoja1!G48,FIND("@",Hoja1!G48)))),"Sí","No")</f>
        <v>No</v>
      </c>
      <c r="H48" s="3" t="str">
        <f>IF(LEN(Hoja1!F48)&lt;&gt;14,"Sí","No")</f>
        <v>No</v>
      </c>
      <c r="I48" s="3" t="str">
        <f>IF(Hoja1!C48&gt;Hoja1!H48,"Sí","No")</f>
        <v>No</v>
      </c>
      <c r="J48" s="3" t="str">
        <f>IF(SUMPRODUCT(--ISNUMBER(SEARCH({"0";"1";"2";"3";"4";"5";"6";"7";"8";"9"},Hoja1!D48)))=0,"Sí","No")</f>
        <v>No</v>
      </c>
      <c r="K48" s="3" t="str">
        <f t="shared" si="0"/>
        <v>No</v>
      </c>
    </row>
    <row r="49" spans="1:11" ht="15" customHeight="1" x14ac:dyDescent="0.3">
      <c r="A49" s="3" t="str">
        <f>Hoja1!A49</f>
        <v>C0048</v>
      </c>
      <c r="B49" s="3" t="str">
        <f>Hoja1!B49</f>
        <v>Adoración Jurado Clemente</v>
      </c>
      <c r="C49" s="3" t="str">
        <f>IF(COUNTA(Hoja1!A49:I49)=0,"Sí","No")</f>
        <v>No</v>
      </c>
      <c r="D49" s="3" t="str">
        <f>IF(COUNTBLANK(Hoja1!A49:I49)&gt;0,"Sí","No")</f>
        <v>No</v>
      </c>
      <c r="E49" s="3" t="str">
        <f>IF(COUNTIF(Hoja1!$A$2:$A$1000,Hoja1!A49)&gt;1,"Sí","No")</f>
        <v>No</v>
      </c>
      <c r="F49" s="3" t="str">
        <f>IF(COUNTIF(Hoja1!$G$2:$G$1000,Hoja1!G49)&gt;1,"Sí","No")</f>
        <v>No</v>
      </c>
      <c r="G49" s="3" t="str">
        <f>IF(OR(ISERROR(FIND("@",Hoja1!G49)),ISERROR(FIND(".",Hoja1!G49,FIND("@",Hoja1!G49)))),"Sí","No")</f>
        <v>No</v>
      </c>
      <c r="H49" s="3" t="str">
        <f>IF(LEN(Hoja1!F49)&lt;&gt;14,"Sí","No")</f>
        <v>No</v>
      </c>
      <c r="I49" s="3" t="str">
        <f>IF(Hoja1!C49&gt;Hoja1!H49,"Sí","No")</f>
        <v>No</v>
      </c>
      <c r="J49" s="3" t="str">
        <f>IF(SUMPRODUCT(--ISNUMBER(SEARCH({"0";"1";"2";"3";"4";"5";"6";"7";"8";"9"},Hoja1!D49)))=0,"Sí","No")</f>
        <v>No</v>
      </c>
      <c r="K49" s="3" t="str">
        <f t="shared" si="0"/>
        <v>No</v>
      </c>
    </row>
    <row r="50" spans="1:11" ht="15" customHeight="1" x14ac:dyDescent="0.3">
      <c r="A50" s="3" t="str">
        <f>Hoja1!A50</f>
        <v>C0049</v>
      </c>
      <c r="B50" s="3" t="str">
        <f>Hoja1!B50</f>
        <v>Plácido Zabala Feijoo</v>
      </c>
      <c r="C50" s="3" t="str">
        <f>IF(COUNTA(Hoja1!A50:I50)=0,"Sí","No")</f>
        <v>No</v>
      </c>
      <c r="D50" s="3" t="str">
        <f>IF(COUNTBLANK(Hoja1!A50:I50)&gt;0,"Sí","No")</f>
        <v>No</v>
      </c>
      <c r="E50" s="3" t="str">
        <f>IF(COUNTIF(Hoja1!$A$2:$A$1000,Hoja1!A50)&gt;1,"Sí","No")</f>
        <v>No</v>
      </c>
      <c r="F50" s="3" t="str">
        <f>IF(COUNTIF(Hoja1!$G$2:$G$1000,Hoja1!G50)&gt;1,"Sí","No")</f>
        <v>No</v>
      </c>
      <c r="G50" s="3" t="str">
        <f>IF(OR(ISERROR(FIND("@",Hoja1!G50)),ISERROR(FIND(".",Hoja1!G50,FIND("@",Hoja1!G50)))),"Sí","No")</f>
        <v>No</v>
      </c>
      <c r="H50" s="3" t="str">
        <f>IF(LEN(Hoja1!F50)&lt;&gt;14,"Sí","No")</f>
        <v>No</v>
      </c>
      <c r="I50" s="3" t="str">
        <f>IF(Hoja1!C50&gt;Hoja1!H50,"Sí","No")</f>
        <v>No</v>
      </c>
      <c r="J50" s="3" t="str">
        <f>IF(SUMPRODUCT(--ISNUMBER(SEARCH({"0";"1";"2";"3";"4";"5";"6";"7";"8";"9"},Hoja1!D50)))=0,"Sí","No")</f>
        <v>Sí</v>
      </c>
      <c r="K50" s="3" t="str">
        <f t="shared" si="0"/>
        <v>Sí</v>
      </c>
    </row>
    <row r="51" spans="1:11" ht="15" customHeight="1" x14ac:dyDescent="0.3">
      <c r="A51" s="3" t="str">
        <f>Hoja1!A51</f>
        <v>C0050</v>
      </c>
      <c r="B51" s="3" t="str">
        <f>Hoja1!B51</f>
        <v>Abel Alex Cueto López</v>
      </c>
      <c r="C51" s="3" t="str">
        <f>IF(COUNTA(Hoja1!A51:I51)=0,"Sí","No")</f>
        <v>No</v>
      </c>
      <c r="D51" s="3" t="str">
        <f>IF(COUNTBLANK(Hoja1!A51:I51)&gt;0,"Sí","No")</f>
        <v>No</v>
      </c>
      <c r="E51" s="3" t="str">
        <f>IF(COUNTIF(Hoja1!$A$2:$A$1000,Hoja1!A51)&gt;1,"Sí","No")</f>
        <v>No</v>
      </c>
      <c r="F51" s="3" t="str">
        <f>IF(COUNTIF(Hoja1!$G$2:$G$1000,Hoja1!G51)&gt;1,"Sí","No")</f>
        <v>No</v>
      </c>
      <c r="G51" s="3" t="str">
        <f>IF(OR(ISERROR(FIND("@",Hoja1!G51)),ISERROR(FIND(".",Hoja1!G51,FIND("@",Hoja1!G51)))),"Sí","No")</f>
        <v>No</v>
      </c>
      <c r="H51" s="3" t="str">
        <f>IF(LEN(Hoja1!F51)&lt;&gt;14,"Sí","No")</f>
        <v>No</v>
      </c>
      <c r="I51" s="3" t="str">
        <f>IF(Hoja1!C51&gt;Hoja1!H51,"Sí","No")</f>
        <v>No</v>
      </c>
      <c r="J51" s="3" t="str">
        <f>IF(SUMPRODUCT(--ISNUMBER(SEARCH({"0";"1";"2";"3";"4";"5";"6";"7";"8";"9"},Hoja1!D51)))=0,"Sí","No")</f>
        <v>No</v>
      </c>
      <c r="K51" s="3" t="str">
        <f t="shared" si="0"/>
        <v>No</v>
      </c>
    </row>
    <row r="52" spans="1:11" ht="15" customHeight="1" x14ac:dyDescent="0.3">
      <c r="A52" s="3" t="str">
        <f>Hoja1!A52</f>
        <v>C0051</v>
      </c>
      <c r="B52" s="3" t="str">
        <f>Hoja1!B52</f>
        <v>Miguela Sanmiguel Paz</v>
      </c>
      <c r="C52" s="3" t="str">
        <f>IF(COUNTA(Hoja1!A52:I52)=0,"Sí","No")</f>
        <v>No</v>
      </c>
      <c r="D52" s="3" t="str">
        <f>IF(COUNTBLANK(Hoja1!A52:I52)&gt;0,"Sí","No")</f>
        <v>No</v>
      </c>
      <c r="E52" s="3" t="str">
        <f>IF(COUNTIF(Hoja1!$A$2:$A$1000,Hoja1!A52)&gt;1,"Sí","No")</f>
        <v>No</v>
      </c>
      <c r="F52" s="3" t="str">
        <f>IF(COUNTIF(Hoja1!$G$2:$G$1000,Hoja1!G52)&gt;1,"Sí","No")</f>
        <v>No</v>
      </c>
      <c r="G52" s="3" t="str">
        <f>IF(OR(ISERROR(FIND("@",Hoja1!G52)),ISERROR(FIND(".",Hoja1!G52,FIND("@",Hoja1!G52)))),"Sí","No")</f>
        <v>No</v>
      </c>
      <c r="H52" s="3" t="str">
        <f>IF(LEN(Hoja1!F52)&lt;&gt;14,"Sí","No")</f>
        <v>No</v>
      </c>
      <c r="I52" s="3" t="str">
        <f>IF(Hoja1!C52&gt;Hoja1!H52,"Sí","No")</f>
        <v>No</v>
      </c>
      <c r="J52" s="3" t="str">
        <f>IF(SUMPRODUCT(--ISNUMBER(SEARCH({"0";"1";"2";"3";"4";"5";"6";"7";"8";"9"},Hoja1!D52)))=0,"Sí","No")</f>
        <v>No</v>
      </c>
      <c r="K52" s="3" t="str">
        <f t="shared" si="0"/>
        <v>No</v>
      </c>
    </row>
    <row r="53" spans="1:11" ht="15" customHeight="1" x14ac:dyDescent="0.3">
      <c r="A53" s="3" t="str">
        <f>Hoja1!A53</f>
        <v>C0052</v>
      </c>
      <c r="B53" s="3" t="str">
        <f>Hoja1!B53</f>
        <v>Narcisa Villaverde Montes</v>
      </c>
      <c r="C53" s="3" t="str">
        <f>IF(COUNTA(Hoja1!A53:I53)=0,"Sí","No")</f>
        <v>No</v>
      </c>
      <c r="D53" s="3" t="str">
        <f>IF(COUNTBLANK(Hoja1!A53:I53)&gt;0,"Sí","No")</f>
        <v>No</v>
      </c>
      <c r="E53" s="3" t="str">
        <f>IF(COUNTIF(Hoja1!$A$2:$A$1000,Hoja1!A53)&gt;1,"Sí","No")</f>
        <v>No</v>
      </c>
      <c r="F53" s="3" t="str">
        <f>IF(COUNTIF(Hoja1!$G$2:$G$1000,Hoja1!G53)&gt;1,"Sí","No")</f>
        <v>No</v>
      </c>
      <c r="G53" s="3" t="str">
        <f>IF(OR(ISERROR(FIND("@",Hoja1!G53)),ISERROR(FIND(".",Hoja1!G53,FIND("@",Hoja1!G53)))),"Sí","No")</f>
        <v>No</v>
      </c>
      <c r="H53" s="3" t="str">
        <f>IF(LEN(Hoja1!F53)&lt;&gt;14,"Sí","No")</f>
        <v>No</v>
      </c>
      <c r="I53" s="3" t="str">
        <f>IF(Hoja1!C53&gt;Hoja1!H53,"Sí","No")</f>
        <v>No</v>
      </c>
      <c r="J53" s="3" t="str">
        <f>IF(SUMPRODUCT(--ISNUMBER(SEARCH({"0";"1";"2";"3";"4";"5";"6";"7";"8";"9"},Hoja1!D53)))=0,"Sí","No")</f>
        <v>Sí</v>
      </c>
      <c r="K53" s="3" t="str">
        <f t="shared" si="0"/>
        <v>Sí</v>
      </c>
    </row>
    <row r="54" spans="1:11" ht="15" customHeight="1" x14ac:dyDescent="0.3">
      <c r="A54" s="3" t="str">
        <f>Hoja1!A54</f>
        <v>C0053</v>
      </c>
      <c r="B54" s="3" t="str">
        <f>Hoja1!B54</f>
        <v>Leonardo Aller Bermúdez</v>
      </c>
      <c r="C54" s="3" t="str">
        <f>IF(COUNTA(Hoja1!A54:I54)=0,"Sí","No")</f>
        <v>No</v>
      </c>
      <c r="D54" s="3" t="str">
        <f>IF(COUNTBLANK(Hoja1!A54:I54)&gt;0,"Sí","No")</f>
        <v>No</v>
      </c>
      <c r="E54" s="3" t="str">
        <f>IF(COUNTIF(Hoja1!$A$2:$A$1000,Hoja1!A54)&gt;1,"Sí","No")</f>
        <v>No</v>
      </c>
      <c r="F54" s="3" t="str">
        <f>IF(COUNTIF(Hoja1!$G$2:$G$1000,Hoja1!G54)&gt;1,"Sí","No")</f>
        <v>No</v>
      </c>
      <c r="G54" s="3" t="str">
        <f>IF(OR(ISERROR(FIND("@",Hoja1!G54)),ISERROR(FIND(".",Hoja1!G54,FIND("@",Hoja1!G54)))),"Sí","No")</f>
        <v>No</v>
      </c>
      <c r="H54" s="3" t="str">
        <f>IF(LEN(Hoja1!F54)&lt;&gt;14,"Sí","No")</f>
        <v>No</v>
      </c>
      <c r="I54" s="3" t="str">
        <f>IF(Hoja1!C54&gt;Hoja1!H54,"Sí","No")</f>
        <v>No</v>
      </c>
      <c r="J54" s="3" t="str">
        <f>IF(SUMPRODUCT(--ISNUMBER(SEARCH({"0";"1";"2";"3";"4";"5";"6";"7";"8";"9"},Hoja1!D54)))=0,"Sí","No")</f>
        <v>No</v>
      </c>
      <c r="K54" s="3" t="str">
        <f t="shared" si="0"/>
        <v>No</v>
      </c>
    </row>
    <row r="55" spans="1:11" ht="15" customHeight="1" x14ac:dyDescent="0.3">
      <c r="A55" s="3" t="str">
        <f>Hoja1!A55</f>
        <v>C0054</v>
      </c>
      <c r="B55" s="3" t="str">
        <f>Hoja1!B55</f>
        <v>Javiera Bartolomé Torrens</v>
      </c>
      <c r="C55" s="3" t="str">
        <f>IF(COUNTA(Hoja1!A55:I55)=0,"Sí","No")</f>
        <v>No</v>
      </c>
      <c r="D55" s="3" t="str">
        <f>IF(COUNTBLANK(Hoja1!A55:I55)&gt;0,"Sí","No")</f>
        <v>No</v>
      </c>
      <c r="E55" s="3" t="str">
        <f>IF(COUNTIF(Hoja1!$A$2:$A$1000,Hoja1!A55)&gt;1,"Sí","No")</f>
        <v>No</v>
      </c>
      <c r="F55" s="3" t="str">
        <f>IF(COUNTIF(Hoja1!$G$2:$G$1000,Hoja1!G55)&gt;1,"Sí","No")</f>
        <v>No</v>
      </c>
      <c r="G55" s="3" t="str">
        <f>IF(OR(ISERROR(FIND("@",Hoja1!G55)),ISERROR(FIND(".",Hoja1!G55,FIND("@",Hoja1!G55)))),"Sí","No")</f>
        <v>No</v>
      </c>
      <c r="H55" s="3" t="str">
        <f>IF(LEN(Hoja1!F55)&lt;&gt;14,"Sí","No")</f>
        <v>No</v>
      </c>
      <c r="I55" s="3" t="str">
        <f>IF(Hoja1!C55&gt;Hoja1!H55,"Sí","No")</f>
        <v>No</v>
      </c>
      <c r="J55" s="3" t="str">
        <f>IF(SUMPRODUCT(--ISNUMBER(SEARCH({"0";"1";"2";"3";"4";"5";"6";"7";"8";"9"},Hoja1!D55)))=0,"Sí","No")</f>
        <v>No</v>
      </c>
      <c r="K55" s="3" t="str">
        <f t="shared" si="0"/>
        <v>No</v>
      </c>
    </row>
    <row r="56" spans="1:11" ht="15" customHeight="1" x14ac:dyDescent="0.3">
      <c r="A56" s="3" t="str">
        <f>Hoja1!A56</f>
        <v>C0055</v>
      </c>
      <c r="B56" s="3" t="str">
        <f>Hoja1!B56</f>
        <v>María Carmen de Fuster</v>
      </c>
      <c r="C56" s="3" t="str">
        <f>IF(COUNTA(Hoja1!A56:I56)=0,"Sí","No")</f>
        <v>No</v>
      </c>
      <c r="D56" s="3" t="str">
        <f>IF(COUNTBLANK(Hoja1!A56:I56)&gt;0,"Sí","No")</f>
        <v>No</v>
      </c>
      <c r="E56" s="3" t="str">
        <f>IF(COUNTIF(Hoja1!$A$2:$A$1000,Hoja1!A56)&gt;1,"Sí","No")</f>
        <v>No</v>
      </c>
      <c r="F56" s="3" t="str">
        <f>IF(COUNTIF(Hoja1!$G$2:$G$1000,Hoja1!G56)&gt;1,"Sí","No")</f>
        <v>No</v>
      </c>
      <c r="G56" s="3" t="str">
        <f>IF(OR(ISERROR(FIND("@",Hoja1!G56)),ISERROR(FIND(".",Hoja1!G56,FIND("@",Hoja1!G56)))),"Sí","No")</f>
        <v>No</v>
      </c>
      <c r="H56" s="3" t="str">
        <f>IF(LEN(Hoja1!F56)&lt;&gt;14,"Sí","No")</f>
        <v>No</v>
      </c>
      <c r="I56" s="3" t="str">
        <f>IF(Hoja1!C56&gt;Hoja1!H56,"Sí","No")</f>
        <v>No</v>
      </c>
      <c r="J56" s="3" t="str">
        <f>IF(SUMPRODUCT(--ISNUMBER(SEARCH({"0";"1";"2";"3";"4";"5";"6";"7";"8";"9"},Hoja1!D56)))=0,"Sí","No")</f>
        <v>Sí</v>
      </c>
      <c r="K56" s="3" t="str">
        <f t="shared" si="0"/>
        <v>Sí</v>
      </c>
    </row>
    <row r="57" spans="1:11" ht="15" customHeight="1" x14ac:dyDescent="0.3">
      <c r="A57" s="3" t="str">
        <f>Hoja1!A57</f>
        <v>C0056</v>
      </c>
      <c r="B57" s="3" t="str">
        <f>Hoja1!B57</f>
        <v>Adán Fonseca Marin</v>
      </c>
      <c r="C57" s="3" t="str">
        <f>IF(COUNTA(Hoja1!A57:I57)=0,"Sí","No")</f>
        <v>No</v>
      </c>
      <c r="D57" s="3" t="str">
        <f>IF(COUNTBLANK(Hoja1!A57:I57)&gt;0,"Sí","No")</f>
        <v>No</v>
      </c>
      <c r="E57" s="3" t="str">
        <f>IF(COUNTIF(Hoja1!$A$2:$A$1000,Hoja1!A57)&gt;1,"Sí","No")</f>
        <v>No</v>
      </c>
      <c r="F57" s="3" t="str">
        <f>IF(COUNTIF(Hoja1!$G$2:$G$1000,Hoja1!G57)&gt;1,"Sí","No")</f>
        <v>No</v>
      </c>
      <c r="G57" s="3" t="str">
        <f>IF(OR(ISERROR(FIND("@",Hoja1!G57)),ISERROR(FIND(".",Hoja1!G57,FIND("@",Hoja1!G57)))),"Sí","No")</f>
        <v>No</v>
      </c>
      <c r="H57" s="3" t="str">
        <f>IF(LEN(Hoja1!F57)&lt;&gt;14,"Sí","No")</f>
        <v>No</v>
      </c>
      <c r="I57" s="3" t="str">
        <f>IF(Hoja1!C57&gt;Hoja1!H57,"Sí","No")</f>
        <v>No</v>
      </c>
      <c r="J57" s="3" t="str">
        <f>IF(SUMPRODUCT(--ISNUMBER(SEARCH({"0";"1";"2";"3";"4";"5";"6";"7";"8";"9"},Hoja1!D57)))=0,"Sí","No")</f>
        <v>No</v>
      </c>
      <c r="K57" s="3" t="str">
        <f t="shared" si="0"/>
        <v>No</v>
      </c>
    </row>
    <row r="58" spans="1:11" ht="15" customHeight="1" x14ac:dyDescent="0.3">
      <c r="A58" s="3" t="str">
        <f>Hoja1!A58</f>
        <v>C0057</v>
      </c>
      <c r="B58" s="3" t="str">
        <f>Hoja1!B58</f>
        <v>Adalberto de Fabra</v>
      </c>
      <c r="C58" s="3" t="str">
        <f>IF(COUNTA(Hoja1!A58:I58)=0,"Sí","No")</f>
        <v>No</v>
      </c>
      <c r="D58" s="3" t="str">
        <f>IF(COUNTBLANK(Hoja1!A58:I58)&gt;0,"Sí","No")</f>
        <v>No</v>
      </c>
      <c r="E58" s="3" t="str">
        <f>IF(COUNTIF(Hoja1!$A$2:$A$1000,Hoja1!A58)&gt;1,"Sí","No")</f>
        <v>No</v>
      </c>
      <c r="F58" s="3" t="str">
        <f>IF(COUNTIF(Hoja1!$G$2:$G$1000,Hoja1!G58)&gt;1,"Sí","No")</f>
        <v>No</v>
      </c>
      <c r="G58" s="3" t="str">
        <f>IF(OR(ISERROR(FIND("@",Hoja1!G58)),ISERROR(FIND(".",Hoja1!G58,FIND("@",Hoja1!G58)))),"Sí","No")</f>
        <v>No</v>
      </c>
      <c r="H58" s="3" t="str">
        <f>IF(LEN(Hoja1!F58)&lt;&gt;14,"Sí","No")</f>
        <v>No</v>
      </c>
      <c r="I58" s="3" t="str">
        <f>IF(Hoja1!C58&gt;Hoja1!H58,"Sí","No")</f>
        <v>No</v>
      </c>
      <c r="J58" s="3" t="str">
        <f>IF(SUMPRODUCT(--ISNUMBER(SEARCH({"0";"1";"2";"3";"4";"5";"6";"7";"8";"9"},Hoja1!D58)))=0,"Sí","No")</f>
        <v>No</v>
      </c>
      <c r="K58" s="3" t="str">
        <f t="shared" si="0"/>
        <v>No</v>
      </c>
    </row>
    <row r="59" spans="1:11" ht="15" customHeight="1" x14ac:dyDescent="0.3">
      <c r="A59" s="3" t="str">
        <f>Hoja1!A59</f>
        <v>C0058</v>
      </c>
      <c r="B59" s="3" t="str">
        <f>Hoja1!B59</f>
        <v>Rosalinda Jaume Romero</v>
      </c>
      <c r="C59" s="3" t="str">
        <f>IF(COUNTA(Hoja1!A59:I59)=0,"Sí","No")</f>
        <v>No</v>
      </c>
      <c r="D59" s="3" t="str">
        <f>IF(COUNTBLANK(Hoja1!A59:I59)&gt;0,"Sí","No")</f>
        <v>No</v>
      </c>
      <c r="E59" s="3" t="str">
        <f>IF(COUNTIF(Hoja1!$A$2:$A$1000,Hoja1!A59)&gt;1,"Sí","No")</f>
        <v>No</v>
      </c>
      <c r="F59" s="3" t="str">
        <f>IF(COUNTIF(Hoja1!$G$2:$G$1000,Hoja1!G59)&gt;1,"Sí","No")</f>
        <v>No</v>
      </c>
      <c r="G59" s="3" t="str">
        <f>IF(OR(ISERROR(FIND("@",Hoja1!G59)),ISERROR(FIND(".",Hoja1!G59,FIND("@",Hoja1!G59)))),"Sí","No")</f>
        <v>No</v>
      </c>
      <c r="H59" s="3" t="str">
        <f>IF(LEN(Hoja1!F59)&lt;&gt;14,"Sí","No")</f>
        <v>No</v>
      </c>
      <c r="I59" s="3" t="str">
        <f>IF(Hoja1!C59&gt;Hoja1!H59,"Sí","No")</f>
        <v>No</v>
      </c>
      <c r="J59" s="3" t="str">
        <f>IF(SUMPRODUCT(--ISNUMBER(SEARCH({"0";"1";"2";"3";"4";"5";"6";"7";"8";"9"},Hoja1!D59)))=0,"Sí","No")</f>
        <v>Sí</v>
      </c>
      <c r="K59" s="3" t="str">
        <f t="shared" si="0"/>
        <v>Sí</v>
      </c>
    </row>
    <row r="60" spans="1:11" ht="15" customHeight="1" x14ac:dyDescent="0.3">
      <c r="A60" s="3" t="str">
        <f>Hoja1!A60</f>
        <v>C0059</v>
      </c>
      <c r="B60" s="3" t="str">
        <f>Hoja1!B60</f>
        <v>Abigaíl Enríquez Carreras</v>
      </c>
      <c r="C60" s="3" t="str">
        <f>IF(COUNTA(Hoja1!A60:I60)=0,"Sí","No")</f>
        <v>No</v>
      </c>
      <c r="D60" s="3" t="str">
        <f>IF(COUNTBLANK(Hoja1!A60:I60)&gt;0,"Sí","No")</f>
        <v>No</v>
      </c>
      <c r="E60" s="3" t="str">
        <f>IF(COUNTIF(Hoja1!$A$2:$A$1000,Hoja1!A60)&gt;1,"Sí","No")</f>
        <v>No</v>
      </c>
      <c r="F60" s="3" t="str">
        <f>IF(COUNTIF(Hoja1!$G$2:$G$1000,Hoja1!G60)&gt;1,"Sí","No")</f>
        <v>Sí</v>
      </c>
      <c r="G60" s="3" t="str">
        <f>IF(OR(ISERROR(FIND("@",Hoja1!G60)),ISERROR(FIND(".",Hoja1!G60,FIND("@",Hoja1!G60)))),"Sí","No")</f>
        <v>No</v>
      </c>
      <c r="H60" s="3" t="str">
        <f>IF(LEN(Hoja1!F60)&lt;&gt;14,"Sí","No")</f>
        <v>No</v>
      </c>
      <c r="I60" s="3" t="str">
        <f>IF(Hoja1!C60&gt;Hoja1!H60,"Sí","No")</f>
        <v>No</v>
      </c>
      <c r="J60" s="3" t="str">
        <f>IF(SUMPRODUCT(--ISNUMBER(SEARCH({"0";"1";"2";"3";"4";"5";"6";"7";"8";"9"},Hoja1!D60)))=0,"Sí","No")</f>
        <v>No</v>
      </c>
      <c r="K60" s="3" t="str">
        <f t="shared" si="0"/>
        <v>Sí</v>
      </c>
    </row>
    <row r="61" spans="1:11" ht="15" customHeight="1" x14ac:dyDescent="0.3">
      <c r="A61" s="3" t="str">
        <f>Hoja1!A61</f>
        <v>C0060</v>
      </c>
      <c r="B61" s="3" t="str">
        <f>Hoja1!B61</f>
        <v>África Morcillo</v>
      </c>
      <c r="C61" s="3" t="str">
        <f>IF(COUNTA(Hoja1!A61:I61)=0,"Sí","No")</f>
        <v>No</v>
      </c>
      <c r="D61" s="3" t="str">
        <f>IF(COUNTBLANK(Hoja1!A61:I61)&gt;0,"Sí","No")</f>
        <v>No</v>
      </c>
      <c r="E61" s="3" t="str">
        <f>IF(COUNTIF(Hoja1!$A$2:$A$1000,Hoja1!A61)&gt;1,"Sí","No")</f>
        <v>No</v>
      </c>
      <c r="F61" s="3" t="str">
        <f>IF(COUNTIF(Hoja1!$G$2:$G$1000,Hoja1!G61)&gt;1,"Sí","No")</f>
        <v>No</v>
      </c>
      <c r="G61" s="3" t="str">
        <f>IF(OR(ISERROR(FIND("@",Hoja1!G61)),ISERROR(FIND(".",Hoja1!G61,FIND("@",Hoja1!G61)))),"Sí","No")</f>
        <v>No</v>
      </c>
      <c r="H61" s="3" t="str">
        <f>IF(LEN(Hoja1!F61)&lt;&gt;14,"Sí","No")</f>
        <v>No</v>
      </c>
      <c r="I61" s="3" t="str">
        <f>IF(Hoja1!C61&gt;Hoja1!H61,"Sí","No")</f>
        <v>No</v>
      </c>
      <c r="J61" s="3" t="str">
        <f>IF(SUMPRODUCT(--ISNUMBER(SEARCH({"0";"1";"2";"3";"4";"5";"6";"7";"8";"9"},Hoja1!D61)))=0,"Sí","No")</f>
        <v>No</v>
      </c>
      <c r="K61" s="3" t="str">
        <f t="shared" si="0"/>
        <v>No</v>
      </c>
    </row>
    <row r="62" spans="1:11" ht="15" customHeight="1" x14ac:dyDescent="0.3">
      <c r="A62" s="3" t="str">
        <f>Hoja1!A62</f>
        <v>C0061</v>
      </c>
      <c r="B62" s="3" t="str">
        <f>Hoja1!B62</f>
        <v>Gilberto Cárdenas-Esparza</v>
      </c>
      <c r="C62" s="3" t="str">
        <f>IF(COUNTA(Hoja1!A62:I62)=0,"Sí","No")</f>
        <v>No</v>
      </c>
      <c r="D62" s="3" t="str">
        <f>IF(COUNTBLANK(Hoja1!A62:I62)&gt;0,"Sí","No")</f>
        <v>No</v>
      </c>
      <c r="E62" s="3" t="str">
        <f>IF(COUNTIF(Hoja1!$A$2:$A$1000,Hoja1!A62)&gt;1,"Sí","No")</f>
        <v>No</v>
      </c>
      <c r="F62" s="3" t="str">
        <f>IF(COUNTIF(Hoja1!$G$2:$G$1000,Hoja1!G62)&gt;1,"Sí","No")</f>
        <v>Sí</v>
      </c>
      <c r="G62" s="3" t="str">
        <f>IF(OR(ISERROR(FIND("@",Hoja1!G62)),ISERROR(FIND(".",Hoja1!G62,FIND("@",Hoja1!G62)))),"Sí","No")</f>
        <v>No</v>
      </c>
      <c r="H62" s="3" t="str">
        <f>IF(LEN(Hoja1!F62)&lt;&gt;14,"Sí","No")</f>
        <v>No</v>
      </c>
      <c r="I62" s="3" t="str">
        <f>IF(Hoja1!C62&gt;Hoja1!H62,"Sí","No")</f>
        <v>No</v>
      </c>
      <c r="J62" s="3" t="str">
        <f>IF(SUMPRODUCT(--ISNUMBER(SEARCH({"0";"1";"2";"3";"4";"5";"6";"7";"8";"9"},Hoja1!D62)))=0,"Sí","No")</f>
        <v>Sí</v>
      </c>
      <c r="K62" s="3" t="str">
        <f t="shared" si="0"/>
        <v>Sí</v>
      </c>
    </row>
    <row r="63" spans="1:11" ht="15" customHeight="1" x14ac:dyDescent="0.3">
      <c r="A63" s="3" t="str">
        <f>Hoja1!A63</f>
        <v>C0062</v>
      </c>
      <c r="B63" s="3" t="str">
        <f>Hoja1!B63</f>
        <v>Marisela Posada Jover</v>
      </c>
      <c r="C63" s="3" t="str">
        <f>IF(COUNTA(Hoja1!A63:I63)=0,"Sí","No")</f>
        <v>No</v>
      </c>
      <c r="D63" s="3" t="str">
        <f>IF(COUNTBLANK(Hoja1!A63:I63)&gt;0,"Sí","No")</f>
        <v>No</v>
      </c>
      <c r="E63" s="3" t="str">
        <f>IF(COUNTIF(Hoja1!$A$2:$A$1000,Hoja1!A63)&gt;1,"Sí","No")</f>
        <v>No</v>
      </c>
      <c r="F63" s="3" t="str">
        <f>IF(COUNTIF(Hoja1!$G$2:$G$1000,Hoja1!G63)&gt;1,"Sí","No")</f>
        <v>No</v>
      </c>
      <c r="G63" s="3" t="str">
        <f>IF(OR(ISERROR(FIND("@",Hoja1!G63)),ISERROR(FIND(".",Hoja1!G63,FIND("@",Hoja1!G63)))),"Sí","No")</f>
        <v>No</v>
      </c>
      <c r="H63" s="3" t="str">
        <f>IF(LEN(Hoja1!F63)&lt;&gt;14,"Sí","No")</f>
        <v>No</v>
      </c>
      <c r="I63" s="3" t="str">
        <f>IF(Hoja1!C63&gt;Hoja1!H63,"Sí","No")</f>
        <v>No</v>
      </c>
      <c r="J63" s="3" t="str">
        <f>IF(SUMPRODUCT(--ISNUMBER(SEARCH({"0";"1";"2";"3";"4";"5";"6";"7";"8";"9"},Hoja1!D63)))=0,"Sí","No")</f>
        <v>No</v>
      </c>
      <c r="K63" s="3" t="str">
        <f t="shared" si="0"/>
        <v>No</v>
      </c>
    </row>
    <row r="64" spans="1:11" ht="15" customHeight="1" x14ac:dyDescent="0.3">
      <c r="A64" s="3" t="str">
        <f>Hoja1!A64</f>
        <v>C0063</v>
      </c>
      <c r="B64" s="3" t="str">
        <f>Hoja1!B64</f>
        <v>Begoña Claudia Coello Zabaleta</v>
      </c>
      <c r="C64" s="3" t="str">
        <f>IF(COUNTA(Hoja1!A64:I64)=0,"Sí","No")</f>
        <v>No</v>
      </c>
      <c r="D64" s="3" t="str">
        <f>IF(COUNTBLANK(Hoja1!A64:I64)&gt;0,"Sí","No")</f>
        <v>No</v>
      </c>
      <c r="E64" s="3" t="str">
        <f>IF(COUNTIF(Hoja1!$A$2:$A$1000,Hoja1!A64)&gt;1,"Sí","No")</f>
        <v>No</v>
      </c>
      <c r="F64" s="3" t="str">
        <f>IF(COUNTIF(Hoja1!$G$2:$G$1000,Hoja1!G64)&gt;1,"Sí","No")</f>
        <v>No</v>
      </c>
      <c r="G64" s="3" t="str">
        <f>IF(OR(ISERROR(FIND("@",Hoja1!G64)),ISERROR(FIND(".",Hoja1!G64,FIND("@",Hoja1!G64)))),"Sí","No")</f>
        <v>No</v>
      </c>
      <c r="H64" s="3" t="str">
        <f>IF(LEN(Hoja1!F64)&lt;&gt;14,"Sí","No")</f>
        <v>No</v>
      </c>
      <c r="I64" s="3" t="str">
        <f>IF(Hoja1!C64&gt;Hoja1!H64,"Sí","No")</f>
        <v>No</v>
      </c>
      <c r="J64" s="3" t="str">
        <f>IF(SUMPRODUCT(--ISNUMBER(SEARCH({"0";"1";"2";"3";"4";"5";"6";"7";"8";"9"},Hoja1!D64)))=0,"Sí","No")</f>
        <v>No</v>
      </c>
      <c r="K64" s="3" t="str">
        <f t="shared" si="0"/>
        <v>No</v>
      </c>
    </row>
    <row r="65" spans="1:11" ht="15" customHeight="1" x14ac:dyDescent="0.3">
      <c r="A65" s="3" t="str">
        <f>Hoja1!A65</f>
        <v>C0064</v>
      </c>
      <c r="B65" s="3" t="str">
        <f>Hoja1!B65</f>
        <v>Marcos Arregui Sainz</v>
      </c>
      <c r="C65" s="3" t="str">
        <f>IF(COUNTA(Hoja1!A65:I65)=0,"Sí","No")</f>
        <v>No</v>
      </c>
      <c r="D65" s="3" t="str">
        <f>IF(COUNTBLANK(Hoja1!A65:I65)&gt;0,"Sí","No")</f>
        <v>No</v>
      </c>
      <c r="E65" s="3" t="str">
        <f>IF(COUNTIF(Hoja1!$A$2:$A$1000,Hoja1!A65)&gt;1,"Sí","No")</f>
        <v>No</v>
      </c>
      <c r="F65" s="3" t="str">
        <f>IF(COUNTIF(Hoja1!$G$2:$G$1000,Hoja1!G65)&gt;1,"Sí","No")</f>
        <v>No</v>
      </c>
      <c r="G65" s="3" t="str">
        <f>IF(OR(ISERROR(FIND("@",Hoja1!G65)),ISERROR(FIND(".",Hoja1!G65,FIND("@",Hoja1!G65)))),"Sí","No")</f>
        <v>No</v>
      </c>
      <c r="H65" s="3" t="str">
        <f>IF(LEN(Hoja1!F65)&lt;&gt;14,"Sí","No")</f>
        <v>No</v>
      </c>
      <c r="I65" s="3" t="str">
        <f>IF(Hoja1!C65&gt;Hoja1!H65,"Sí","No")</f>
        <v>No</v>
      </c>
      <c r="J65" s="3" t="str">
        <f>IF(SUMPRODUCT(--ISNUMBER(SEARCH({"0";"1";"2";"3";"4";"5";"6";"7";"8";"9"},Hoja1!D65)))=0,"Sí","No")</f>
        <v>Sí</v>
      </c>
      <c r="K65" s="3" t="str">
        <f t="shared" si="0"/>
        <v>Sí</v>
      </c>
    </row>
    <row r="66" spans="1:11" ht="15" customHeight="1" x14ac:dyDescent="0.3">
      <c r="A66" s="3" t="str">
        <f>Hoja1!A66</f>
        <v>C0065</v>
      </c>
      <c r="B66" s="3" t="str">
        <f>Hoja1!B66</f>
        <v>Venceslás Sastre Peñalver</v>
      </c>
      <c r="C66" s="3" t="str">
        <f>IF(COUNTA(Hoja1!A66:I66)=0,"Sí","No")</f>
        <v>No</v>
      </c>
      <c r="D66" s="3" t="str">
        <f>IF(COUNTBLANK(Hoja1!A66:I66)&gt;0,"Sí","No")</f>
        <v>No</v>
      </c>
      <c r="E66" s="3" t="str">
        <f>IF(COUNTIF(Hoja1!$A$2:$A$1000,Hoja1!A66)&gt;1,"Sí","No")</f>
        <v>No</v>
      </c>
      <c r="F66" s="3" t="str">
        <f>IF(COUNTIF(Hoja1!$G$2:$G$1000,Hoja1!G66)&gt;1,"Sí","No")</f>
        <v>Sí</v>
      </c>
      <c r="G66" s="3" t="str">
        <f>IF(OR(ISERROR(FIND("@",Hoja1!G66)),ISERROR(FIND(".",Hoja1!G66,FIND("@",Hoja1!G66)))),"Sí","No")</f>
        <v>No</v>
      </c>
      <c r="H66" s="3" t="str">
        <f>IF(LEN(Hoja1!F66)&lt;&gt;14,"Sí","No")</f>
        <v>No</v>
      </c>
      <c r="I66" s="3" t="str">
        <f>IF(Hoja1!C66&gt;Hoja1!H66,"Sí","No")</f>
        <v>No</v>
      </c>
      <c r="J66" s="3" t="str">
        <f>IF(SUMPRODUCT(--ISNUMBER(SEARCH({"0";"1";"2";"3";"4";"5";"6";"7";"8";"9"},Hoja1!D66)))=0,"Sí","No")</f>
        <v>No</v>
      </c>
      <c r="K66" s="3" t="str">
        <f t="shared" ref="K66:K129" si="1">IF(COUNTIF(C66:J66,"Sí")&gt;0,"Sí","No")</f>
        <v>Sí</v>
      </c>
    </row>
    <row r="67" spans="1:11" ht="15" customHeight="1" x14ac:dyDescent="0.3">
      <c r="A67" s="3" t="str">
        <f>Hoja1!A67</f>
        <v>C0066</v>
      </c>
      <c r="B67" s="3" t="str">
        <f>Hoja1!B67</f>
        <v>Febe Amaya</v>
      </c>
      <c r="C67" s="3" t="str">
        <f>IF(COUNTA(Hoja1!A67:I67)=0,"Sí","No")</f>
        <v>No</v>
      </c>
      <c r="D67" s="3" t="str">
        <f>IF(COUNTBLANK(Hoja1!A67:I67)&gt;0,"Sí","No")</f>
        <v>No</v>
      </c>
      <c r="E67" s="3" t="str">
        <f>IF(COUNTIF(Hoja1!$A$2:$A$1000,Hoja1!A67)&gt;1,"Sí","No")</f>
        <v>No</v>
      </c>
      <c r="F67" s="3" t="str">
        <f>IF(COUNTIF(Hoja1!$G$2:$G$1000,Hoja1!G67)&gt;1,"Sí","No")</f>
        <v>No</v>
      </c>
      <c r="G67" s="3" t="str">
        <f>IF(OR(ISERROR(FIND("@",Hoja1!G67)),ISERROR(FIND(".",Hoja1!G67,FIND("@",Hoja1!G67)))),"Sí","No")</f>
        <v>No</v>
      </c>
      <c r="H67" s="3" t="str">
        <f>IF(LEN(Hoja1!F67)&lt;&gt;14,"Sí","No")</f>
        <v>No</v>
      </c>
      <c r="I67" s="3" t="str">
        <f>IF(Hoja1!C67&gt;Hoja1!H67,"Sí","No")</f>
        <v>No</v>
      </c>
      <c r="J67" s="3" t="str">
        <f>IF(SUMPRODUCT(--ISNUMBER(SEARCH({"0";"1";"2";"3";"4";"5";"6";"7";"8";"9"},Hoja1!D67)))=0,"Sí","No")</f>
        <v>No</v>
      </c>
      <c r="K67" s="3" t="str">
        <f t="shared" si="1"/>
        <v>No</v>
      </c>
    </row>
    <row r="68" spans="1:11" ht="15" customHeight="1" x14ac:dyDescent="0.3">
      <c r="A68" s="3" t="str">
        <f>Hoja1!A68</f>
        <v>C0067</v>
      </c>
      <c r="B68" s="3" t="str">
        <f>Hoja1!B68</f>
        <v>Quirino Granados Verdugo</v>
      </c>
      <c r="C68" s="3" t="str">
        <f>IF(COUNTA(Hoja1!A68:I68)=0,"Sí","No")</f>
        <v>No</v>
      </c>
      <c r="D68" s="3" t="str">
        <f>IF(COUNTBLANK(Hoja1!A68:I68)&gt;0,"Sí","No")</f>
        <v>No</v>
      </c>
      <c r="E68" s="3" t="str">
        <f>IF(COUNTIF(Hoja1!$A$2:$A$1000,Hoja1!A68)&gt;1,"Sí","No")</f>
        <v>No</v>
      </c>
      <c r="F68" s="3" t="str">
        <f>IF(COUNTIF(Hoja1!$G$2:$G$1000,Hoja1!G68)&gt;1,"Sí","No")</f>
        <v>No</v>
      </c>
      <c r="G68" s="3" t="str">
        <f>IF(OR(ISERROR(FIND("@",Hoja1!G68)),ISERROR(FIND(".",Hoja1!G68,FIND("@",Hoja1!G68)))),"Sí","No")</f>
        <v>No</v>
      </c>
      <c r="H68" s="3" t="str">
        <f>IF(LEN(Hoja1!F68)&lt;&gt;14,"Sí","No")</f>
        <v>No</v>
      </c>
      <c r="I68" s="3" t="str">
        <f>IF(Hoja1!C68&gt;Hoja1!H68,"Sí","No")</f>
        <v>No</v>
      </c>
      <c r="J68" s="3" t="str">
        <f>IF(SUMPRODUCT(--ISNUMBER(SEARCH({"0";"1";"2";"3";"4";"5";"6";"7";"8";"9"},Hoja1!D68)))=0,"Sí","No")</f>
        <v>Sí</v>
      </c>
      <c r="K68" s="3" t="str">
        <f t="shared" si="1"/>
        <v>Sí</v>
      </c>
    </row>
    <row r="69" spans="1:11" ht="15" customHeight="1" x14ac:dyDescent="0.3">
      <c r="A69" s="3" t="str">
        <f>Hoja1!A69</f>
        <v>C0068</v>
      </c>
      <c r="B69" s="3" t="str">
        <f>Hoja1!B69</f>
        <v>Imelda de Perea</v>
      </c>
      <c r="C69" s="3" t="str">
        <f>IF(COUNTA(Hoja1!A69:I69)=0,"Sí","No")</f>
        <v>No</v>
      </c>
      <c r="D69" s="3" t="str">
        <f>IF(COUNTBLANK(Hoja1!A69:I69)&gt;0,"Sí","No")</f>
        <v>No</v>
      </c>
      <c r="E69" s="3" t="str">
        <f>IF(COUNTIF(Hoja1!$A$2:$A$1000,Hoja1!A69)&gt;1,"Sí","No")</f>
        <v>No</v>
      </c>
      <c r="F69" s="3" t="str">
        <f>IF(COUNTIF(Hoja1!$G$2:$G$1000,Hoja1!G69)&gt;1,"Sí","No")</f>
        <v>No</v>
      </c>
      <c r="G69" s="3" t="str">
        <f>IF(OR(ISERROR(FIND("@",Hoja1!G69)),ISERROR(FIND(".",Hoja1!G69,FIND("@",Hoja1!G69)))),"Sí","No")</f>
        <v>No</v>
      </c>
      <c r="H69" s="3" t="str">
        <f>IF(LEN(Hoja1!F69)&lt;&gt;14,"Sí","No")</f>
        <v>No</v>
      </c>
      <c r="I69" s="3" t="str">
        <f>IF(Hoja1!C69&gt;Hoja1!H69,"Sí","No")</f>
        <v>No</v>
      </c>
      <c r="J69" s="3" t="str">
        <f>IF(SUMPRODUCT(--ISNUMBER(SEARCH({"0";"1";"2";"3";"4";"5";"6";"7";"8";"9"},Hoja1!D69)))=0,"Sí","No")</f>
        <v>No</v>
      </c>
      <c r="K69" s="3" t="str">
        <f t="shared" si="1"/>
        <v>No</v>
      </c>
    </row>
    <row r="70" spans="1:11" ht="15" customHeight="1" x14ac:dyDescent="0.3">
      <c r="A70" s="3" t="str">
        <f>Hoja1!A70</f>
        <v>C0069</v>
      </c>
      <c r="B70" s="3" t="str">
        <f>Hoja1!B70</f>
        <v>Isidora de Crespi</v>
      </c>
      <c r="C70" s="3" t="str">
        <f>IF(COUNTA(Hoja1!A70:I70)=0,"Sí","No")</f>
        <v>No</v>
      </c>
      <c r="D70" s="3" t="str">
        <f>IF(COUNTBLANK(Hoja1!A70:I70)&gt;0,"Sí","No")</f>
        <v>No</v>
      </c>
      <c r="E70" s="3" t="str">
        <f>IF(COUNTIF(Hoja1!$A$2:$A$1000,Hoja1!A70)&gt;1,"Sí","No")</f>
        <v>No</v>
      </c>
      <c r="F70" s="3" t="str">
        <f>IF(COUNTIF(Hoja1!$G$2:$G$1000,Hoja1!G70)&gt;1,"Sí","No")</f>
        <v>Sí</v>
      </c>
      <c r="G70" s="3" t="str">
        <f>IF(OR(ISERROR(FIND("@",Hoja1!G70)),ISERROR(FIND(".",Hoja1!G70,FIND("@",Hoja1!G70)))),"Sí","No")</f>
        <v>No</v>
      </c>
      <c r="H70" s="3" t="str">
        <f>IF(LEN(Hoja1!F70)&lt;&gt;14,"Sí","No")</f>
        <v>No</v>
      </c>
      <c r="I70" s="3" t="str">
        <f>IF(Hoja1!C70&gt;Hoja1!H70,"Sí","No")</f>
        <v>No</v>
      </c>
      <c r="J70" s="3" t="str">
        <f>IF(SUMPRODUCT(--ISNUMBER(SEARCH({"0";"1";"2";"3";"4";"5";"6";"7";"8";"9"},Hoja1!D70)))=0,"Sí","No")</f>
        <v>No</v>
      </c>
      <c r="K70" s="3" t="str">
        <f t="shared" si="1"/>
        <v>Sí</v>
      </c>
    </row>
    <row r="71" spans="1:11" ht="15" customHeight="1" x14ac:dyDescent="0.3">
      <c r="A71" s="3" t="str">
        <f>Hoja1!A71</f>
        <v>C0070</v>
      </c>
      <c r="B71" s="3" t="str">
        <f>Hoja1!B71</f>
        <v>Balduino Martin Águila</v>
      </c>
      <c r="C71" s="3" t="str">
        <f>IF(COUNTA(Hoja1!A71:I71)=0,"Sí","No")</f>
        <v>No</v>
      </c>
      <c r="D71" s="3" t="str">
        <f>IF(COUNTBLANK(Hoja1!A71:I71)&gt;0,"Sí","No")</f>
        <v>No</v>
      </c>
      <c r="E71" s="3" t="str">
        <f>IF(COUNTIF(Hoja1!$A$2:$A$1000,Hoja1!A71)&gt;1,"Sí","No")</f>
        <v>No</v>
      </c>
      <c r="F71" s="3" t="str">
        <f>IF(COUNTIF(Hoja1!$G$2:$G$1000,Hoja1!G71)&gt;1,"Sí","No")</f>
        <v>No</v>
      </c>
      <c r="G71" s="3" t="str">
        <f>IF(OR(ISERROR(FIND("@",Hoja1!G71)),ISERROR(FIND(".",Hoja1!G71,FIND("@",Hoja1!G71)))),"Sí","No")</f>
        <v>No</v>
      </c>
      <c r="H71" s="3" t="str">
        <f>IF(LEN(Hoja1!F71)&lt;&gt;14,"Sí","No")</f>
        <v>No</v>
      </c>
      <c r="I71" s="3" t="str">
        <f>IF(Hoja1!C71&gt;Hoja1!H71,"Sí","No")</f>
        <v>No</v>
      </c>
      <c r="J71" s="3" t="str">
        <f>IF(SUMPRODUCT(--ISNUMBER(SEARCH({"0";"1";"2";"3";"4";"5";"6";"7";"8";"9"},Hoja1!D71)))=0,"Sí","No")</f>
        <v>Sí</v>
      </c>
      <c r="K71" s="3" t="str">
        <f t="shared" si="1"/>
        <v>Sí</v>
      </c>
    </row>
    <row r="72" spans="1:11" ht="15" customHeight="1" x14ac:dyDescent="0.3">
      <c r="A72" s="3" t="str">
        <f>Hoja1!A72</f>
        <v>C0071</v>
      </c>
      <c r="B72" s="3" t="str">
        <f>Hoja1!B72</f>
        <v>Casandra Ramírez Canet</v>
      </c>
      <c r="C72" s="3" t="str">
        <f>IF(COUNTA(Hoja1!A72:I72)=0,"Sí","No")</f>
        <v>No</v>
      </c>
      <c r="D72" s="3" t="str">
        <f>IF(COUNTBLANK(Hoja1!A72:I72)&gt;0,"Sí","No")</f>
        <v>No</v>
      </c>
      <c r="E72" s="3" t="str">
        <f>IF(COUNTIF(Hoja1!$A$2:$A$1000,Hoja1!A72)&gt;1,"Sí","No")</f>
        <v>No</v>
      </c>
      <c r="F72" s="3" t="str">
        <f>IF(COUNTIF(Hoja1!$G$2:$G$1000,Hoja1!G72)&gt;1,"Sí","No")</f>
        <v>No</v>
      </c>
      <c r="G72" s="3" t="str">
        <f>IF(OR(ISERROR(FIND("@",Hoja1!G72)),ISERROR(FIND(".",Hoja1!G72,FIND("@",Hoja1!G72)))),"Sí","No")</f>
        <v>No</v>
      </c>
      <c r="H72" s="3" t="str">
        <f>IF(LEN(Hoja1!F72)&lt;&gt;14,"Sí","No")</f>
        <v>No</v>
      </c>
      <c r="I72" s="3" t="str">
        <f>IF(Hoja1!C72&gt;Hoja1!H72,"Sí","No")</f>
        <v>No</v>
      </c>
      <c r="J72" s="3" t="str">
        <f>IF(SUMPRODUCT(--ISNUMBER(SEARCH({"0";"1";"2";"3";"4";"5";"6";"7";"8";"9"},Hoja1!D72)))=0,"Sí","No")</f>
        <v>No</v>
      </c>
      <c r="K72" s="3" t="str">
        <f t="shared" si="1"/>
        <v>No</v>
      </c>
    </row>
    <row r="73" spans="1:11" ht="15" customHeight="1" x14ac:dyDescent="0.3">
      <c r="A73" s="3" t="str">
        <f>Hoja1!A73</f>
        <v>C0072</v>
      </c>
      <c r="B73" s="3" t="str">
        <f>Hoja1!B73</f>
        <v>Eustaquio Vigil Gil</v>
      </c>
      <c r="C73" s="3" t="str">
        <f>IF(COUNTA(Hoja1!A73:I73)=0,"Sí","No")</f>
        <v>No</v>
      </c>
      <c r="D73" s="3" t="str">
        <f>IF(COUNTBLANK(Hoja1!A73:I73)&gt;0,"Sí","No")</f>
        <v>No</v>
      </c>
      <c r="E73" s="3" t="str">
        <f>IF(COUNTIF(Hoja1!$A$2:$A$1000,Hoja1!A73)&gt;1,"Sí","No")</f>
        <v>No</v>
      </c>
      <c r="F73" s="3" t="str">
        <f>IF(COUNTIF(Hoja1!$G$2:$G$1000,Hoja1!G73)&gt;1,"Sí","No")</f>
        <v>No</v>
      </c>
      <c r="G73" s="3" t="str">
        <f>IF(OR(ISERROR(FIND("@",Hoja1!G73)),ISERROR(FIND(".",Hoja1!G73,FIND("@",Hoja1!G73)))),"Sí","No")</f>
        <v>No</v>
      </c>
      <c r="H73" s="3" t="str">
        <f>IF(LEN(Hoja1!F73)&lt;&gt;14,"Sí","No")</f>
        <v>No</v>
      </c>
      <c r="I73" s="3" t="str">
        <f>IF(Hoja1!C73&gt;Hoja1!H73,"Sí","No")</f>
        <v>No</v>
      </c>
      <c r="J73" s="3" t="str">
        <f>IF(SUMPRODUCT(--ISNUMBER(SEARCH({"0";"1";"2";"3";"4";"5";"6";"7";"8";"9"},Hoja1!D73)))=0,"Sí","No")</f>
        <v>No</v>
      </c>
      <c r="K73" s="3" t="str">
        <f t="shared" si="1"/>
        <v>No</v>
      </c>
    </row>
    <row r="74" spans="1:11" ht="15" customHeight="1" x14ac:dyDescent="0.3">
      <c r="A74" s="3" t="str">
        <f>Hoja1!A74</f>
        <v>C0073</v>
      </c>
      <c r="B74" s="3" t="str">
        <f>Hoja1!B74</f>
        <v>Elvira del Espinosa</v>
      </c>
      <c r="C74" s="3" t="str">
        <f>IF(COUNTA(Hoja1!A74:I74)=0,"Sí","No")</f>
        <v>No</v>
      </c>
      <c r="D74" s="3" t="str">
        <f>IF(COUNTBLANK(Hoja1!A74:I74)&gt;0,"Sí","No")</f>
        <v>No</v>
      </c>
      <c r="E74" s="3" t="str">
        <f>IF(COUNTIF(Hoja1!$A$2:$A$1000,Hoja1!A74)&gt;1,"Sí","No")</f>
        <v>No</v>
      </c>
      <c r="F74" s="3" t="str">
        <f>IF(COUNTIF(Hoja1!$G$2:$G$1000,Hoja1!G74)&gt;1,"Sí","No")</f>
        <v>No</v>
      </c>
      <c r="G74" s="3" t="str">
        <f>IF(OR(ISERROR(FIND("@",Hoja1!G74)),ISERROR(FIND(".",Hoja1!G74,FIND("@",Hoja1!G74)))),"Sí","No")</f>
        <v>No</v>
      </c>
      <c r="H74" s="3" t="str">
        <f>IF(LEN(Hoja1!F74)&lt;&gt;14,"Sí","No")</f>
        <v>No</v>
      </c>
      <c r="I74" s="3" t="str">
        <f>IF(Hoja1!C74&gt;Hoja1!H74,"Sí","No")</f>
        <v>No</v>
      </c>
      <c r="J74" s="3" t="str">
        <f>IF(SUMPRODUCT(--ISNUMBER(SEARCH({"0";"1";"2";"3";"4";"5";"6";"7";"8";"9"},Hoja1!D74)))=0,"Sí","No")</f>
        <v>Sí</v>
      </c>
      <c r="K74" s="3" t="str">
        <f t="shared" si="1"/>
        <v>Sí</v>
      </c>
    </row>
    <row r="75" spans="1:11" ht="15" customHeight="1" x14ac:dyDescent="0.3">
      <c r="A75" s="3" t="str">
        <f>Hoja1!A75</f>
        <v>C0074</v>
      </c>
      <c r="B75" s="3" t="str">
        <f>Hoja1!B75</f>
        <v>Pía Huertas Manzanares</v>
      </c>
      <c r="C75" s="3" t="str">
        <f>IF(COUNTA(Hoja1!A75:I75)=0,"Sí","No")</f>
        <v>No</v>
      </c>
      <c r="D75" s="3" t="str">
        <f>IF(COUNTBLANK(Hoja1!A75:I75)&gt;0,"Sí","No")</f>
        <v>No</v>
      </c>
      <c r="E75" s="3" t="str">
        <f>IF(COUNTIF(Hoja1!$A$2:$A$1000,Hoja1!A75)&gt;1,"Sí","No")</f>
        <v>No</v>
      </c>
      <c r="F75" s="3" t="str">
        <f>IF(COUNTIF(Hoja1!$G$2:$G$1000,Hoja1!G75)&gt;1,"Sí","No")</f>
        <v>No</v>
      </c>
      <c r="G75" s="3" t="str">
        <f>IF(OR(ISERROR(FIND("@",Hoja1!G75)),ISERROR(FIND(".",Hoja1!G75,FIND("@",Hoja1!G75)))),"Sí","No")</f>
        <v>No</v>
      </c>
      <c r="H75" s="3" t="str">
        <f>IF(LEN(Hoja1!F75)&lt;&gt;14,"Sí","No")</f>
        <v>No</v>
      </c>
      <c r="I75" s="3" t="str">
        <f>IF(Hoja1!C75&gt;Hoja1!H75,"Sí","No")</f>
        <v>No</v>
      </c>
      <c r="J75" s="3" t="str">
        <f>IF(SUMPRODUCT(--ISNUMBER(SEARCH({"0";"1";"2";"3";"4";"5";"6";"7";"8";"9"},Hoja1!D75)))=0,"Sí","No")</f>
        <v>No</v>
      </c>
      <c r="K75" s="3" t="str">
        <f t="shared" si="1"/>
        <v>No</v>
      </c>
    </row>
    <row r="76" spans="1:11" ht="15" customHeight="1" x14ac:dyDescent="0.3">
      <c r="A76" s="3" t="str">
        <f>Hoja1!A76</f>
        <v>C0075</v>
      </c>
      <c r="B76" s="3" t="str">
        <f>Hoja1!B76</f>
        <v>Alberto Salas Báez</v>
      </c>
      <c r="C76" s="3" t="str">
        <f>IF(COUNTA(Hoja1!A76:I76)=0,"Sí","No")</f>
        <v>No</v>
      </c>
      <c r="D76" s="3" t="str">
        <f>IF(COUNTBLANK(Hoja1!A76:I76)&gt;0,"Sí","No")</f>
        <v>No</v>
      </c>
      <c r="E76" s="3" t="str">
        <f>IF(COUNTIF(Hoja1!$A$2:$A$1000,Hoja1!A76)&gt;1,"Sí","No")</f>
        <v>No</v>
      </c>
      <c r="F76" s="3" t="str">
        <f>IF(COUNTIF(Hoja1!$G$2:$G$1000,Hoja1!G76)&gt;1,"Sí","No")</f>
        <v>No</v>
      </c>
      <c r="G76" s="3" t="str">
        <f>IF(OR(ISERROR(FIND("@",Hoja1!G76)),ISERROR(FIND(".",Hoja1!G76,FIND("@",Hoja1!G76)))),"Sí","No")</f>
        <v>No</v>
      </c>
      <c r="H76" s="3" t="str">
        <f>IF(LEN(Hoja1!F76)&lt;&gt;14,"Sí","No")</f>
        <v>No</v>
      </c>
      <c r="I76" s="3" t="str">
        <f>IF(Hoja1!C76&gt;Hoja1!H76,"Sí","No")</f>
        <v>No</v>
      </c>
      <c r="J76" s="3" t="str">
        <f>IF(SUMPRODUCT(--ISNUMBER(SEARCH({"0";"1";"2";"3";"4";"5";"6";"7";"8";"9"},Hoja1!D76)))=0,"Sí","No")</f>
        <v>No</v>
      </c>
      <c r="K76" s="3" t="str">
        <f t="shared" si="1"/>
        <v>No</v>
      </c>
    </row>
    <row r="77" spans="1:11" ht="15" customHeight="1" x14ac:dyDescent="0.3">
      <c r="A77" s="3" t="str">
        <f>Hoja1!A77</f>
        <v>C0076</v>
      </c>
      <c r="B77" s="3" t="str">
        <f>Hoja1!B77</f>
        <v>Sol Rosales Calvo</v>
      </c>
      <c r="C77" s="3" t="str">
        <f>IF(COUNTA(Hoja1!A77:I77)=0,"Sí","No")</f>
        <v>No</v>
      </c>
      <c r="D77" s="3" t="str">
        <f>IF(COUNTBLANK(Hoja1!A77:I77)&gt;0,"Sí","No")</f>
        <v>No</v>
      </c>
      <c r="E77" s="3" t="str">
        <f>IF(COUNTIF(Hoja1!$A$2:$A$1000,Hoja1!A77)&gt;1,"Sí","No")</f>
        <v>No</v>
      </c>
      <c r="F77" s="3" t="str">
        <f>IF(COUNTIF(Hoja1!$G$2:$G$1000,Hoja1!G77)&gt;1,"Sí","No")</f>
        <v>No</v>
      </c>
      <c r="G77" s="3" t="str">
        <f>IF(OR(ISERROR(FIND("@",Hoja1!G77)),ISERROR(FIND(".",Hoja1!G77,FIND("@",Hoja1!G77)))),"Sí","No")</f>
        <v>No</v>
      </c>
      <c r="H77" s="3" t="str">
        <f>IF(LEN(Hoja1!F77)&lt;&gt;14,"Sí","No")</f>
        <v>No</v>
      </c>
      <c r="I77" s="3" t="str">
        <f>IF(Hoja1!C77&gt;Hoja1!H77,"Sí","No")</f>
        <v>No</v>
      </c>
      <c r="J77" s="3" t="str">
        <f>IF(SUMPRODUCT(--ISNUMBER(SEARCH({"0";"1";"2";"3";"4";"5";"6";"7";"8";"9"},Hoja1!D77)))=0,"Sí","No")</f>
        <v>Sí</v>
      </c>
      <c r="K77" s="3" t="str">
        <f t="shared" si="1"/>
        <v>Sí</v>
      </c>
    </row>
    <row r="78" spans="1:11" ht="15" customHeight="1" x14ac:dyDescent="0.3">
      <c r="A78" s="3" t="str">
        <f>Hoja1!A78</f>
        <v>C0077</v>
      </c>
      <c r="B78" s="3" t="str">
        <f>Hoja1!B78</f>
        <v>Guiomar Folch Sanjuan</v>
      </c>
      <c r="C78" s="3" t="str">
        <f>IF(COUNTA(Hoja1!A78:I78)=0,"Sí","No")</f>
        <v>No</v>
      </c>
      <c r="D78" s="3" t="str">
        <f>IF(COUNTBLANK(Hoja1!A78:I78)&gt;0,"Sí","No")</f>
        <v>No</v>
      </c>
      <c r="E78" s="3" t="str">
        <f>IF(COUNTIF(Hoja1!$A$2:$A$1000,Hoja1!A78)&gt;1,"Sí","No")</f>
        <v>No</v>
      </c>
      <c r="F78" s="3" t="str">
        <f>IF(COUNTIF(Hoja1!$G$2:$G$1000,Hoja1!G78)&gt;1,"Sí","No")</f>
        <v>No</v>
      </c>
      <c r="G78" s="3" t="str">
        <f>IF(OR(ISERROR(FIND("@",Hoja1!G78)),ISERROR(FIND(".",Hoja1!G78,FIND("@",Hoja1!G78)))),"Sí","No")</f>
        <v>No</v>
      </c>
      <c r="H78" s="3" t="str">
        <f>IF(LEN(Hoja1!F78)&lt;&gt;14,"Sí","No")</f>
        <v>No</v>
      </c>
      <c r="I78" s="3" t="str">
        <f>IF(Hoja1!C78&gt;Hoja1!H78,"Sí","No")</f>
        <v>No</v>
      </c>
      <c r="J78" s="3" t="str">
        <f>IF(SUMPRODUCT(--ISNUMBER(SEARCH({"0";"1";"2";"3";"4";"5";"6";"7";"8";"9"},Hoja1!D78)))=0,"Sí","No")</f>
        <v>No</v>
      </c>
      <c r="K78" s="3" t="str">
        <f t="shared" si="1"/>
        <v>No</v>
      </c>
    </row>
    <row r="79" spans="1:11" ht="15" customHeight="1" x14ac:dyDescent="0.3">
      <c r="A79" s="3" t="str">
        <f>Hoja1!A79</f>
        <v>C0078</v>
      </c>
      <c r="B79" s="3" t="str">
        <f>Hoja1!B79</f>
        <v>Nidia Pardo-Nuñez</v>
      </c>
      <c r="C79" s="3" t="str">
        <f>IF(COUNTA(Hoja1!A79:I79)=0,"Sí","No")</f>
        <v>No</v>
      </c>
      <c r="D79" s="3" t="str">
        <f>IF(COUNTBLANK(Hoja1!A79:I79)&gt;0,"Sí","No")</f>
        <v>No</v>
      </c>
      <c r="E79" s="3" t="str">
        <f>IF(COUNTIF(Hoja1!$A$2:$A$1000,Hoja1!A79)&gt;1,"Sí","No")</f>
        <v>No</v>
      </c>
      <c r="F79" s="3" t="str">
        <f>IF(COUNTIF(Hoja1!$G$2:$G$1000,Hoja1!G79)&gt;1,"Sí","No")</f>
        <v>No</v>
      </c>
      <c r="G79" s="3" t="str">
        <f>IF(OR(ISERROR(FIND("@",Hoja1!G79)),ISERROR(FIND(".",Hoja1!G79,FIND("@",Hoja1!G79)))),"Sí","No")</f>
        <v>No</v>
      </c>
      <c r="H79" s="3" t="str">
        <f>IF(LEN(Hoja1!F79)&lt;&gt;14,"Sí","No")</f>
        <v>No</v>
      </c>
      <c r="I79" s="3" t="str">
        <f>IF(Hoja1!C79&gt;Hoja1!H79,"Sí","No")</f>
        <v>No</v>
      </c>
      <c r="J79" s="3" t="str">
        <f>IF(SUMPRODUCT(--ISNUMBER(SEARCH({"0";"1";"2";"3";"4";"5";"6";"7";"8";"9"},Hoja1!D79)))=0,"Sí","No")</f>
        <v>No</v>
      </c>
      <c r="K79" s="3" t="str">
        <f t="shared" si="1"/>
        <v>No</v>
      </c>
    </row>
    <row r="80" spans="1:11" ht="15" customHeight="1" x14ac:dyDescent="0.3">
      <c r="A80" s="3" t="str">
        <f>Hoja1!A80</f>
        <v>C0079</v>
      </c>
      <c r="B80" s="3" t="str">
        <f>Hoja1!B80</f>
        <v>Emperatriz Sabina Pastor Pedrero</v>
      </c>
      <c r="C80" s="3" t="str">
        <f>IF(COUNTA(Hoja1!A80:I80)=0,"Sí","No")</f>
        <v>No</v>
      </c>
      <c r="D80" s="3" t="str">
        <f>IF(COUNTBLANK(Hoja1!A80:I80)&gt;0,"Sí","No")</f>
        <v>No</v>
      </c>
      <c r="E80" s="3" t="str">
        <f>IF(COUNTIF(Hoja1!$A$2:$A$1000,Hoja1!A80)&gt;1,"Sí","No")</f>
        <v>No</v>
      </c>
      <c r="F80" s="3" t="str">
        <f>IF(COUNTIF(Hoja1!$G$2:$G$1000,Hoja1!G80)&gt;1,"Sí","No")</f>
        <v>No</v>
      </c>
      <c r="G80" s="3" t="str">
        <f>IF(OR(ISERROR(FIND("@",Hoja1!G80)),ISERROR(FIND(".",Hoja1!G80,FIND("@",Hoja1!G80)))),"Sí","No")</f>
        <v>No</v>
      </c>
      <c r="H80" s="3" t="str">
        <f>IF(LEN(Hoja1!F80)&lt;&gt;14,"Sí","No")</f>
        <v>No</v>
      </c>
      <c r="I80" s="3" t="str">
        <f>IF(Hoja1!C80&gt;Hoja1!H80,"Sí","No")</f>
        <v>No</v>
      </c>
      <c r="J80" s="3" t="str">
        <f>IF(SUMPRODUCT(--ISNUMBER(SEARCH({"0";"1";"2";"3";"4";"5";"6";"7";"8";"9"},Hoja1!D80)))=0,"Sí","No")</f>
        <v>Sí</v>
      </c>
      <c r="K80" s="3" t="str">
        <f t="shared" si="1"/>
        <v>Sí</v>
      </c>
    </row>
    <row r="81" spans="1:11" ht="15" customHeight="1" x14ac:dyDescent="0.3">
      <c r="A81" s="3" t="str">
        <f>Hoja1!A81</f>
        <v>C0080</v>
      </c>
      <c r="B81" s="3" t="str">
        <f>Hoja1!B81</f>
        <v>Ximena Jurado-Mata</v>
      </c>
      <c r="C81" s="3" t="str">
        <f>IF(COUNTA(Hoja1!A81:I81)=0,"Sí","No")</f>
        <v>No</v>
      </c>
      <c r="D81" s="3" t="str">
        <f>IF(COUNTBLANK(Hoja1!A81:I81)&gt;0,"Sí","No")</f>
        <v>No</v>
      </c>
      <c r="E81" s="3" t="str">
        <f>IF(COUNTIF(Hoja1!$A$2:$A$1000,Hoja1!A81)&gt;1,"Sí","No")</f>
        <v>No</v>
      </c>
      <c r="F81" s="3" t="str">
        <f>IF(COUNTIF(Hoja1!$G$2:$G$1000,Hoja1!G81)&gt;1,"Sí","No")</f>
        <v>No</v>
      </c>
      <c r="G81" s="3" t="str">
        <f>IF(OR(ISERROR(FIND("@",Hoja1!G81)),ISERROR(FIND(".",Hoja1!G81,FIND("@",Hoja1!G81)))),"Sí","No")</f>
        <v>No</v>
      </c>
      <c r="H81" s="3" t="str">
        <f>IF(LEN(Hoja1!F81)&lt;&gt;14,"Sí","No")</f>
        <v>No</v>
      </c>
      <c r="I81" s="3" t="str">
        <f>IF(Hoja1!C81&gt;Hoja1!H81,"Sí","No")</f>
        <v>No</v>
      </c>
      <c r="J81" s="3" t="str">
        <f>IF(SUMPRODUCT(--ISNUMBER(SEARCH({"0";"1";"2";"3";"4";"5";"6";"7";"8";"9"},Hoja1!D81)))=0,"Sí","No")</f>
        <v>No</v>
      </c>
      <c r="K81" s="3" t="str">
        <f t="shared" si="1"/>
        <v>No</v>
      </c>
    </row>
    <row r="82" spans="1:11" ht="15" customHeight="1" x14ac:dyDescent="0.3">
      <c r="A82" s="3" t="str">
        <f>Hoja1!A82</f>
        <v>C0081</v>
      </c>
      <c r="B82" s="3" t="str">
        <f>Hoja1!B82</f>
        <v>Eugenio Aranda Falcón</v>
      </c>
      <c r="C82" s="3" t="str">
        <f>IF(COUNTA(Hoja1!A82:I82)=0,"Sí","No")</f>
        <v>No</v>
      </c>
      <c r="D82" s="3" t="str">
        <f>IF(COUNTBLANK(Hoja1!A82:I82)&gt;0,"Sí","No")</f>
        <v>No</v>
      </c>
      <c r="E82" s="3" t="str">
        <f>IF(COUNTIF(Hoja1!$A$2:$A$1000,Hoja1!A82)&gt;1,"Sí","No")</f>
        <v>No</v>
      </c>
      <c r="F82" s="3" t="str">
        <f>IF(COUNTIF(Hoja1!$G$2:$G$1000,Hoja1!G82)&gt;1,"Sí","No")</f>
        <v>No</v>
      </c>
      <c r="G82" s="3" t="str">
        <f>IF(OR(ISERROR(FIND("@",Hoja1!G82)),ISERROR(FIND(".",Hoja1!G82,FIND("@",Hoja1!G82)))),"Sí","No")</f>
        <v>No</v>
      </c>
      <c r="H82" s="3" t="str">
        <f>IF(LEN(Hoja1!F82)&lt;&gt;14,"Sí","No")</f>
        <v>No</v>
      </c>
      <c r="I82" s="3" t="str">
        <f>IF(Hoja1!C82&gt;Hoja1!H82,"Sí","No")</f>
        <v>No</v>
      </c>
      <c r="J82" s="3" t="str">
        <f>IF(SUMPRODUCT(--ISNUMBER(SEARCH({"0";"1";"2";"3";"4";"5";"6";"7";"8";"9"},Hoja1!D82)))=0,"Sí","No")</f>
        <v>No</v>
      </c>
      <c r="K82" s="3" t="str">
        <f t="shared" si="1"/>
        <v>No</v>
      </c>
    </row>
    <row r="83" spans="1:11" ht="15" customHeight="1" x14ac:dyDescent="0.3">
      <c r="A83" s="3" t="str">
        <f>Hoja1!A83</f>
        <v>C0082</v>
      </c>
      <c r="B83" s="3" t="str">
        <f>Hoja1!B83</f>
        <v>Felicia del Palomo</v>
      </c>
      <c r="C83" s="3" t="str">
        <f>IF(COUNTA(Hoja1!A83:I83)=0,"Sí","No")</f>
        <v>No</v>
      </c>
      <c r="D83" s="3" t="str">
        <f>IF(COUNTBLANK(Hoja1!A83:I83)&gt;0,"Sí","No")</f>
        <v>No</v>
      </c>
      <c r="E83" s="3" t="str">
        <f>IF(COUNTIF(Hoja1!$A$2:$A$1000,Hoja1!A83)&gt;1,"Sí","No")</f>
        <v>No</v>
      </c>
      <c r="F83" s="3" t="str">
        <f>IF(COUNTIF(Hoja1!$G$2:$G$1000,Hoja1!G83)&gt;1,"Sí","No")</f>
        <v>No</v>
      </c>
      <c r="G83" s="3" t="str">
        <f>IF(OR(ISERROR(FIND("@",Hoja1!G83)),ISERROR(FIND(".",Hoja1!G83,FIND("@",Hoja1!G83)))),"Sí","No")</f>
        <v>No</v>
      </c>
      <c r="H83" s="3" t="str">
        <f>IF(LEN(Hoja1!F83)&lt;&gt;14,"Sí","No")</f>
        <v>No</v>
      </c>
      <c r="I83" s="3" t="str">
        <f>IF(Hoja1!C83&gt;Hoja1!H83,"Sí","No")</f>
        <v>No</v>
      </c>
      <c r="J83" s="3" t="str">
        <f>IF(SUMPRODUCT(--ISNUMBER(SEARCH({"0";"1";"2";"3";"4";"5";"6";"7";"8";"9"},Hoja1!D83)))=0,"Sí","No")</f>
        <v>Sí</v>
      </c>
      <c r="K83" s="3" t="str">
        <f t="shared" si="1"/>
        <v>Sí</v>
      </c>
    </row>
    <row r="84" spans="1:11" ht="15" customHeight="1" x14ac:dyDescent="0.3">
      <c r="A84" s="3" t="str">
        <f>Hoja1!A84</f>
        <v>C0083</v>
      </c>
      <c r="B84" s="3" t="str">
        <f>Hoja1!B84</f>
        <v>Abel Uribe Cerro</v>
      </c>
      <c r="C84" s="3" t="str">
        <f>IF(COUNTA(Hoja1!A84:I84)=0,"Sí","No")</f>
        <v>No</v>
      </c>
      <c r="D84" s="3" t="str">
        <f>IF(COUNTBLANK(Hoja1!A84:I84)&gt;0,"Sí","No")</f>
        <v>No</v>
      </c>
      <c r="E84" s="3" t="str">
        <f>IF(COUNTIF(Hoja1!$A$2:$A$1000,Hoja1!A84)&gt;1,"Sí","No")</f>
        <v>No</v>
      </c>
      <c r="F84" s="3" t="str">
        <f>IF(COUNTIF(Hoja1!$G$2:$G$1000,Hoja1!G84)&gt;1,"Sí","No")</f>
        <v>No</v>
      </c>
      <c r="G84" s="3" t="str">
        <f>IF(OR(ISERROR(FIND("@",Hoja1!G84)),ISERROR(FIND(".",Hoja1!G84,FIND("@",Hoja1!G84)))),"Sí","No")</f>
        <v>No</v>
      </c>
      <c r="H84" s="3" t="str">
        <f>IF(LEN(Hoja1!F84)&lt;&gt;14,"Sí","No")</f>
        <v>No</v>
      </c>
      <c r="I84" s="3" t="str">
        <f>IF(Hoja1!C84&gt;Hoja1!H84,"Sí","No")</f>
        <v>No</v>
      </c>
      <c r="J84" s="3" t="str">
        <f>IF(SUMPRODUCT(--ISNUMBER(SEARCH({"0";"1";"2";"3";"4";"5";"6";"7";"8";"9"},Hoja1!D84)))=0,"Sí","No")</f>
        <v>No</v>
      </c>
      <c r="K84" s="3" t="str">
        <f t="shared" si="1"/>
        <v>No</v>
      </c>
    </row>
    <row r="85" spans="1:11" ht="15" customHeight="1" x14ac:dyDescent="0.3">
      <c r="A85" s="3" t="str">
        <f>Hoja1!A85</f>
        <v>C0084</v>
      </c>
      <c r="B85" s="3" t="str">
        <f>Hoja1!B85</f>
        <v>Andrés Felipe Prado-Infante</v>
      </c>
      <c r="C85" s="3" t="str">
        <f>IF(COUNTA(Hoja1!A85:I85)=0,"Sí","No")</f>
        <v>No</v>
      </c>
      <c r="D85" s="3" t="str">
        <f>IF(COUNTBLANK(Hoja1!A85:I85)&gt;0,"Sí","No")</f>
        <v>No</v>
      </c>
      <c r="E85" s="3" t="str">
        <f>IF(COUNTIF(Hoja1!$A$2:$A$1000,Hoja1!A85)&gt;1,"Sí","No")</f>
        <v>No</v>
      </c>
      <c r="F85" s="3" t="str">
        <f>IF(COUNTIF(Hoja1!$G$2:$G$1000,Hoja1!G85)&gt;1,"Sí","No")</f>
        <v>No</v>
      </c>
      <c r="G85" s="3" t="str">
        <f>IF(OR(ISERROR(FIND("@",Hoja1!G85)),ISERROR(FIND(".",Hoja1!G85,FIND("@",Hoja1!G85)))),"Sí","No")</f>
        <v>No</v>
      </c>
      <c r="H85" s="3" t="str">
        <f>IF(LEN(Hoja1!F85)&lt;&gt;14,"Sí","No")</f>
        <v>No</v>
      </c>
      <c r="I85" s="3" t="str">
        <f>IF(Hoja1!C85&gt;Hoja1!H85,"Sí","No")</f>
        <v>No</v>
      </c>
      <c r="J85" s="3" t="str">
        <f>IF(SUMPRODUCT(--ISNUMBER(SEARCH({"0";"1";"2";"3";"4";"5";"6";"7";"8";"9"},Hoja1!D85)))=0,"Sí","No")</f>
        <v>No</v>
      </c>
      <c r="K85" s="3" t="str">
        <f t="shared" si="1"/>
        <v>No</v>
      </c>
    </row>
    <row r="86" spans="1:11" ht="15" customHeight="1" x14ac:dyDescent="0.3">
      <c r="A86" s="3" t="str">
        <f>Hoja1!A86</f>
        <v>C0085</v>
      </c>
      <c r="B86" s="3" t="str">
        <f>Hoja1!B86</f>
        <v>Jordi de Perea</v>
      </c>
      <c r="C86" s="3" t="str">
        <f>IF(COUNTA(Hoja1!A86:I86)=0,"Sí","No")</f>
        <v>No</v>
      </c>
      <c r="D86" s="3" t="str">
        <f>IF(COUNTBLANK(Hoja1!A86:I86)&gt;0,"Sí","No")</f>
        <v>No</v>
      </c>
      <c r="E86" s="3" t="str">
        <f>IF(COUNTIF(Hoja1!$A$2:$A$1000,Hoja1!A86)&gt;1,"Sí","No")</f>
        <v>No</v>
      </c>
      <c r="F86" s="3" t="str">
        <f>IF(COUNTIF(Hoja1!$G$2:$G$1000,Hoja1!G86)&gt;1,"Sí","No")</f>
        <v>No</v>
      </c>
      <c r="G86" s="3" t="str">
        <f>IF(OR(ISERROR(FIND("@",Hoja1!G86)),ISERROR(FIND(".",Hoja1!G86,FIND("@",Hoja1!G86)))),"Sí","No")</f>
        <v>No</v>
      </c>
      <c r="H86" s="3" t="str">
        <f>IF(LEN(Hoja1!F86)&lt;&gt;14,"Sí","No")</f>
        <v>No</v>
      </c>
      <c r="I86" s="3" t="str">
        <f>IF(Hoja1!C86&gt;Hoja1!H86,"Sí","No")</f>
        <v>No</v>
      </c>
      <c r="J86" s="3" t="str">
        <f>IF(SUMPRODUCT(--ISNUMBER(SEARCH({"0";"1";"2";"3";"4";"5";"6";"7";"8";"9"},Hoja1!D86)))=0,"Sí","No")</f>
        <v>Sí</v>
      </c>
      <c r="K86" s="3" t="str">
        <f t="shared" si="1"/>
        <v>Sí</v>
      </c>
    </row>
    <row r="87" spans="1:11" ht="15" customHeight="1" x14ac:dyDescent="0.3">
      <c r="A87" s="3" t="str">
        <f>Hoja1!A87</f>
        <v>C0086</v>
      </c>
      <c r="B87" s="3" t="str">
        <f>Hoja1!B87</f>
        <v>Ricarda Escrivá Cervera</v>
      </c>
      <c r="C87" s="3" t="str">
        <f>IF(COUNTA(Hoja1!A87:I87)=0,"Sí","No")</f>
        <v>No</v>
      </c>
      <c r="D87" s="3" t="str">
        <f>IF(COUNTBLANK(Hoja1!A87:I87)&gt;0,"Sí","No")</f>
        <v>No</v>
      </c>
      <c r="E87" s="3" t="str">
        <f>IF(COUNTIF(Hoja1!$A$2:$A$1000,Hoja1!A87)&gt;1,"Sí","No")</f>
        <v>No</v>
      </c>
      <c r="F87" s="3" t="str">
        <f>IF(COUNTIF(Hoja1!$G$2:$G$1000,Hoja1!G87)&gt;1,"Sí","No")</f>
        <v>No</v>
      </c>
      <c r="G87" s="3" t="str">
        <f>IF(OR(ISERROR(FIND("@",Hoja1!G87)),ISERROR(FIND(".",Hoja1!G87,FIND("@",Hoja1!G87)))),"Sí","No")</f>
        <v>No</v>
      </c>
      <c r="H87" s="3" t="str">
        <f>IF(LEN(Hoja1!F87)&lt;&gt;14,"Sí","No")</f>
        <v>No</v>
      </c>
      <c r="I87" s="3" t="str">
        <f>IF(Hoja1!C87&gt;Hoja1!H87,"Sí","No")</f>
        <v>No</v>
      </c>
      <c r="J87" s="3" t="str">
        <f>IF(SUMPRODUCT(--ISNUMBER(SEARCH({"0";"1";"2";"3";"4";"5";"6";"7";"8";"9"},Hoja1!D87)))=0,"Sí","No")</f>
        <v>No</v>
      </c>
      <c r="K87" s="3" t="str">
        <f t="shared" si="1"/>
        <v>No</v>
      </c>
    </row>
    <row r="88" spans="1:11" ht="15" customHeight="1" x14ac:dyDescent="0.3">
      <c r="A88" s="3" t="str">
        <f>Hoja1!A88</f>
        <v>C0087</v>
      </c>
      <c r="B88" s="3" t="str">
        <f>Hoja1!B88</f>
        <v>Socorro Morales Guerrero</v>
      </c>
      <c r="C88" s="3" t="str">
        <f>IF(COUNTA(Hoja1!A88:I88)=0,"Sí","No")</f>
        <v>No</v>
      </c>
      <c r="D88" s="3" t="str">
        <f>IF(COUNTBLANK(Hoja1!A88:I88)&gt;0,"Sí","No")</f>
        <v>No</v>
      </c>
      <c r="E88" s="3" t="str">
        <f>IF(COUNTIF(Hoja1!$A$2:$A$1000,Hoja1!A88)&gt;1,"Sí","No")</f>
        <v>No</v>
      </c>
      <c r="F88" s="3" t="str">
        <f>IF(COUNTIF(Hoja1!$G$2:$G$1000,Hoja1!G88)&gt;1,"Sí","No")</f>
        <v>No</v>
      </c>
      <c r="G88" s="3" t="str">
        <f>IF(OR(ISERROR(FIND("@",Hoja1!G88)),ISERROR(FIND(".",Hoja1!G88,FIND("@",Hoja1!G88)))),"Sí","No")</f>
        <v>No</v>
      </c>
      <c r="H88" s="3" t="str">
        <f>IF(LEN(Hoja1!F88)&lt;&gt;14,"Sí","No")</f>
        <v>No</v>
      </c>
      <c r="I88" s="3" t="str">
        <f>IF(Hoja1!C88&gt;Hoja1!H88,"Sí","No")</f>
        <v>No</v>
      </c>
      <c r="J88" s="3" t="str">
        <f>IF(SUMPRODUCT(--ISNUMBER(SEARCH({"0";"1";"2";"3";"4";"5";"6";"7";"8";"9"},Hoja1!D88)))=0,"Sí","No")</f>
        <v>No</v>
      </c>
      <c r="K88" s="3" t="str">
        <f t="shared" si="1"/>
        <v>No</v>
      </c>
    </row>
    <row r="89" spans="1:11" ht="15" customHeight="1" x14ac:dyDescent="0.3">
      <c r="A89" s="3" t="str">
        <f>Hoja1!A89</f>
        <v>C0088</v>
      </c>
      <c r="B89" s="3" t="str">
        <f>Hoja1!B89</f>
        <v>Asunción Ágata Gutierrez Morera</v>
      </c>
      <c r="C89" s="3" t="str">
        <f>IF(COUNTA(Hoja1!A89:I89)=0,"Sí","No")</f>
        <v>No</v>
      </c>
      <c r="D89" s="3" t="str">
        <f>IF(COUNTBLANK(Hoja1!A89:I89)&gt;0,"Sí","No")</f>
        <v>No</v>
      </c>
      <c r="E89" s="3" t="str">
        <f>IF(COUNTIF(Hoja1!$A$2:$A$1000,Hoja1!A89)&gt;1,"Sí","No")</f>
        <v>No</v>
      </c>
      <c r="F89" s="3" t="str">
        <f>IF(COUNTIF(Hoja1!$G$2:$G$1000,Hoja1!G89)&gt;1,"Sí","No")</f>
        <v>No</v>
      </c>
      <c r="G89" s="3" t="str">
        <f>IF(OR(ISERROR(FIND("@",Hoja1!G89)),ISERROR(FIND(".",Hoja1!G89,FIND("@",Hoja1!G89)))),"Sí","No")</f>
        <v>No</v>
      </c>
      <c r="H89" s="3" t="str">
        <f>IF(LEN(Hoja1!F89)&lt;&gt;14,"Sí","No")</f>
        <v>No</v>
      </c>
      <c r="I89" s="3" t="str">
        <f>IF(Hoja1!C89&gt;Hoja1!H89,"Sí","No")</f>
        <v>No</v>
      </c>
      <c r="J89" s="3" t="str">
        <f>IF(SUMPRODUCT(--ISNUMBER(SEARCH({"0";"1";"2";"3";"4";"5";"6";"7";"8";"9"},Hoja1!D89)))=0,"Sí","No")</f>
        <v>Sí</v>
      </c>
      <c r="K89" s="3" t="str">
        <f t="shared" si="1"/>
        <v>Sí</v>
      </c>
    </row>
    <row r="90" spans="1:11" ht="15" customHeight="1" x14ac:dyDescent="0.3">
      <c r="A90" s="3" t="str">
        <f>Hoja1!A90</f>
        <v>C0089</v>
      </c>
      <c r="B90" s="3" t="str">
        <f>Hoja1!B90</f>
        <v>Jesús Frías Ibáñez</v>
      </c>
      <c r="C90" s="3" t="str">
        <f>IF(COUNTA(Hoja1!A90:I90)=0,"Sí","No")</f>
        <v>No</v>
      </c>
      <c r="D90" s="3" t="str">
        <f>IF(COUNTBLANK(Hoja1!A90:I90)&gt;0,"Sí","No")</f>
        <v>No</v>
      </c>
      <c r="E90" s="3" t="str">
        <f>IF(COUNTIF(Hoja1!$A$2:$A$1000,Hoja1!A90)&gt;1,"Sí","No")</f>
        <v>No</v>
      </c>
      <c r="F90" s="3" t="str">
        <f>IF(COUNTIF(Hoja1!$G$2:$G$1000,Hoja1!G90)&gt;1,"Sí","No")</f>
        <v>No</v>
      </c>
      <c r="G90" s="3" t="str">
        <f>IF(OR(ISERROR(FIND("@",Hoja1!G90)),ISERROR(FIND(".",Hoja1!G90,FIND("@",Hoja1!G90)))),"Sí","No")</f>
        <v>No</v>
      </c>
      <c r="H90" s="3" t="str">
        <f>IF(LEN(Hoja1!F90)&lt;&gt;14,"Sí","No")</f>
        <v>No</v>
      </c>
      <c r="I90" s="3" t="str">
        <f>IF(Hoja1!C90&gt;Hoja1!H90,"Sí","No")</f>
        <v>No</v>
      </c>
      <c r="J90" s="3" t="str">
        <f>IF(SUMPRODUCT(--ISNUMBER(SEARCH({"0";"1";"2";"3";"4";"5";"6";"7";"8";"9"},Hoja1!D90)))=0,"Sí","No")</f>
        <v>No</v>
      </c>
      <c r="K90" s="3" t="str">
        <f t="shared" si="1"/>
        <v>No</v>
      </c>
    </row>
    <row r="91" spans="1:11" ht="15" customHeight="1" x14ac:dyDescent="0.3">
      <c r="A91" s="3" t="str">
        <f>Hoja1!A91</f>
        <v>C0090</v>
      </c>
      <c r="B91" s="3" t="str">
        <f>Hoja1!B91</f>
        <v>Teodosio Niño</v>
      </c>
      <c r="C91" s="3" t="str">
        <f>IF(COUNTA(Hoja1!A91:I91)=0,"Sí","No")</f>
        <v>No</v>
      </c>
      <c r="D91" s="3" t="str">
        <f>IF(COUNTBLANK(Hoja1!A91:I91)&gt;0,"Sí","No")</f>
        <v>No</v>
      </c>
      <c r="E91" s="3" t="str">
        <f>IF(COUNTIF(Hoja1!$A$2:$A$1000,Hoja1!A91)&gt;1,"Sí","No")</f>
        <v>No</v>
      </c>
      <c r="F91" s="3" t="str">
        <f>IF(COUNTIF(Hoja1!$G$2:$G$1000,Hoja1!G91)&gt;1,"Sí","No")</f>
        <v>No</v>
      </c>
      <c r="G91" s="3" t="str">
        <f>IF(OR(ISERROR(FIND("@",Hoja1!G91)),ISERROR(FIND(".",Hoja1!G91,FIND("@",Hoja1!G91)))),"Sí","No")</f>
        <v>No</v>
      </c>
      <c r="H91" s="3" t="str">
        <f>IF(LEN(Hoja1!F91)&lt;&gt;14,"Sí","No")</f>
        <v>No</v>
      </c>
      <c r="I91" s="3" t="str">
        <f>IF(Hoja1!C91&gt;Hoja1!H91,"Sí","No")</f>
        <v>No</v>
      </c>
      <c r="J91" s="3" t="str">
        <f>IF(SUMPRODUCT(--ISNUMBER(SEARCH({"0";"1";"2";"3";"4";"5";"6";"7";"8";"9"},Hoja1!D91)))=0,"Sí","No")</f>
        <v>No</v>
      </c>
      <c r="K91" s="3" t="str">
        <f t="shared" si="1"/>
        <v>No</v>
      </c>
    </row>
    <row r="92" spans="1:11" ht="15" customHeight="1" x14ac:dyDescent="0.3">
      <c r="A92" s="3" t="str">
        <f>Hoja1!A92</f>
        <v>C0091</v>
      </c>
      <c r="B92" s="3" t="str">
        <f>Hoja1!B92</f>
        <v>Susana Vizcaíno Nuñez</v>
      </c>
      <c r="C92" s="3" t="str">
        <f>IF(COUNTA(Hoja1!A92:I92)=0,"Sí","No")</f>
        <v>No</v>
      </c>
      <c r="D92" s="3" t="str">
        <f>IF(COUNTBLANK(Hoja1!A92:I92)&gt;0,"Sí","No")</f>
        <v>No</v>
      </c>
      <c r="E92" s="3" t="str">
        <f>IF(COUNTIF(Hoja1!$A$2:$A$1000,Hoja1!A92)&gt;1,"Sí","No")</f>
        <v>No</v>
      </c>
      <c r="F92" s="3" t="str">
        <f>IF(COUNTIF(Hoja1!$G$2:$G$1000,Hoja1!G92)&gt;1,"Sí","No")</f>
        <v>No</v>
      </c>
      <c r="G92" s="3" t="str">
        <f>IF(OR(ISERROR(FIND("@",Hoja1!G92)),ISERROR(FIND(".",Hoja1!G92,FIND("@",Hoja1!G92)))),"Sí","No")</f>
        <v>No</v>
      </c>
      <c r="H92" s="3" t="str">
        <f>IF(LEN(Hoja1!F92)&lt;&gt;14,"Sí","No")</f>
        <v>No</v>
      </c>
      <c r="I92" s="3" t="str">
        <f>IF(Hoja1!C92&gt;Hoja1!H92,"Sí","No")</f>
        <v>No</v>
      </c>
      <c r="J92" s="3" t="str">
        <f>IF(SUMPRODUCT(--ISNUMBER(SEARCH({"0";"1";"2";"3";"4";"5";"6";"7";"8";"9"},Hoja1!D92)))=0,"Sí","No")</f>
        <v>Sí</v>
      </c>
      <c r="K92" s="3" t="str">
        <f t="shared" si="1"/>
        <v>Sí</v>
      </c>
    </row>
    <row r="93" spans="1:11" ht="15" customHeight="1" x14ac:dyDescent="0.3">
      <c r="A93" s="3" t="str">
        <f>Hoja1!A93</f>
        <v>C0092</v>
      </c>
      <c r="B93" s="3" t="str">
        <f>Hoja1!B93</f>
        <v>Abilio Cuéllar Rovira</v>
      </c>
      <c r="C93" s="3" t="str">
        <f>IF(COUNTA(Hoja1!A93:I93)=0,"Sí","No")</f>
        <v>No</v>
      </c>
      <c r="D93" s="3" t="str">
        <f>IF(COUNTBLANK(Hoja1!A93:I93)&gt;0,"Sí","No")</f>
        <v>No</v>
      </c>
      <c r="E93" s="3" t="str">
        <f>IF(COUNTIF(Hoja1!$A$2:$A$1000,Hoja1!A93)&gt;1,"Sí","No")</f>
        <v>No</v>
      </c>
      <c r="F93" s="3" t="str">
        <f>IF(COUNTIF(Hoja1!$G$2:$G$1000,Hoja1!G93)&gt;1,"Sí","No")</f>
        <v>No</v>
      </c>
      <c r="G93" s="3" t="str">
        <f>IF(OR(ISERROR(FIND("@",Hoja1!G93)),ISERROR(FIND(".",Hoja1!G93,FIND("@",Hoja1!G93)))),"Sí","No")</f>
        <v>No</v>
      </c>
      <c r="H93" s="3" t="str">
        <f>IF(LEN(Hoja1!F93)&lt;&gt;14,"Sí","No")</f>
        <v>No</v>
      </c>
      <c r="I93" s="3" t="str">
        <f>IF(Hoja1!C93&gt;Hoja1!H93,"Sí","No")</f>
        <v>No</v>
      </c>
      <c r="J93" s="3" t="str">
        <f>IF(SUMPRODUCT(--ISNUMBER(SEARCH({"0";"1";"2";"3";"4";"5";"6";"7";"8";"9"},Hoja1!D93)))=0,"Sí","No")</f>
        <v>No</v>
      </c>
      <c r="K93" s="3" t="str">
        <f t="shared" si="1"/>
        <v>No</v>
      </c>
    </row>
    <row r="94" spans="1:11" ht="15" customHeight="1" x14ac:dyDescent="0.3">
      <c r="A94" s="3" t="str">
        <f>Hoja1!A94</f>
        <v>C0093</v>
      </c>
      <c r="B94" s="3" t="str">
        <f>Hoja1!B94</f>
        <v>Adora Alberto Rebollo</v>
      </c>
      <c r="C94" s="3" t="str">
        <f>IF(COUNTA(Hoja1!A94:I94)=0,"Sí","No")</f>
        <v>No</v>
      </c>
      <c r="D94" s="3" t="str">
        <f>IF(COUNTBLANK(Hoja1!A94:I94)&gt;0,"Sí","No")</f>
        <v>No</v>
      </c>
      <c r="E94" s="3" t="str">
        <f>IF(COUNTIF(Hoja1!$A$2:$A$1000,Hoja1!A94)&gt;1,"Sí","No")</f>
        <v>No</v>
      </c>
      <c r="F94" s="3" t="str">
        <f>IF(COUNTIF(Hoja1!$G$2:$G$1000,Hoja1!G94)&gt;1,"Sí","No")</f>
        <v>No</v>
      </c>
      <c r="G94" s="3" t="str">
        <f>IF(OR(ISERROR(FIND("@",Hoja1!G94)),ISERROR(FIND(".",Hoja1!G94,FIND("@",Hoja1!G94)))),"Sí","No")</f>
        <v>No</v>
      </c>
      <c r="H94" s="3" t="str">
        <f>IF(LEN(Hoja1!F94)&lt;&gt;14,"Sí","No")</f>
        <v>No</v>
      </c>
      <c r="I94" s="3" t="str">
        <f>IF(Hoja1!C94&gt;Hoja1!H94,"Sí","No")</f>
        <v>No</v>
      </c>
      <c r="J94" s="3" t="str">
        <f>IF(SUMPRODUCT(--ISNUMBER(SEARCH({"0";"1";"2";"3";"4";"5";"6";"7";"8";"9"},Hoja1!D94)))=0,"Sí","No")</f>
        <v>No</v>
      </c>
      <c r="K94" s="3" t="str">
        <f t="shared" si="1"/>
        <v>No</v>
      </c>
    </row>
    <row r="95" spans="1:11" ht="15" customHeight="1" x14ac:dyDescent="0.3">
      <c r="A95" s="3" t="str">
        <f>Hoja1!A95</f>
        <v>C0094</v>
      </c>
      <c r="B95" s="3" t="str">
        <f>Hoja1!B95</f>
        <v>Primitivo Jaén Garcés</v>
      </c>
      <c r="C95" s="3" t="str">
        <f>IF(COUNTA(Hoja1!A95:I95)=0,"Sí","No")</f>
        <v>No</v>
      </c>
      <c r="D95" s="3" t="str">
        <f>IF(COUNTBLANK(Hoja1!A95:I95)&gt;0,"Sí","No")</f>
        <v>No</v>
      </c>
      <c r="E95" s="3" t="str">
        <f>IF(COUNTIF(Hoja1!$A$2:$A$1000,Hoja1!A95)&gt;1,"Sí","No")</f>
        <v>No</v>
      </c>
      <c r="F95" s="3" t="str">
        <f>IF(COUNTIF(Hoja1!$G$2:$G$1000,Hoja1!G95)&gt;1,"Sí","No")</f>
        <v>No</v>
      </c>
      <c r="G95" s="3" t="str">
        <f>IF(OR(ISERROR(FIND("@",Hoja1!G95)),ISERROR(FIND(".",Hoja1!G95,FIND("@",Hoja1!G95)))),"Sí","No")</f>
        <v>No</v>
      </c>
      <c r="H95" s="3" t="str">
        <f>IF(LEN(Hoja1!F95)&lt;&gt;14,"Sí","No")</f>
        <v>No</v>
      </c>
      <c r="I95" s="3" t="str">
        <f>IF(Hoja1!C95&gt;Hoja1!H95,"Sí","No")</f>
        <v>No</v>
      </c>
      <c r="J95" s="3" t="str">
        <f>IF(SUMPRODUCT(--ISNUMBER(SEARCH({"0";"1";"2";"3";"4";"5";"6";"7";"8";"9"},Hoja1!D95)))=0,"Sí","No")</f>
        <v>Sí</v>
      </c>
      <c r="K95" s="3" t="str">
        <f t="shared" si="1"/>
        <v>Sí</v>
      </c>
    </row>
    <row r="96" spans="1:11" ht="15" customHeight="1" x14ac:dyDescent="0.3">
      <c r="A96" s="3" t="str">
        <f>Hoja1!A96</f>
        <v>C0095</v>
      </c>
      <c r="B96" s="3" t="str">
        <f>Hoja1!B96</f>
        <v>Delfina Donoso</v>
      </c>
      <c r="C96" s="3" t="str">
        <f>IF(COUNTA(Hoja1!A96:I96)=0,"Sí","No")</f>
        <v>No</v>
      </c>
      <c r="D96" s="3" t="str">
        <f>IF(COUNTBLANK(Hoja1!A96:I96)&gt;0,"Sí","No")</f>
        <v>No</v>
      </c>
      <c r="E96" s="3" t="str">
        <f>IF(COUNTIF(Hoja1!$A$2:$A$1000,Hoja1!A96)&gt;1,"Sí","No")</f>
        <v>No</v>
      </c>
      <c r="F96" s="3" t="str">
        <f>IF(COUNTIF(Hoja1!$G$2:$G$1000,Hoja1!G96)&gt;1,"Sí","No")</f>
        <v>Sí</v>
      </c>
      <c r="G96" s="3" t="str">
        <f>IF(OR(ISERROR(FIND("@",Hoja1!G96)),ISERROR(FIND(".",Hoja1!G96,FIND("@",Hoja1!G96)))),"Sí","No")</f>
        <v>No</v>
      </c>
      <c r="H96" s="3" t="str">
        <f>IF(LEN(Hoja1!F96)&lt;&gt;14,"Sí","No")</f>
        <v>No</v>
      </c>
      <c r="I96" s="3" t="str">
        <f>IF(Hoja1!C96&gt;Hoja1!H96,"Sí","No")</f>
        <v>No</v>
      </c>
      <c r="J96" s="3" t="str">
        <f>IF(SUMPRODUCT(--ISNUMBER(SEARCH({"0";"1";"2";"3";"4";"5";"6";"7";"8";"9"},Hoja1!D96)))=0,"Sí","No")</f>
        <v>No</v>
      </c>
      <c r="K96" s="3" t="str">
        <f t="shared" si="1"/>
        <v>Sí</v>
      </c>
    </row>
    <row r="97" spans="1:11" ht="15" customHeight="1" x14ac:dyDescent="0.3">
      <c r="A97" s="3" t="str">
        <f>Hoja1!A97</f>
        <v>C0096</v>
      </c>
      <c r="B97" s="3" t="str">
        <f>Hoja1!B97</f>
        <v>Julio Fuster Vigil</v>
      </c>
      <c r="C97" s="3" t="str">
        <f>IF(COUNTA(Hoja1!A97:I97)=0,"Sí","No")</f>
        <v>No</v>
      </c>
      <c r="D97" s="3" t="str">
        <f>IF(COUNTBLANK(Hoja1!A97:I97)&gt;0,"Sí","No")</f>
        <v>No</v>
      </c>
      <c r="E97" s="3" t="str">
        <f>IF(COUNTIF(Hoja1!$A$2:$A$1000,Hoja1!A97)&gt;1,"Sí","No")</f>
        <v>No</v>
      </c>
      <c r="F97" s="3" t="str">
        <f>IF(COUNTIF(Hoja1!$G$2:$G$1000,Hoja1!G97)&gt;1,"Sí","No")</f>
        <v>No</v>
      </c>
      <c r="G97" s="3" t="str">
        <f>IF(OR(ISERROR(FIND("@",Hoja1!G97)),ISERROR(FIND(".",Hoja1!G97,FIND("@",Hoja1!G97)))),"Sí","No")</f>
        <v>No</v>
      </c>
      <c r="H97" s="3" t="str">
        <f>IF(LEN(Hoja1!F97)&lt;&gt;14,"Sí","No")</f>
        <v>No</v>
      </c>
      <c r="I97" s="3" t="str">
        <f>IF(Hoja1!C97&gt;Hoja1!H97,"Sí","No")</f>
        <v>No</v>
      </c>
      <c r="J97" s="3" t="str">
        <f>IF(SUMPRODUCT(--ISNUMBER(SEARCH({"0";"1";"2";"3";"4";"5";"6";"7";"8";"9"},Hoja1!D97)))=0,"Sí","No")</f>
        <v>No</v>
      </c>
      <c r="K97" s="3" t="str">
        <f t="shared" si="1"/>
        <v>No</v>
      </c>
    </row>
    <row r="98" spans="1:11" ht="15" customHeight="1" x14ac:dyDescent="0.3">
      <c r="A98" s="3" t="str">
        <f>Hoja1!A98</f>
        <v>C0097</v>
      </c>
      <c r="B98" s="3" t="str">
        <f>Hoja1!B98</f>
        <v>Cintia Carballo-Bayona</v>
      </c>
      <c r="C98" s="3" t="str">
        <f>IF(COUNTA(Hoja1!A98:I98)=0,"Sí","No")</f>
        <v>No</v>
      </c>
      <c r="D98" s="3" t="str">
        <f>IF(COUNTBLANK(Hoja1!A98:I98)&gt;0,"Sí","No")</f>
        <v>No</v>
      </c>
      <c r="E98" s="3" t="str">
        <f>IF(COUNTIF(Hoja1!$A$2:$A$1000,Hoja1!A98)&gt;1,"Sí","No")</f>
        <v>No</v>
      </c>
      <c r="F98" s="3" t="str">
        <f>IF(COUNTIF(Hoja1!$G$2:$G$1000,Hoja1!G98)&gt;1,"Sí","No")</f>
        <v>No</v>
      </c>
      <c r="G98" s="3" t="str">
        <f>IF(OR(ISERROR(FIND("@",Hoja1!G98)),ISERROR(FIND(".",Hoja1!G98,FIND("@",Hoja1!G98)))),"Sí","No")</f>
        <v>No</v>
      </c>
      <c r="H98" s="3" t="str">
        <f>IF(LEN(Hoja1!F98)&lt;&gt;14,"Sí","No")</f>
        <v>No</v>
      </c>
      <c r="I98" s="3" t="str">
        <f>IF(Hoja1!C98&gt;Hoja1!H98,"Sí","No")</f>
        <v>No</v>
      </c>
      <c r="J98" s="3" t="str">
        <f>IF(SUMPRODUCT(--ISNUMBER(SEARCH({"0";"1";"2";"3";"4";"5";"6";"7";"8";"9"},Hoja1!D98)))=0,"Sí","No")</f>
        <v>Sí</v>
      </c>
      <c r="K98" s="3" t="str">
        <f t="shared" si="1"/>
        <v>Sí</v>
      </c>
    </row>
    <row r="99" spans="1:11" ht="15" customHeight="1" x14ac:dyDescent="0.3">
      <c r="A99" s="3" t="str">
        <f>Hoja1!A99</f>
        <v>C0098</v>
      </c>
      <c r="B99" s="3" t="str">
        <f>Hoja1!B99</f>
        <v>Fortunata Pascual Ribas</v>
      </c>
      <c r="C99" s="3" t="str">
        <f>IF(COUNTA(Hoja1!A99:I99)=0,"Sí","No")</f>
        <v>No</v>
      </c>
      <c r="D99" s="3" t="str">
        <f>IF(COUNTBLANK(Hoja1!A99:I99)&gt;0,"Sí","No")</f>
        <v>No</v>
      </c>
      <c r="E99" s="3" t="str">
        <f>IF(COUNTIF(Hoja1!$A$2:$A$1000,Hoja1!A99)&gt;1,"Sí","No")</f>
        <v>No</v>
      </c>
      <c r="F99" s="3" t="str">
        <f>IF(COUNTIF(Hoja1!$G$2:$G$1000,Hoja1!G99)&gt;1,"Sí","No")</f>
        <v>No</v>
      </c>
      <c r="G99" s="3" t="str">
        <f>IF(OR(ISERROR(FIND("@",Hoja1!G99)),ISERROR(FIND(".",Hoja1!G99,FIND("@",Hoja1!G99)))),"Sí","No")</f>
        <v>No</v>
      </c>
      <c r="H99" s="3" t="str">
        <f>IF(LEN(Hoja1!F99)&lt;&gt;14,"Sí","No")</f>
        <v>No</v>
      </c>
      <c r="I99" s="3" t="str">
        <f>IF(Hoja1!C99&gt;Hoja1!H99,"Sí","No")</f>
        <v>No</v>
      </c>
      <c r="J99" s="3" t="str">
        <f>IF(SUMPRODUCT(--ISNUMBER(SEARCH({"0";"1";"2";"3";"4";"5";"6";"7";"8";"9"},Hoja1!D99)))=0,"Sí","No")</f>
        <v>No</v>
      </c>
      <c r="K99" s="3" t="str">
        <f t="shared" si="1"/>
        <v>No</v>
      </c>
    </row>
    <row r="100" spans="1:11" ht="15" customHeight="1" x14ac:dyDescent="0.3">
      <c r="A100" s="3" t="str">
        <f>Hoja1!A100</f>
        <v>C0099</v>
      </c>
      <c r="B100" s="3" t="str">
        <f>Hoja1!B100</f>
        <v>Lilia Figuerola Bauzà</v>
      </c>
      <c r="C100" s="3" t="str">
        <f>IF(COUNTA(Hoja1!A100:I100)=0,"Sí","No")</f>
        <v>No</v>
      </c>
      <c r="D100" s="3" t="str">
        <f>IF(COUNTBLANK(Hoja1!A100:I100)&gt;0,"Sí","No")</f>
        <v>No</v>
      </c>
      <c r="E100" s="3" t="str">
        <f>IF(COUNTIF(Hoja1!$A$2:$A$1000,Hoja1!A100)&gt;1,"Sí","No")</f>
        <v>No</v>
      </c>
      <c r="F100" s="3" t="str">
        <f>IF(COUNTIF(Hoja1!$G$2:$G$1000,Hoja1!G100)&gt;1,"Sí","No")</f>
        <v>No</v>
      </c>
      <c r="G100" s="3" t="str">
        <f>IF(OR(ISERROR(FIND("@",Hoja1!G100)),ISERROR(FIND(".",Hoja1!G100,FIND("@",Hoja1!G100)))),"Sí","No")</f>
        <v>No</v>
      </c>
      <c r="H100" s="3" t="str">
        <f>IF(LEN(Hoja1!F100)&lt;&gt;14,"Sí","No")</f>
        <v>No</v>
      </c>
      <c r="I100" s="3" t="str">
        <f>IF(Hoja1!C100&gt;Hoja1!H100,"Sí","No")</f>
        <v>No</v>
      </c>
      <c r="J100" s="3" t="str">
        <f>IF(SUMPRODUCT(--ISNUMBER(SEARCH({"0";"1";"2";"3";"4";"5";"6";"7";"8";"9"},Hoja1!D100)))=0,"Sí","No")</f>
        <v>No</v>
      </c>
      <c r="K100" s="3" t="str">
        <f t="shared" si="1"/>
        <v>No</v>
      </c>
    </row>
    <row r="101" spans="1:11" ht="15" customHeight="1" x14ac:dyDescent="0.3">
      <c r="A101" s="3" t="str">
        <f>Hoja1!A101</f>
        <v>C0100</v>
      </c>
      <c r="B101" s="3" t="str">
        <f>Hoja1!B101</f>
        <v>Pili Morell-Oliver</v>
      </c>
      <c r="C101" s="3" t="str">
        <f>IF(COUNTA(Hoja1!A101:I101)=0,"Sí","No")</f>
        <v>No</v>
      </c>
      <c r="D101" s="3" t="str">
        <f>IF(COUNTBLANK(Hoja1!A101:I101)&gt;0,"Sí","No")</f>
        <v>No</v>
      </c>
      <c r="E101" s="3" t="str">
        <f>IF(COUNTIF(Hoja1!$A$2:$A$1000,Hoja1!A101)&gt;1,"Sí","No")</f>
        <v>No</v>
      </c>
      <c r="F101" s="3" t="str">
        <f>IF(COUNTIF(Hoja1!$G$2:$G$1000,Hoja1!G101)&gt;1,"Sí","No")</f>
        <v>No</v>
      </c>
      <c r="G101" s="3" t="str">
        <f>IF(OR(ISERROR(FIND("@",Hoja1!G101)),ISERROR(FIND(".",Hoja1!G101,FIND("@",Hoja1!G101)))),"Sí","No")</f>
        <v>No</v>
      </c>
      <c r="H101" s="3" t="str">
        <f>IF(LEN(Hoja1!F101)&lt;&gt;14,"Sí","No")</f>
        <v>No</v>
      </c>
      <c r="I101" s="3" t="str">
        <f>IF(Hoja1!C101&gt;Hoja1!H101,"Sí","No")</f>
        <v>No</v>
      </c>
      <c r="J101" s="3" t="str">
        <f>IF(SUMPRODUCT(--ISNUMBER(SEARCH({"0";"1";"2";"3";"4";"5";"6";"7";"8";"9"},Hoja1!D101)))=0,"Sí","No")</f>
        <v>Sí</v>
      </c>
      <c r="K101" s="3" t="str">
        <f t="shared" si="1"/>
        <v>Sí</v>
      </c>
    </row>
    <row r="102" spans="1:11" ht="15" customHeight="1" x14ac:dyDescent="0.3">
      <c r="A102" s="3" t="str">
        <f>Hoja1!A102</f>
        <v>C0101</v>
      </c>
      <c r="B102" s="3" t="str">
        <f>Hoja1!B102</f>
        <v>Estrella Peñas Benito</v>
      </c>
      <c r="C102" s="3" t="str">
        <f>IF(COUNTA(Hoja1!A102:I102)=0,"Sí","No")</f>
        <v>No</v>
      </c>
      <c r="D102" s="3" t="str">
        <f>IF(COUNTBLANK(Hoja1!A102:I102)&gt;0,"Sí","No")</f>
        <v>No</v>
      </c>
      <c r="E102" s="3" t="str">
        <f>IF(COUNTIF(Hoja1!$A$2:$A$1000,Hoja1!A102)&gt;1,"Sí","No")</f>
        <v>No</v>
      </c>
      <c r="F102" s="3" t="str">
        <f>IF(COUNTIF(Hoja1!$G$2:$G$1000,Hoja1!G102)&gt;1,"Sí","No")</f>
        <v>No</v>
      </c>
      <c r="G102" s="3" t="str">
        <f>IF(OR(ISERROR(FIND("@",Hoja1!G102)),ISERROR(FIND(".",Hoja1!G102,FIND("@",Hoja1!G102)))),"Sí","No")</f>
        <v>No</v>
      </c>
      <c r="H102" s="3" t="str">
        <f>IF(LEN(Hoja1!F102)&lt;&gt;14,"Sí","No")</f>
        <v>No</v>
      </c>
      <c r="I102" s="3" t="str">
        <f>IF(Hoja1!C102&gt;Hoja1!H102,"Sí","No")</f>
        <v>No</v>
      </c>
      <c r="J102" s="3" t="str">
        <f>IF(SUMPRODUCT(--ISNUMBER(SEARCH({"0";"1";"2";"3";"4";"5";"6";"7";"8";"9"},Hoja1!D102)))=0,"Sí","No")</f>
        <v>No</v>
      </c>
      <c r="K102" s="3" t="str">
        <f t="shared" si="1"/>
        <v>No</v>
      </c>
    </row>
    <row r="103" spans="1:11" ht="15" customHeight="1" x14ac:dyDescent="0.3">
      <c r="A103" s="3" t="str">
        <f>Hoja1!A103</f>
        <v>C0102</v>
      </c>
      <c r="B103" s="3" t="str">
        <f>Hoja1!B103</f>
        <v>María Ángeles Roura Carnero</v>
      </c>
      <c r="C103" s="3" t="str">
        <f>IF(COUNTA(Hoja1!A103:I103)=0,"Sí","No")</f>
        <v>No</v>
      </c>
      <c r="D103" s="3" t="str">
        <f>IF(COUNTBLANK(Hoja1!A103:I103)&gt;0,"Sí","No")</f>
        <v>No</v>
      </c>
      <c r="E103" s="3" t="str">
        <f>IF(COUNTIF(Hoja1!$A$2:$A$1000,Hoja1!A103)&gt;1,"Sí","No")</f>
        <v>No</v>
      </c>
      <c r="F103" s="3" t="str">
        <f>IF(COUNTIF(Hoja1!$G$2:$G$1000,Hoja1!G103)&gt;1,"Sí","No")</f>
        <v>No</v>
      </c>
      <c r="G103" s="3" t="str">
        <f>IF(OR(ISERROR(FIND("@",Hoja1!G103)),ISERROR(FIND(".",Hoja1!G103,FIND("@",Hoja1!G103)))),"Sí","No")</f>
        <v>No</v>
      </c>
      <c r="H103" s="3" t="str">
        <f>IF(LEN(Hoja1!F103)&lt;&gt;14,"Sí","No")</f>
        <v>No</v>
      </c>
      <c r="I103" s="3" t="str">
        <f>IF(Hoja1!C103&gt;Hoja1!H103,"Sí","No")</f>
        <v>No</v>
      </c>
      <c r="J103" s="3" t="str">
        <f>IF(SUMPRODUCT(--ISNUMBER(SEARCH({"0";"1";"2";"3";"4";"5";"6";"7";"8";"9"},Hoja1!D103)))=0,"Sí","No")</f>
        <v>No</v>
      </c>
      <c r="K103" s="3" t="str">
        <f t="shared" si="1"/>
        <v>No</v>
      </c>
    </row>
    <row r="104" spans="1:11" ht="15" customHeight="1" x14ac:dyDescent="0.3">
      <c r="A104" s="3" t="str">
        <f>Hoja1!A104</f>
        <v>C0103</v>
      </c>
      <c r="B104" s="3" t="str">
        <f>Hoja1!B104</f>
        <v>Violeta Violeta Lamas Sarabia</v>
      </c>
      <c r="C104" s="3" t="str">
        <f>IF(COUNTA(Hoja1!A104:I104)=0,"Sí","No")</f>
        <v>No</v>
      </c>
      <c r="D104" s="3" t="str">
        <f>IF(COUNTBLANK(Hoja1!A104:I104)&gt;0,"Sí","No")</f>
        <v>No</v>
      </c>
      <c r="E104" s="3" t="str">
        <f>IF(COUNTIF(Hoja1!$A$2:$A$1000,Hoja1!A104)&gt;1,"Sí","No")</f>
        <v>No</v>
      </c>
      <c r="F104" s="3" t="str">
        <f>IF(COUNTIF(Hoja1!$G$2:$G$1000,Hoja1!G104)&gt;1,"Sí","No")</f>
        <v>No</v>
      </c>
      <c r="G104" s="3" t="str">
        <f>IF(OR(ISERROR(FIND("@",Hoja1!G104)),ISERROR(FIND(".",Hoja1!G104,FIND("@",Hoja1!G104)))),"Sí","No")</f>
        <v>No</v>
      </c>
      <c r="H104" s="3" t="str">
        <f>IF(LEN(Hoja1!F104)&lt;&gt;14,"Sí","No")</f>
        <v>No</v>
      </c>
      <c r="I104" s="3" t="str">
        <f>IF(Hoja1!C104&gt;Hoja1!H104,"Sí","No")</f>
        <v>No</v>
      </c>
      <c r="J104" s="3" t="str">
        <f>IF(SUMPRODUCT(--ISNUMBER(SEARCH({"0";"1";"2";"3";"4";"5";"6";"7";"8";"9"},Hoja1!D104)))=0,"Sí","No")</f>
        <v>Sí</v>
      </c>
      <c r="K104" s="3" t="str">
        <f t="shared" si="1"/>
        <v>Sí</v>
      </c>
    </row>
    <row r="105" spans="1:11" ht="15" customHeight="1" x14ac:dyDescent="0.3">
      <c r="A105" s="3" t="str">
        <f>Hoja1!A105</f>
        <v>C0104</v>
      </c>
      <c r="B105" s="3" t="str">
        <f>Hoja1!B105</f>
        <v>Ruben Marquez Belda</v>
      </c>
      <c r="C105" s="3" t="str">
        <f>IF(COUNTA(Hoja1!A105:I105)=0,"Sí","No")</f>
        <v>No</v>
      </c>
      <c r="D105" s="3" t="str">
        <f>IF(COUNTBLANK(Hoja1!A105:I105)&gt;0,"Sí","No")</f>
        <v>No</v>
      </c>
      <c r="E105" s="3" t="str">
        <f>IF(COUNTIF(Hoja1!$A$2:$A$1000,Hoja1!A105)&gt;1,"Sí","No")</f>
        <v>No</v>
      </c>
      <c r="F105" s="3" t="str">
        <f>IF(COUNTIF(Hoja1!$G$2:$G$1000,Hoja1!G105)&gt;1,"Sí","No")</f>
        <v>No</v>
      </c>
      <c r="G105" s="3" t="str">
        <f>IF(OR(ISERROR(FIND("@",Hoja1!G105)),ISERROR(FIND(".",Hoja1!G105,FIND("@",Hoja1!G105)))),"Sí","No")</f>
        <v>No</v>
      </c>
      <c r="H105" s="3" t="str">
        <f>IF(LEN(Hoja1!F105)&lt;&gt;14,"Sí","No")</f>
        <v>No</v>
      </c>
      <c r="I105" s="3" t="str">
        <f>IF(Hoja1!C105&gt;Hoja1!H105,"Sí","No")</f>
        <v>No</v>
      </c>
      <c r="J105" s="3" t="str">
        <f>IF(SUMPRODUCT(--ISNUMBER(SEARCH({"0";"1";"2";"3";"4";"5";"6";"7";"8";"9"},Hoja1!D105)))=0,"Sí","No")</f>
        <v>No</v>
      </c>
      <c r="K105" s="3" t="str">
        <f t="shared" si="1"/>
        <v>No</v>
      </c>
    </row>
    <row r="106" spans="1:11" ht="15" customHeight="1" x14ac:dyDescent="0.3">
      <c r="A106" s="3" t="str">
        <f>Hoja1!A106</f>
        <v>C0105</v>
      </c>
      <c r="B106" s="3" t="str">
        <f>Hoja1!B106</f>
        <v>Manola Criado</v>
      </c>
      <c r="C106" s="3" t="str">
        <f>IF(COUNTA(Hoja1!A106:I106)=0,"Sí","No")</f>
        <v>No</v>
      </c>
      <c r="D106" s="3" t="str">
        <f>IF(COUNTBLANK(Hoja1!A106:I106)&gt;0,"Sí","No")</f>
        <v>No</v>
      </c>
      <c r="E106" s="3" t="str">
        <f>IF(COUNTIF(Hoja1!$A$2:$A$1000,Hoja1!A106)&gt;1,"Sí","No")</f>
        <v>No</v>
      </c>
      <c r="F106" s="3" t="str">
        <f>IF(COUNTIF(Hoja1!$G$2:$G$1000,Hoja1!G106)&gt;1,"Sí","No")</f>
        <v>No</v>
      </c>
      <c r="G106" s="3" t="str">
        <f>IF(OR(ISERROR(FIND("@",Hoja1!G106)),ISERROR(FIND(".",Hoja1!G106,FIND("@",Hoja1!G106)))),"Sí","No")</f>
        <v>No</v>
      </c>
      <c r="H106" s="3" t="str">
        <f>IF(LEN(Hoja1!F106)&lt;&gt;14,"Sí","No")</f>
        <v>No</v>
      </c>
      <c r="I106" s="3" t="str">
        <f>IF(Hoja1!C106&gt;Hoja1!H106,"Sí","No")</f>
        <v>No</v>
      </c>
      <c r="J106" s="3" t="str">
        <f>IF(SUMPRODUCT(--ISNUMBER(SEARCH({"0";"1";"2";"3";"4";"5";"6";"7";"8";"9"},Hoja1!D106)))=0,"Sí","No")</f>
        <v>No</v>
      </c>
      <c r="K106" s="3" t="str">
        <f t="shared" si="1"/>
        <v>No</v>
      </c>
    </row>
    <row r="107" spans="1:11" ht="15" customHeight="1" x14ac:dyDescent="0.3">
      <c r="A107" s="3" t="str">
        <f>Hoja1!A107</f>
        <v>C0106</v>
      </c>
      <c r="B107" s="3" t="str">
        <f>Hoja1!B107</f>
        <v>Rita Asensio Salgado</v>
      </c>
      <c r="C107" s="3" t="str">
        <f>IF(COUNTA(Hoja1!A107:I107)=0,"Sí","No")</f>
        <v>No</v>
      </c>
      <c r="D107" s="3" t="str">
        <f>IF(COUNTBLANK(Hoja1!A107:I107)&gt;0,"Sí","No")</f>
        <v>No</v>
      </c>
      <c r="E107" s="3" t="str">
        <f>IF(COUNTIF(Hoja1!$A$2:$A$1000,Hoja1!A107)&gt;1,"Sí","No")</f>
        <v>No</v>
      </c>
      <c r="F107" s="3" t="str">
        <f>IF(COUNTIF(Hoja1!$G$2:$G$1000,Hoja1!G107)&gt;1,"Sí","No")</f>
        <v>No</v>
      </c>
      <c r="G107" s="3" t="str">
        <f>IF(OR(ISERROR(FIND("@",Hoja1!G107)),ISERROR(FIND(".",Hoja1!G107,FIND("@",Hoja1!G107)))),"Sí","No")</f>
        <v>No</v>
      </c>
      <c r="H107" s="3" t="str">
        <f>IF(LEN(Hoja1!F107)&lt;&gt;14,"Sí","No")</f>
        <v>No</v>
      </c>
      <c r="I107" s="3" t="str">
        <f>IF(Hoja1!C107&gt;Hoja1!H107,"Sí","No")</f>
        <v>No</v>
      </c>
      <c r="J107" s="3" t="str">
        <f>IF(SUMPRODUCT(--ISNUMBER(SEARCH({"0";"1";"2";"3";"4";"5";"6";"7";"8";"9"},Hoja1!D107)))=0,"Sí","No")</f>
        <v>Sí</v>
      </c>
      <c r="K107" s="3" t="str">
        <f t="shared" si="1"/>
        <v>Sí</v>
      </c>
    </row>
    <row r="108" spans="1:11" ht="15" customHeight="1" x14ac:dyDescent="0.3">
      <c r="A108" s="3" t="str">
        <f>Hoja1!A108</f>
        <v>C0107</v>
      </c>
      <c r="B108" s="3" t="str">
        <f>Hoja1!B108</f>
        <v>Daniela Cabello Vallés</v>
      </c>
      <c r="C108" s="3" t="str">
        <f>IF(COUNTA(Hoja1!A108:I108)=0,"Sí","No")</f>
        <v>No</v>
      </c>
      <c r="D108" s="3" t="str">
        <f>IF(COUNTBLANK(Hoja1!A108:I108)&gt;0,"Sí","No")</f>
        <v>No</v>
      </c>
      <c r="E108" s="3" t="str">
        <f>IF(COUNTIF(Hoja1!$A$2:$A$1000,Hoja1!A108)&gt;1,"Sí","No")</f>
        <v>No</v>
      </c>
      <c r="F108" s="3" t="str">
        <f>IF(COUNTIF(Hoja1!$G$2:$G$1000,Hoja1!G108)&gt;1,"Sí","No")</f>
        <v>No</v>
      </c>
      <c r="G108" s="3" t="str">
        <f>IF(OR(ISERROR(FIND("@",Hoja1!G108)),ISERROR(FIND(".",Hoja1!G108,FIND("@",Hoja1!G108)))),"Sí","No")</f>
        <v>No</v>
      </c>
      <c r="H108" s="3" t="str">
        <f>IF(LEN(Hoja1!F108)&lt;&gt;14,"Sí","No")</f>
        <v>No</v>
      </c>
      <c r="I108" s="3" t="str">
        <f>IF(Hoja1!C108&gt;Hoja1!H108,"Sí","No")</f>
        <v>No</v>
      </c>
      <c r="J108" s="3" t="str">
        <f>IF(SUMPRODUCT(--ISNUMBER(SEARCH({"0";"1";"2";"3";"4";"5";"6";"7";"8";"9"},Hoja1!D108)))=0,"Sí","No")</f>
        <v>No</v>
      </c>
      <c r="K108" s="3" t="str">
        <f t="shared" si="1"/>
        <v>No</v>
      </c>
    </row>
    <row r="109" spans="1:11" ht="15" customHeight="1" x14ac:dyDescent="0.3">
      <c r="A109" s="3" t="str">
        <f>Hoja1!A109</f>
        <v>C0108</v>
      </c>
      <c r="B109" s="3" t="str">
        <f>Hoja1!B109</f>
        <v>Nicolasa Aurelia Lasa Puig</v>
      </c>
      <c r="C109" s="3" t="str">
        <f>IF(COUNTA(Hoja1!A109:I109)=0,"Sí","No")</f>
        <v>No</v>
      </c>
      <c r="D109" s="3" t="str">
        <f>IF(COUNTBLANK(Hoja1!A109:I109)&gt;0,"Sí","No")</f>
        <v>No</v>
      </c>
      <c r="E109" s="3" t="str">
        <f>IF(COUNTIF(Hoja1!$A$2:$A$1000,Hoja1!A109)&gt;1,"Sí","No")</f>
        <v>No</v>
      </c>
      <c r="F109" s="3" t="str">
        <f>IF(COUNTIF(Hoja1!$G$2:$G$1000,Hoja1!G109)&gt;1,"Sí","No")</f>
        <v>No</v>
      </c>
      <c r="G109" s="3" t="str">
        <f>IF(OR(ISERROR(FIND("@",Hoja1!G109)),ISERROR(FIND(".",Hoja1!G109,FIND("@",Hoja1!G109)))),"Sí","No")</f>
        <v>No</v>
      </c>
      <c r="H109" s="3" t="str">
        <f>IF(LEN(Hoja1!F109)&lt;&gt;14,"Sí","No")</f>
        <v>No</v>
      </c>
      <c r="I109" s="3" t="str">
        <f>IF(Hoja1!C109&gt;Hoja1!H109,"Sí","No")</f>
        <v>No</v>
      </c>
      <c r="J109" s="3" t="str">
        <f>IF(SUMPRODUCT(--ISNUMBER(SEARCH({"0";"1";"2";"3";"4";"5";"6";"7";"8";"9"},Hoja1!D109)))=0,"Sí","No")</f>
        <v>No</v>
      </c>
      <c r="K109" s="3" t="str">
        <f t="shared" si="1"/>
        <v>No</v>
      </c>
    </row>
    <row r="110" spans="1:11" ht="15" customHeight="1" x14ac:dyDescent="0.3">
      <c r="A110" s="3" t="str">
        <f>Hoja1!A110</f>
        <v>C0109</v>
      </c>
      <c r="B110" s="3" t="str">
        <f>Hoja1!B110</f>
        <v>Jonatan Trillo Larrañaga</v>
      </c>
      <c r="C110" s="3" t="str">
        <f>IF(COUNTA(Hoja1!A110:I110)=0,"Sí","No")</f>
        <v>No</v>
      </c>
      <c r="D110" s="3" t="str">
        <f>IF(COUNTBLANK(Hoja1!A110:I110)&gt;0,"Sí","No")</f>
        <v>No</v>
      </c>
      <c r="E110" s="3" t="str">
        <f>IF(COUNTIF(Hoja1!$A$2:$A$1000,Hoja1!A110)&gt;1,"Sí","No")</f>
        <v>No</v>
      </c>
      <c r="F110" s="3" t="str">
        <f>IF(COUNTIF(Hoja1!$G$2:$G$1000,Hoja1!G110)&gt;1,"Sí","No")</f>
        <v>No</v>
      </c>
      <c r="G110" s="3" t="str">
        <f>IF(OR(ISERROR(FIND("@",Hoja1!G110)),ISERROR(FIND(".",Hoja1!G110,FIND("@",Hoja1!G110)))),"Sí","No")</f>
        <v>No</v>
      </c>
      <c r="H110" s="3" t="str">
        <f>IF(LEN(Hoja1!F110)&lt;&gt;14,"Sí","No")</f>
        <v>No</v>
      </c>
      <c r="I110" s="3" t="str">
        <f>IF(Hoja1!C110&gt;Hoja1!H110,"Sí","No")</f>
        <v>No</v>
      </c>
      <c r="J110" s="3" t="str">
        <f>IF(SUMPRODUCT(--ISNUMBER(SEARCH({"0";"1";"2";"3";"4";"5";"6";"7";"8";"9"},Hoja1!D110)))=0,"Sí","No")</f>
        <v>Sí</v>
      </c>
      <c r="K110" s="3" t="str">
        <f t="shared" si="1"/>
        <v>Sí</v>
      </c>
    </row>
    <row r="111" spans="1:11" ht="15" customHeight="1" x14ac:dyDescent="0.3">
      <c r="A111" s="3" t="str">
        <f>Hoja1!A111</f>
        <v>C0110</v>
      </c>
      <c r="B111" s="3" t="str">
        <f>Hoja1!B111</f>
        <v>Jose Francisco Alvarado Pombo</v>
      </c>
      <c r="C111" s="3" t="str">
        <f>IF(COUNTA(Hoja1!A111:I111)=0,"Sí","No")</f>
        <v>No</v>
      </c>
      <c r="D111" s="3" t="str">
        <f>IF(COUNTBLANK(Hoja1!A111:I111)&gt;0,"Sí","No")</f>
        <v>No</v>
      </c>
      <c r="E111" s="3" t="str">
        <f>IF(COUNTIF(Hoja1!$A$2:$A$1000,Hoja1!A111)&gt;1,"Sí","No")</f>
        <v>No</v>
      </c>
      <c r="F111" s="3" t="str">
        <f>IF(COUNTIF(Hoja1!$G$2:$G$1000,Hoja1!G111)&gt;1,"Sí","No")</f>
        <v>No</v>
      </c>
      <c r="G111" s="3" t="str">
        <f>IF(OR(ISERROR(FIND("@",Hoja1!G111)),ISERROR(FIND(".",Hoja1!G111,FIND("@",Hoja1!G111)))),"Sí","No")</f>
        <v>No</v>
      </c>
      <c r="H111" s="3" t="str">
        <f>IF(LEN(Hoja1!F111)&lt;&gt;14,"Sí","No")</f>
        <v>No</v>
      </c>
      <c r="I111" s="3" t="str">
        <f>IF(Hoja1!C111&gt;Hoja1!H111,"Sí","No")</f>
        <v>No</v>
      </c>
      <c r="J111" s="3" t="str">
        <f>IF(SUMPRODUCT(--ISNUMBER(SEARCH({"0";"1";"2";"3";"4";"5";"6";"7";"8";"9"},Hoja1!D111)))=0,"Sí","No")</f>
        <v>No</v>
      </c>
      <c r="K111" s="3" t="str">
        <f t="shared" si="1"/>
        <v>No</v>
      </c>
    </row>
    <row r="112" spans="1:11" ht="15" customHeight="1" x14ac:dyDescent="0.3">
      <c r="A112" s="3" t="str">
        <f>Hoja1!A112</f>
        <v>C0111</v>
      </c>
      <c r="B112" s="3" t="str">
        <f>Hoja1!B112</f>
        <v>Samanta Casandra Borrell Maestre</v>
      </c>
      <c r="C112" s="3" t="str">
        <f>IF(COUNTA(Hoja1!A112:I112)=0,"Sí","No")</f>
        <v>No</v>
      </c>
      <c r="D112" s="3" t="str">
        <f>IF(COUNTBLANK(Hoja1!A112:I112)&gt;0,"Sí","No")</f>
        <v>No</v>
      </c>
      <c r="E112" s="3" t="str">
        <f>IF(COUNTIF(Hoja1!$A$2:$A$1000,Hoja1!A112)&gt;1,"Sí","No")</f>
        <v>No</v>
      </c>
      <c r="F112" s="3" t="str">
        <f>IF(COUNTIF(Hoja1!$G$2:$G$1000,Hoja1!G112)&gt;1,"Sí","No")</f>
        <v>No</v>
      </c>
      <c r="G112" s="3" t="str">
        <f>IF(OR(ISERROR(FIND("@",Hoja1!G112)),ISERROR(FIND(".",Hoja1!G112,FIND("@",Hoja1!G112)))),"Sí","No")</f>
        <v>No</v>
      </c>
      <c r="H112" s="3" t="str">
        <f>IF(LEN(Hoja1!F112)&lt;&gt;14,"Sí","No")</f>
        <v>No</v>
      </c>
      <c r="I112" s="3" t="str">
        <f>IF(Hoja1!C112&gt;Hoja1!H112,"Sí","No")</f>
        <v>No</v>
      </c>
      <c r="J112" s="3" t="str">
        <f>IF(SUMPRODUCT(--ISNUMBER(SEARCH({"0";"1";"2";"3";"4";"5";"6";"7";"8";"9"},Hoja1!D112)))=0,"Sí","No")</f>
        <v>No</v>
      </c>
      <c r="K112" s="3" t="str">
        <f t="shared" si="1"/>
        <v>No</v>
      </c>
    </row>
    <row r="113" spans="1:11" ht="15" customHeight="1" x14ac:dyDescent="0.3">
      <c r="A113" s="3" t="str">
        <f>Hoja1!A113</f>
        <v>C0112</v>
      </c>
      <c r="B113" s="3" t="str">
        <f>Hoja1!B113</f>
        <v>Emilia María Luisa Lluch Vives</v>
      </c>
      <c r="C113" s="3" t="str">
        <f>IF(COUNTA(Hoja1!A113:I113)=0,"Sí","No")</f>
        <v>No</v>
      </c>
      <c r="D113" s="3" t="str">
        <f>IF(COUNTBLANK(Hoja1!A113:I113)&gt;0,"Sí","No")</f>
        <v>No</v>
      </c>
      <c r="E113" s="3" t="str">
        <f>IF(COUNTIF(Hoja1!$A$2:$A$1000,Hoja1!A113)&gt;1,"Sí","No")</f>
        <v>No</v>
      </c>
      <c r="F113" s="3" t="str">
        <f>IF(COUNTIF(Hoja1!$G$2:$G$1000,Hoja1!G113)&gt;1,"Sí","No")</f>
        <v>No</v>
      </c>
      <c r="G113" s="3" t="str">
        <f>IF(OR(ISERROR(FIND("@",Hoja1!G113)),ISERROR(FIND(".",Hoja1!G113,FIND("@",Hoja1!G113)))),"Sí","No")</f>
        <v>No</v>
      </c>
      <c r="H113" s="3" t="str">
        <f>IF(LEN(Hoja1!F113)&lt;&gt;14,"Sí","No")</f>
        <v>No</v>
      </c>
      <c r="I113" s="3" t="str">
        <f>IF(Hoja1!C113&gt;Hoja1!H113,"Sí","No")</f>
        <v>No</v>
      </c>
      <c r="J113" s="3" t="str">
        <f>IF(SUMPRODUCT(--ISNUMBER(SEARCH({"0";"1";"2";"3";"4";"5";"6";"7";"8";"9"},Hoja1!D113)))=0,"Sí","No")</f>
        <v>Sí</v>
      </c>
      <c r="K113" s="3" t="str">
        <f t="shared" si="1"/>
        <v>Sí</v>
      </c>
    </row>
    <row r="114" spans="1:11" ht="15" customHeight="1" x14ac:dyDescent="0.3">
      <c r="A114" s="3" t="str">
        <f>Hoja1!A114</f>
        <v>C0113</v>
      </c>
      <c r="B114" s="3" t="str">
        <f>Hoja1!B114</f>
        <v>Esteban Guillén Mena</v>
      </c>
      <c r="C114" s="3" t="str">
        <f>IF(COUNTA(Hoja1!A114:I114)=0,"Sí","No")</f>
        <v>No</v>
      </c>
      <c r="D114" s="3" t="str">
        <f>IF(COUNTBLANK(Hoja1!A114:I114)&gt;0,"Sí","No")</f>
        <v>No</v>
      </c>
      <c r="E114" s="3" t="str">
        <f>IF(COUNTIF(Hoja1!$A$2:$A$1000,Hoja1!A114)&gt;1,"Sí","No")</f>
        <v>No</v>
      </c>
      <c r="F114" s="3" t="str">
        <f>IF(COUNTIF(Hoja1!$G$2:$G$1000,Hoja1!G114)&gt;1,"Sí","No")</f>
        <v>No</v>
      </c>
      <c r="G114" s="3" t="str">
        <f>IF(OR(ISERROR(FIND("@",Hoja1!G114)),ISERROR(FIND(".",Hoja1!G114,FIND("@",Hoja1!G114)))),"Sí","No")</f>
        <v>No</v>
      </c>
      <c r="H114" s="3" t="str">
        <f>IF(LEN(Hoja1!F114)&lt;&gt;14,"Sí","No")</f>
        <v>No</v>
      </c>
      <c r="I114" s="3" t="str">
        <f>IF(Hoja1!C114&gt;Hoja1!H114,"Sí","No")</f>
        <v>No</v>
      </c>
      <c r="J114" s="3" t="str">
        <f>IF(SUMPRODUCT(--ISNUMBER(SEARCH({"0";"1";"2";"3";"4";"5";"6";"7";"8";"9"},Hoja1!D114)))=0,"Sí","No")</f>
        <v>No</v>
      </c>
      <c r="K114" s="3" t="str">
        <f t="shared" si="1"/>
        <v>No</v>
      </c>
    </row>
    <row r="115" spans="1:11" ht="15" customHeight="1" x14ac:dyDescent="0.3">
      <c r="A115" s="3" t="str">
        <f>Hoja1!A115</f>
        <v>C0114</v>
      </c>
      <c r="B115" s="3" t="str">
        <f>Hoja1!B115</f>
        <v>Josué Rocha Juan</v>
      </c>
      <c r="C115" s="3" t="str">
        <f>IF(COUNTA(Hoja1!A115:I115)=0,"Sí","No")</f>
        <v>No</v>
      </c>
      <c r="D115" s="3" t="str">
        <f>IF(COUNTBLANK(Hoja1!A115:I115)&gt;0,"Sí","No")</f>
        <v>No</v>
      </c>
      <c r="E115" s="3" t="str">
        <f>IF(COUNTIF(Hoja1!$A$2:$A$1000,Hoja1!A115)&gt;1,"Sí","No")</f>
        <v>No</v>
      </c>
      <c r="F115" s="3" t="str">
        <f>IF(COUNTIF(Hoja1!$G$2:$G$1000,Hoja1!G115)&gt;1,"Sí","No")</f>
        <v>No</v>
      </c>
      <c r="G115" s="3" t="str">
        <f>IF(OR(ISERROR(FIND("@",Hoja1!G115)),ISERROR(FIND(".",Hoja1!G115,FIND("@",Hoja1!G115)))),"Sí","No")</f>
        <v>No</v>
      </c>
      <c r="H115" s="3" t="str">
        <f>IF(LEN(Hoja1!F115)&lt;&gt;14,"Sí","No")</f>
        <v>No</v>
      </c>
      <c r="I115" s="3" t="str">
        <f>IF(Hoja1!C115&gt;Hoja1!H115,"Sí","No")</f>
        <v>No</v>
      </c>
      <c r="J115" s="3" t="str">
        <f>IF(SUMPRODUCT(--ISNUMBER(SEARCH({"0";"1";"2";"3";"4";"5";"6";"7";"8";"9"},Hoja1!D115)))=0,"Sí","No")</f>
        <v>No</v>
      </c>
      <c r="K115" s="3" t="str">
        <f t="shared" si="1"/>
        <v>No</v>
      </c>
    </row>
    <row r="116" spans="1:11" ht="15" customHeight="1" x14ac:dyDescent="0.3">
      <c r="A116" s="3" t="str">
        <f>Hoja1!A116</f>
        <v>C0115</v>
      </c>
      <c r="B116" s="3" t="str">
        <f>Hoja1!B116</f>
        <v>Encarnación Alemán-Prats</v>
      </c>
      <c r="C116" s="3" t="str">
        <f>IF(COUNTA(Hoja1!A116:I116)=0,"Sí","No")</f>
        <v>No</v>
      </c>
      <c r="D116" s="3" t="str">
        <f>IF(COUNTBLANK(Hoja1!A116:I116)&gt;0,"Sí","No")</f>
        <v>No</v>
      </c>
      <c r="E116" s="3" t="str">
        <f>IF(COUNTIF(Hoja1!$A$2:$A$1000,Hoja1!A116)&gt;1,"Sí","No")</f>
        <v>No</v>
      </c>
      <c r="F116" s="3" t="str">
        <f>IF(COUNTIF(Hoja1!$G$2:$G$1000,Hoja1!G116)&gt;1,"Sí","No")</f>
        <v>No</v>
      </c>
      <c r="G116" s="3" t="str">
        <f>IF(OR(ISERROR(FIND("@",Hoja1!G116)),ISERROR(FIND(".",Hoja1!G116,FIND("@",Hoja1!G116)))),"Sí","No")</f>
        <v>No</v>
      </c>
      <c r="H116" s="3" t="str">
        <f>IF(LEN(Hoja1!F116)&lt;&gt;14,"Sí","No")</f>
        <v>No</v>
      </c>
      <c r="I116" s="3" t="str">
        <f>IF(Hoja1!C116&gt;Hoja1!H116,"Sí","No")</f>
        <v>No</v>
      </c>
      <c r="J116" s="3" t="str">
        <f>IF(SUMPRODUCT(--ISNUMBER(SEARCH({"0";"1";"2";"3";"4";"5";"6";"7";"8";"9"},Hoja1!D116)))=0,"Sí","No")</f>
        <v>Sí</v>
      </c>
      <c r="K116" s="3" t="str">
        <f t="shared" si="1"/>
        <v>Sí</v>
      </c>
    </row>
    <row r="117" spans="1:11" ht="15" customHeight="1" x14ac:dyDescent="0.3">
      <c r="A117" s="3" t="str">
        <f>Hoja1!A117</f>
        <v>C0116</v>
      </c>
      <c r="B117" s="3" t="str">
        <f>Hoja1!B117</f>
        <v>Celia Verdú</v>
      </c>
      <c r="C117" s="3" t="str">
        <f>IF(COUNTA(Hoja1!A117:I117)=0,"Sí","No")</f>
        <v>No</v>
      </c>
      <c r="D117" s="3" t="str">
        <f>IF(COUNTBLANK(Hoja1!A117:I117)&gt;0,"Sí","No")</f>
        <v>No</v>
      </c>
      <c r="E117" s="3" t="str">
        <f>IF(COUNTIF(Hoja1!$A$2:$A$1000,Hoja1!A117)&gt;1,"Sí","No")</f>
        <v>No</v>
      </c>
      <c r="F117" s="3" t="str">
        <f>IF(COUNTIF(Hoja1!$G$2:$G$1000,Hoja1!G117)&gt;1,"Sí","No")</f>
        <v>No</v>
      </c>
      <c r="G117" s="3" t="str">
        <f>IF(OR(ISERROR(FIND("@",Hoja1!G117)),ISERROR(FIND(".",Hoja1!G117,FIND("@",Hoja1!G117)))),"Sí","No")</f>
        <v>No</v>
      </c>
      <c r="H117" s="3" t="str">
        <f>IF(LEN(Hoja1!F117)&lt;&gt;14,"Sí","No")</f>
        <v>No</v>
      </c>
      <c r="I117" s="3" t="str">
        <f>IF(Hoja1!C117&gt;Hoja1!H117,"Sí","No")</f>
        <v>No</v>
      </c>
      <c r="J117" s="3" t="str">
        <f>IF(SUMPRODUCT(--ISNUMBER(SEARCH({"0";"1";"2";"3";"4";"5";"6";"7";"8";"9"},Hoja1!D117)))=0,"Sí","No")</f>
        <v>No</v>
      </c>
      <c r="K117" s="3" t="str">
        <f t="shared" si="1"/>
        <v>No</v>
      </c>
    </row>
    <row r="118" spans="1:11" ht="15" customHeight="1" x14ac:dyDescent="0.3">
      <c r="A118" s="3" t="str">
        <f>Hoja1!A118</f>
        <v>C0117</v>
      </c>
      <c r="B118" s="3" t="str">
        <f>Hoja1!B118</f>
        <v>Espiridión del Viñas</v>
      </c>
      <c r="C118" s="3" t="str">
        <f>IF(COUNTA(Hoja1!A118:I118)=0,"Sí","No")</f>
        <v>No</v>
      </c>
      <c r="D118" s="3" t="str">
        <f>IF(COUNTBLANK(Hoja1!A118:I118)&gt;0,"Sí","No")</f>
        <v>No</v>
      </c>
      <c r="E118" s="3" t="str">
        <f>IF(COUNTIF(Hoja1!$A$2:$A$1000,Hoja1!A118)&gt;1,"Sí","No")</f>
        <v>No</v>
      </c>
      <c r="F118" s="3" t="str">
        <f>IF(COUNTIF(Hoja1!$G$2:$G$1000,Hoja1!G118)&gt;1,"Sí","No")</f>
        <v>No</v>
      </c>
      <c r="G118" s="3" t="str">
        <f>IF(OR(ISERROR(FIND("@",Hoja1!G118)),ISERROR(FIND(".",Hoja1!G118,FIND("@",Hoja1!G118)))),"Sí","No")</f>
        <v>No</v>
      </c>
      <c r="H118" s="3" t="str">
        <f>IF(LEN(Hoja1!F118)&lt;&gt;14,"Sí","No")</f>
        <v>No</v>
      </c>
      <c r="I118" s="3" t="str">
        <f>IF(Hoja1!C118&gt;Hoja1!H118,"Sí","No")</f>
        <v>No</v>
      </c>
      <c r="J118" s="3" t="str">
        <f>IF(SUMPRODUCT(--ISNUMBER(SEARCH({"0";"1";"2";"3";"4";"5";"6";"7";"8";"9"},Hoja1!D118)))=0,"Sí","No")</f>
        <v>No</v>
      </c>
      <c r="K118" s="3" t="str">
        <f t="shared" si="1"/>
        <v>No</v>
      </c>
    </row>
    <row r="119" spans="1:11" ht="15" customHeight="1" x14ac:dyDescent="0.3">
      <c r="A119" s="3" t="str">
        <f>Hoja1!A119</f>
        <v>C0118</v>
      </c>
      <c r="B119" s="3" t="str">
        <f>Hoja1!B119</f>
        <v>Melania Lobato-Mena</v>
      </c>
      <c r="C119" s="3" t="str">
        <f>IF(COUNTA(Hoja1!A119:I119)=0,"Sí","No")</f>
        <v>No</v>
      </c>
      <c r="D119" s="3" t="str">
        <f>IF(COUNTBLANK(Hoja1!A119:I119)&gt;0,"Sí","No")</f>
        <v>No</v>
      </c>
      <c r="E119" s="3" t="str">
        <f>IF(COUNTIF(Hoja1!$A$2:$A$1000,Hoja1!A119)&gt;1,"Sí","No")</f>
        <v>No</v>
      </c>
      <c r="F119" s="3" t="str">
        <f>IF(COUNTIF(Hoja1!$G$2:$G$1000,Hoja1!G119)&gt;1,"Sí","No")</f>
        <v>No</v>
      </c>
      <c r="G119" s="3" t="str">
        <f>IF(OR(ISERROR(FIND("@",Hoja1!G119)),ISERROR(FIND(".",Hoja1!G119,FIND("@",Hoja1!G119)))),"Sí","No")</f>
        <v>No</v>
      </c>
      <c r="H119" s="3" t="str">
        <f>IF(LEN(Hoja1!F119)&lt;&gt;14,"Sí","No")</f>
        <v>No</v>
      </c>
      <c r="I119" s="3" t="str">
        <f>IF(Hoja1!C119&gt;Hoja1!H119,"Sí","No")</f>
        <v>No</v>
      </c>
      <c r="J119" s="3" t="str">
        <f>IF(SUMPRODUCT(--ISNUMBER(SEARCH({"0";"1";"2";"3";"4";"5";"6";"7";"8";"9"},Hoja1!D119)))=0,"Sí","No")</f>
        <v>No</v>
      </c>
      <c r="K119" s="3" t="str">
        <f t="shared" si="1"/>
        <v>No</v>
      </c>
    </row>
    <row r="120" spans="1:11" ht="15" customHeight="1" x14ac:dyDescent="0.3">
      <c r="A120" s="3" t="str">
        <f>Hoja1!A120</f>
        <v>C0119</v>
      </c>
      <c r="B120" s="3" t="str">
        <f>Hoja1!B120</f>
        <v>Sosimo Roig Bayo</v>
      </c>
      <c r="C120" s="3" t="str">
        <f>IF(COUNTA(Hoja1!A120:I120)=0,"Sí","No")</f>
        <v>No</v>
      </c>
      <c r="D120" s="3" t="str">
        <f>IF(COUNTBLANK(Hoja1!A120:I120)&gt;0,"Sí","No")</f>
        <v>No</v>
      </c>
      <c r="E120" s="3" t="str">
        <f>IF(COUNTIF(Hoja1!$A$2:$A$1000,Hoja1!A120)&gt;1,"Sí","No")</f>
        <v>No</v>
      </c>
      <c r="F120" s="3" t="str">
        <f>IF(COUNTIF(Hoja1!$G$2:$G$1000,Hoja1!G120)&gt;1,"Sí","No")</f>
        <v>No</v>
      </c>
      <c r="G120" s="3" t="str">
        <f>IF(OR(ISERROR(FIND("@",Hoja1!G120)),ISERROR(FIND(".",Hoja1!G120,FIND("@",Hoja1!G120)))),"Sí","No")</f>
        <v>No</v>
      </c>
      <c r="H120" s="3" t="str">
        <f>IF(LEN(Hoja1!F120)&lt;&gt;14,"Sí","No")</f>
        <v>No</v>
      </c>
      <c r="I120" s="3" t="str">
        <f>IF(Hoja1!C120&gt;Hoja1!H120,"Sí","No")</f>
        <v>No</v>
      </c>
      <c r="J120" s="3" t="str">
        <f>IF(SUMPRODUCT(--ISNUMBER(SEARCH({"0";"1";"2";"3";"4";"5";"6";"7";"8";"9"},Hoja1!D120)))=0,"Sí","No")</f>
        <v>No</v>
      </c>
      <c r="K120" s="3" t="str">
        <f t="shared" si="1"/>
        <v>No</v>
      </c>
    </row>
    <row r="121" spans="1:11" ht="15" customHeight="1" x14ac:dyDescent="0.3">
      <c r="A121" s="3" t="str">
        <f>Hoja1!A121</f>
        <v>C0120</v>
      </c>
      <c r="B121" s="3" t="str">
        <f>Hoja1!B121</f>
        <v>Abel Carrasco-Belda</v>
      </c>
      <c r="C121" s="3" t="str">
        <f>IF(COUNTA(Hoja1!A121:I121)=0,"Sí","No")</f>
        <v>No</v>
      </c>
      <c r="D121" s="3" t="str">
        <f>IF(COUNTBLANK(Hoja1!A121:I121)&gt;0,"Sí","No")</f>
        <v>No</v>
      </c>
      <c r="E121" s="3" t="str">
        <f>IF(COUNTIF(Hoja1!$A$2:$A$1000,Hoja1!A121)&gt;1,"Sí","No")</f>
        <v>No</v>
      </c>
      <c r="F121" s="3" t="str">
        <f>IF(COUNTIF(Hoja1!$G$2:$G$1000,Hoja1!G121)&gt;1,"Sí","No")</f>
        <v>No</v>
      </c>
      <c r="G121" s="3" t="str">
        <f>IF(OR(ISERROR(FIND("@",Hoja1!G121)),ISERROR(FIND(".",Hoja1!G121,FIND("@",Hoja1!G121)))),"Sí","No")</f>
        <v>No</v>
      </c>
      <c r="H121" s="3" t="str">
        <f>IF(LEN(Hoja1!F121)&lt;&gt;14,"Sí","No")</f>
        <v>No</v>
      </c>
      <c r="I121" s="3" t="str">
        <f>IF(Hoja1!C121&gt;Hoja1!H121,"Sí","No")</f>
        <v>No</v>
      </c>
      <c r="J121" s="3" t="str">
        <f>IF(SUMPRODUCT(--ISNUMBER(SEARCH({"0";"1";"2";"3";"4";"5";"6";"7";"8";"9"},Hoja1!D121)))=0,"Sí","No")</f>
        <v>No</v>
      </c>
      <c r="K121" s="3" t="str">
        <f t="shared" si="1"/>
        <v>No</v>
      </c>
    </row>
    <row r="122" spans="1:11" ht="15" customHeight="1" x14ac:dyDescent="0.3">
      <c r="A122" s="3" t="str">
        <f>Hoja1!A122</f>
        <v>C0121</v>
      </c>
      <c r="B122" s="3" t="str">
        <f>Hoja1!B122</f>
        <v>Alicia Celestina Ibáñez Santana</v>
      </c>
      <c r="C122" s="3" t="str">
        <f>IF(COUNTA(Hoja1!A122:I122)=0,"Sí","No")</f>
        <v>No</v>
      </c>
      <c r="D122" s="3" t="str">
        <f>IF(COUNTBLANK(Hoja1!A122:I122)&gt;0,"Sí","No")</f>
        <v>No</v>
      </c>
      <c r="E122" s="3" t="str">
        <f>IF(COUNTIF(Hoja1!$A$2:$A$1000,Hoja1!A122)&gt;1,"Sí","No")</f>
        <v>No</v>
      </c>
      <c r="F122" s="3" t="str">
        <f>IF(COUNTIF(Hoja1!$G$2:$G$1000,Hoja1!G122)&gt;1,"Sí","No")</f>
        <v>No</v>
      </c>
      <c r="G122" s="3" t="str">
        <f>IF(OR(ISERROR(FIND("@",Hoja1!G122)),ISERROR(FIND(".",Hoja1!G122,FIND("@",Hoja1!G122)))),"Sí","No")</f>
        <v>No</v>
      </c>
      <c r="H122" s="3" t="str">
        <f>IF(LEN(Hoja1!F122)&lt;&gt;14,"Sí","No")</f>
        <v>No</v>
      </c>
      <c r="I122" s="3" t="str">
        <f>IF(Hoja1!C122&gt;Hoja1!H122,"Sí","No")</f>
        <v>No</v>
      </c>
      <c r="J122" s="3" t="str">
        <f>IF(SUMPRODUCT(--ISNUMBER(SEARCH({"0";"1";"2";"3";"4";"5";"6";"7";"8";"9"},Hoja1!D122)))=0,"Sí","No")</f>
        <v>No</v>
      </c>
      <c r="K122" s="3" t="str">
        <f t="shared" si="1"/>
        <v>No</v>
      </c>
    </row>
    <row r="123" spans="1:11" ht="15" customHeight="1" x14ac:dyDescent="0.3">
      <c r="A123" s="3" t="str">
        <f>Hoja1!A123</f>
        <v>C0122</v>
      </c>
      <c r="B123" s="3" t="str">
        <f>Hoja1!B123</f>
        <v>Conrado Torre</v>
      </c>
      <c r="C123" s="3" t="str">
        <f>IF(COUNTA(Hoja1!A123:I123)=0,"Sí","No")</f>
        <v>No</v>
      </c>
      <c r="D123" s="3" t="str">
        <f>IF(COUNTBLANK(Hoja1!A123:I123)&gt;0,"Sí","No")</f>
        <v>No</v>
      </c>
      <c r="E123" s="3" t="str">
        <f>IF(COUNTIF(Hoja1!$A$2:$A$1000,Hoja1!A123)&gt;1,"Sí","No")</f>
        <v>No</v>
      </c>
      <c r="F123" s="3" t="str">
        <f>IF(COUNTIF(Hoja1!$G$2:$G$1000,Hoja1!G123)&gt;1,"Sí","No")</f>
        <v>No</v>
      </c>
      <c r="G123" s="3" t="str">
        <f>IF(OR(ISERROR(FIND("@",Hoja1!G123)),ISERROR(FIND(".",Hoja1!G123,FIND("@",Hoja1!G123)))),"Sí","No")</f>
        <v>No</v>
      </c>
      <c r="H123" s="3" t="str">
        <f>IF(LEN(Hoja1!F123)&lt;&gt;14,"Sí","No")</f>
        <v>No</v>
      </c>
      <c r="I123" s="3" t="str">
        <f>IF(Hoja1!C123&gt;Hoja1!H123,"Sí","No")</f>
        <v>No</v>
      </c>
      <c r="J123" s="3" t="str">
        <f>IF(SUMPRODUCT(--ISNUMBER(SEARCH({"0";"1";"2";"3";"4";"5";"6";"7";"8";"9"},Hoja1!D123)))=0,"Sí","No")</f>
        <v>No</v>
      </c>
      <c r="K123" s="3" t="str">
        <f t="shared" si="1"/>
        <v>No</v>
      </c>
    </row>
    <row r="124" spans="1:11" ht="15" customHeight="1" x14ac:dyDescent="0.3">
      <c r="A124" s="3" t="str">
        <f>Hoja1!A124</f>
        <v>C0123</v>
      </c>
      <c r="B124" s="3" t="str">
        <f>Hoja1!B124</f>
        <v>Leoncio Pombo Nadal</v>
      </c>
      <c r="C124" s="3" t="str">
        <f>IF(COUNTA(Hoja1!A124:I124)=0,"Sí","No")</f>
        <v>No</v>
      </c>
      <c r="D124" s="3" t="str">
        <f>IF(COUNTBLANK(Hoja1!A124:I124)&gt;0,"Sí","No")</f>
        <v>No</v>
      </c>
      <c r="E124" s="3" t="str">
        <f>IF(COUNTIF(Hoja1!$A$2:$A$1000,Hoja1!A124)&gt;1,"Sí","No")</f>
        <v>No</v>
      </c>
      <c r="F124" s="3" t="str">
        <f>IF(COUNTIF(Hoja1!$G$2:$G$1000,Hoja1!G124)&gt;1,"Sí","No")</f>
        <v>No</v>
      </c>
      <c r="G124" s="3" t="str">
        <f>IF(OR(ISERROR(FIND("@",Hoja1!G124)),ISERROR(FIND(".",Hoja1!G124,FIND("@",Hoja1!G124)))),"Sí","No")</f>
        <v>No</v>
      </c>
      <c r="H124" s="3" t="str">
        <f>IF(LEN(Hoja1!F124)&lt;&gt;14,"Sí","No")</f>
        <v>No</v>
      </c>
      <c r="I124" s="3" t="str">
        <f>IF(Hoja1!C124&gt;Hoja1!H124,"Sí","No")</f>
        <v>No</v>
      </c>
      <c r="J124" s="3" t="str">
        <f>IF(SUMPRODUCT(--ISNUMBER(SEARCH({"0";"1";"2";"3";"4";"5";"6";"7";"8";"9"},Hoja1!D124)))=0,"Sí","No")</f>
        <v>No</v>
      </c>
      <c r="K124" s="3" t="str">
        <f t="shared" si="1"/>
        <v>No</v>
      </c>
    </row>
    <row r="125" spans="1:11" ht="15" customHeight="1" x14ac:dyDescent="0.3">
      <c r="A125" s="3" t="str">
        <f>Hoja1!A125</f>
        <v>C0124</v>
      </c>
      <c r="B125" s="3" t="str">
        <f>Hoja1!B125</f>
        <v>Marcia Tomas</v>
      </c>
      <c r="C125" s="3" t="str">
        <f>IF(COUNTA(Hoja1!A125:I125)=0,"Sí","No")</f>
        <v>No</v>
      </c>
      <c r="D125" s="3" t="str">
        <f>IF(COUNTBLANK(Hoja1!A125:I125)&gt;0,"Sí","No")</f>
        <v>No</v>
      </c>
      <c r="E125" s="3" t="str">
        <f>IF(COUNTIF(Hoja1!$A$2:$A$1000,Hoja1!A125)&gt;1,"Sí","No")</f>
        <v>No</v>
      </c>
      <c r="F125" s="3" t="str">
        <f>IF(COUNTIF(Hoja1!$G$2:$G$1000,Hoja1!G125)&gt;1,"Sí","No")</f>
        <v>No</v>
      </c>
      <c r="G125" s="3" t="str">
        <f>IF(OR(ISERROR(FIND("@",Hoja1!G125)),ISERROR(FIND(".",Hoja1!G125,FIND("@",Hoja1!G125)))),"Sí","No")</f>
        <v>No</v>
      </c>
      <c r="H125" s="3" t="str">
        <f>IF(LEN(Hoja1!F125)&lt;&gt;14,"Sí","No")</f>
        <v>No</v>
      </c>
      <c r="I125" s="3" t="str">
        <f>IF(Hoja1!C125&gt;Hoja1!H125,"Sí","No")</f>
        <v>No</v>
      </c>
      <c r="J125" s="3" t="str">
        <f>IF(SUMPRODUCT(--ISNUMBER(SEARCH({"0";"1";"2";"3";"4";"5";"6";"7";"8";"9"},Hoja1!D125)))=0,"Sí","No")</f>
        <v>No</v>
      </c>
      <c r="K125" s="3" t="str">
        <f t="shared" si="1"/>
        <v>No</v>
      </c>
    </row>
    <row r="126" spans="1:11" ht="15" customHeight="1" x14ac:dyDescent="0.3">
      <c r="A126" s="3" t="str">
        <f>Hoja1!A126</f>
        <v>C0125</v>
      </c>
      <c r="B126" s="3" t="str">
        <f>Hoja1!B126</f>
        <v>Aurelia del Ocaña</v>
      </c>
      <c r="C126" s="3" t="str">
        <f>IF(COUNTA(Hoja1!A126:I126)=0,"Sí","No")</f>
        <v>No</v>
      </c>
      <c r="D126" s="3" t="str">
        <f>IF(COUNTBLANK(Hoja1!A126:I126)&gt;0,"Sí","No")</f>
        <v>No</v>
      </c>
      <c r="E126" s="3" t="str">
        <f>IF(COUNTIF(Hoja1!$A$2:$A$1000,Hoja1!A126)&gt;1,"Sí","No")</f>
        <v>No</v>
      </c>
      <c r="F126" s="3" t="str">
        <f>IF(COUNTIF(Hoja1!$G$2:$G$1000,Hoja1!G126)&gt;1,"Sí","No")</f>
        <v>No</v>
      </c>
      <c r="G126" s="3" t="str">
        <f>IF(OR(ISERROR(FIND("@",Hoja1!G126)),ISERROR(FIND(".",Hoja1!G126,FIND("@",Hoja1!G126)))),"Sí","No")</f>
        <v>No</v>
      </c>
      <c r="H126" s="3" t="str">
        <f>IF(LEN(Hoja1!F126)&lt;&gt;14,"Sí","No")</f>
        <v>No</v>
      </c>
      <c r="I126" s="3" t="str">
        <f>IF(Hoja1!C126&gt;Hoja1!H126,"Sí","No")</f>
        <v>No</v>
      </c>
      <c r="J126" s="3" t="str">
        <f>IF(SUMPRODUCT(--ISNUMBER(SEARCH({"0";"1";"2";"3";"4";"5";"6";"7";"8";"9"},Hoja1!D126)))=0,"Sí","No")</f>
        <v>No</v>
      </c>
      <c r="K126" s="3" t="str">
        <f t="shared" si="1"/>
        <v>No</v>
      </c>
    </row>
    <row r="127" spans="1:11" ht="15" customHeight="1" x14ac:dyDescent="0.3">
      <c r="A127" s="3" t="str">
        <f>Hoja1!A127</f>
        <v>C0126</v>
      </c>
      <c r="B127" s="3" t="str">
        <f>Hoja1!B127</f>
        <v>Porfirio Cases Fabregat</v>
      </c>
      <c r="C127" s="3" t="str">
        <f>IF(COUNTA(Hoja1!A127:I127)=0,"Sí","No")</f>
        <v>No</v>
      </c>
      <c r="D127" s="3" t="str">
        <f>IF(COUNTBLANK(Hoja1!A127:I127)&gt;0,"Sí","No")</f>
        <v>No</v>
      </c>
      <c r="E127" s="3" t="str">
        <f>IF(COUNTIF(Hoja1!$A$2:$A$1000,Hoja1!A127)&gt;1,"Sí","No")</f>
        <v>No</v>
      </c>
      <c r="F127" s="3" t="str">
        <f>IF(COUNTIF(Hoja1!$G$2:$G$1000,Hoja1!G127)&gt;1,"Sí","No")</f>
        <v>No</v>
      </c>
      <c r="G127" s="3" t="str">
        <f>IF(OR(ISERROR(FIND("@",Hoja1!G127)),ISERROR(FIND(".",Hoja1!G127,FIND("@",Hoja1!G127)))),"Sí","No")</f>
        <v>No</v>
      </c>
      <c r="H127" s="3" t="str">
        <f>IF(LEN(Hoja1!F127)&lt;&gt;14,"Sí","No")</f>
        <v>No</v>
      </c>
      <c r="I127" s="3" t="str">
        <f>IF(Hoja1!C127&gt;Hoja1!H127,"Sí","No")</f>
        <v>No</v>
      </c>
      <c r="J127" s="3" t="str">
        <f>IF(SUMPRODUCT(--ISNUMBER(SEARCH({"0";"1";"2";"3";"4";"5";"6";"7";"8";"9"},Hoja1!D127)))=0,"Sí","No")</f>
        <v>No</v>
      </c>
      <c r="K127" s="3" t="str">
        <f t="shared" si="1"/>
        <v>No</v>
      </c>
    </row>
    <row r="128" spans="1:11" ht="15" customHeight="1" x14ac:dyDescent="0.3">
      <c r="A128" s="3" t="str">
        <f>Hoja1!A128</f>
        <v>C0127</v>
      </c>
      <c r="B128" s="3" t="str">
        <f>Hoja1!B128</f>
        <v>Maristela Mármol</v>
      </c>
      <c r="C128" s="3" t="str">
        <f>IF(COUNTA(Hoja1!A128:I128)=0,"Sí","No")</f>
        <v>No</v>
      </c>
      <c r="D128" s="3" t="str">
        <f>IF(COUNTBLANK(Hoja1!A128:I128)&gt;0,"Sí","No")</f>
        <v>No</v>
      </c>
      <c r="E128" s="3" t="str">
        <f>IF(COUNTIF(Hoja1!$A$2:$A$1000,Hoja1!A128)&gt;1,"Sí","No")</f>
        <v>No</v>
      </c>
      <c r="F128" s="3" t="str">
        <f>IF(COUNTIF(Hoja1!$G$2:$G$1000,Hoja1!G128)&gt;1,"Sí","No")</f>
        <v>No</v>
      </c>
      <c r="G128" s="3" t="str">
        <f>IF(OR(ISERROR(FIND("@",Hoja1!G128)),ISERROR(FIND(".",Hoja1!G128,FIND("@",Hoja1!G128)))),"Sí","No")</f>
        <v>No</v>
      </c>
      <c r="H128" s="3" t="str">
        <f>IF(LEN(Hoja1!F128)&lt;&gt;14,"Sí","No")</f>
        <v>No</v>
      </c>
      <c r="I128" s="3" t="str">
        <f>IF(Hoja1!C128&gt;Hoja1!H128,"Sí","No")</f>
        <v>No</v>
      </c>
      <c r="J128" s="3" t="str">
        <f>IF(SUMPRODUCT(--ISNUMBER(SEARCH({"0";"1";"2";"3";"4";"5";"6";"7";"8";"9"},Hoja1!D128)))=0,"Sí","No")</f>
        <v>No</v>
      </c>
      <c r="K128" s="3" t="str">
        <f t="shared" si="1"/>
        <v>No</v>
      </c>
    </row>
    <row r="129" spans="1:11" ht="15" customHeight="1" x14ac:dyDescent="0.3">
      <c r="A129" s="3" t="str">
        <f>Hoja1!A129</f>
        <v>C0128</v>
      </c>
      <c r="B129" s="3" t="str">
        <f>Hoja1!B129</f>
        <v>Leticia Azorin Cortina</v>
      </c>
      <c r="C129" s="3" t="str">
        <f>IF(COUNTA(Hoja1!A129:I129)=0,"Sí","No")</f>
        <v>No</v>
      </c>
      <c r="D129" s="3" t="str">
        <f>IF(COUNTBLANK(Hoja1!A129:I129)&gt;0,"Sí","No")</f>
        <v>No</v>
      </c>
      <c r="E129" s="3" t="str">
        <f>IF(COUNTIF(Hoja1!$A$2:$A$1000,Hoja1!A129)&gt;1,"Sí","No")</f>
        <v>No</v>
      </c>
      <c r="F129" s="3" t="str">
        <f>IF(COUNTIF(Hoja1!$G$2:$G$1000,Hoja1!G129)&gt;1,"Sí","No")</f>
        <v>Sí</v>
      </c>
      <c r="G129" s="3" t="str">
        <f>IF(OR(ISERROR(FIND("@",Hoja1!G129)),ISERROR(FIND(".",Hoja1!G129,FIND("@",Hoja1!G129)))),"Sí","No")</f>
        <v>No</v>
      </c>
      <c r="H129" s="3" t="str">
        <f>IF(LEN(Hoja1!F129)&lt;&gt;14,"Sí","No")</f>
        <v>No</v>
      </c>
      <c r="I129" s="3" t="str">
        <f>IF(Hoja1!C129&gt;Hoja1!H129,"Sí","No")</f>
        <v>No</v>
      </c>
      <c r="J129" s="3" t="str">
        <f>IF(SUMPRODUCT(--ISNUMBER(SEARCH({"0";"1";"2";"3";"4";"5";"6";"7";"8";"9"},Hoja1!D129)))=0,"Sí","No")</f>
        <v>No</v>
      </c>
      <c r="K129" s="3" t="str">
        <f t="shared" si="1"/>
        <v>Sí</v>
      </c>
    </row>
    <row r="130" spans="1:11" ht="15" customHeight="1" x14ac:dyDescent="0.3">
      <c r="A130" s="3" t="str">
        <f>Hoja1!A130</f>
        <v>C0129</v>
      </c>
      <c r="B130" s="3" t="str">
        <f>Hoja1!B130</f>
        <v>Régulo de Sacristán</v>
      </c>
      <c r="C130" s="3" t="str">
        <f>IF(COUNTA(Hoja1!A130:I130)=0,"Sí","No")</f>
        <v>No</v>
      </c>
      <c r="D130" s="3" t="str">
        <f>IF(COUNTBLANK(Hoja1!A130:I130)&gt;0,"Sí","No")</f>
        <v>No</v>
      </c>
      <c r="E130" s="3" t="str">
        <f>IF(COUNTIF(Hoja1!$A$2:$A$1000,Hoja1!A130)&gt;1,"Sí","No")</f>
        <v>No</v>
      </c>
      <c r="F130" s="3" t="str">
        <f>IF(COUNTIF(Hoja1!$G$2:$G$1000,Hoja1!G130)&gt;1,"Sí","No")</f>
        <v>No</v>
      </c>
      <c r="G130" s="3" t="str">
        <f>IF(OR(ISERROR(FIND("@",Hoja1!G130)),ISERROR(FIND(".",Hoja1!G130,FIND("@",Hoja1!G130)))),"Sí","No")</f>
        <v>No</v>
      </c>
      <c r="H130" s="3" t="str">
        <f>IF(LEN(Hoja1!F130)&lt;&gt;14,"Sí","No")</f>
        <v>No</v>
      </c>
      <c r="I130" s="3" t="str">
        <f>IF(Hoja1!C130&gt;Hoja1!H130,"Sí","No")</f>
        <v>No</v>
      </c>
      <c r="J130" s="3" t="str">
        <f>IF(SUMPRODUCT(--ISNUMBER(SEARCH({"0";"1";"2";"3";"4";"5";"6";"7";"8";"9"},Hoja1!D130)))=0,"Sí","No")</f>
        <v>No</v>
      </c>
      <c r="K130" s="3" t="str">
        <f t="shared" ref="K130:K193" si="2">IF(COUNTIF(C130:J130,"Sí")&gt;0,"Sí","No")</f>
        <v>No</v>
      </c>
    </row>
    <row r="131" spans="1:11" ht="15" customHeight="1" x14ac:dyDescent="0.3">
      <c r="A131" s="3" t="str">
        <f>Hoja1!A131</f>
        <v>C0130</v>
      </c>
      <c r="B131" s="3" t="str">
        <f>Hoja1!B131</f>
        <v>Esteban del Múñiz</v>
      </c>
      <c r="C131" s="3" t="str">
        <f>IF(COUNTA(Hoja1!A131:I131)=0,"Sí","No")</f>
        <v>No</v>
      </c>
      <c r="D131" s="3" t="str">
        <f>IF(COUNTBLANK(Hoja1!A131:I131)&gt;0,"Sí","No")</f>
        <v>No</v>
      </c>
      <c r="E131" s="3" t="str">
        <f>IF(COUNTIF(Hoja1!$A$2:$A$1000,Hoja1!A131)&gt;1,"Sí","No")</f>
        <v>No</v>
      </c>
      <c r="F131" s="3" t="str">
        <f>IF(COUNTIF(Hoja1!$G$2:$G$1000,Hoja1!G131)&gt;1,"Sí","No")</f>
        <v>No</v>
      </c>
      <c r="G131" s="3" t="str">
        <f>IF(OR(ISERROR(FIND("@",Hoja1!G131)),ISERROR(FIND(".",Hoja1!G131,FIND("@",Hoja1!G131)))),"Sí","No")</f>
        <v>No</v>
      </c>
      <c r="H131" s="3" t="str">
        <f>IF(LEN(Hoja1!F131)&lt;&gt;14,"Sí","No")</f>
        <v>No</v>
      </c>
      <c r="I131" s="3" t="str">
        <f>IF(Hoja1!C131&gt;Hoja1!H131,"Sí","No")</f>
        <v>No</v>
      </c>
      <c r="J131" s="3" t="str">
        <f>IF(SUMPRODUCT(--ISNUMBER(SEARCH({"0";"1";"2";"3";"4";"5";"6";"7";"8";"9"},Hoja1!D131)))=0,"Sí","No")</f>
        <v>No</v>
      </c>
      <c r="K131" s="3" t="str">
        <f t="shared" si="2"/>
        <v>No</v>
      </c>
    </row>
    <row r="132" spans="1:11" ht="15" customHeight="1" x14ac:dyDescent="0.3">
      <c r="A132" s="3" t="str">
        <f>Hoja1!A132</f>
        <v>C0131</v>
      </c>
      <c r="B132" s="3" t="str">
        <f>Hoja1!B132</f>
        <v>Trinidad Exposito Abella</v>
      </c>
      <c r="C132" s="3" t="str">
        <f>IF(COUNTA(Hoja1!A132:I132)=0,"Sí","No")</f>
        <v>No</v>
      </c>
      <c r="D132" s="3" t="str">
        <f>IF(COUNTBLANK(Hoja1!A132:I132)&gt;0,"Sí","No")</f>
        <v>No</v>
      </c>
      <c r="E132" s="3" t="str">
        <f>IF(COUNTIF(Hoja1!$A$2:$A$1000,Hoja1!A132)&gt;1,"Sí","No")</f>
        <v>No</v>
      </c>
      <c r="F132" s="3" t="str">
        <f>IF(COUNTIF(Hoja1!$G$2:$G$1000,Hoja1!G132)&gt;1,"Sí","No")</f>
        <v>No</v>
      </c>
      <c r="G132" s="3" t="str">
        <f>IF(OR(ISERROR(FIND("@",Hoja1!G132)),ISERROR(FIND(".",Hoja1!G132,FIND("@",Hoja1!G132)))),"Sí","No")</f>
        <v>No</v>
      </c>
      <c r="H132" s="3" t="str">
        <f>IF(LEN(Hoja1!F132)&lt;&gt;14,"Sí","No")</f>
        <v>No</v>
      </c>
      <c r="I132" s="3" t="str">
        <f>IF(Hoja1!C132&gt;Hoja1!H132,"Sí","No")</f>
        <v>No</v>
      </c>
      <c r="J132" s="3" t="str">
        <f>IF(SUMPRODUCT(--ISNUMBER(SEARCH({"0";"1";"2";"3";"4";"5";"6";"7";"8";"9"},Hoja1!D132)))=0,"Sí","No")</f>
        <v>No</v>
      </c>
      <c r="K132" s="3" t="str">
        <f t="shared" si="2"/>
        <v>No</v>
      </c>
    </row>
    <row r="133" spans="1:11" ht="15" customHeight="1" x14ac:dyDescent="0.3">
      <c r="A133" s="3" t="str">
        <f>Hoja1!A133</f>
        <v>C0132</v>
      </c>
      <c r="B133" s="3" t="str">
        <f>Hoja1!B133</f>
        <v>Pánfilo Ortiz Pardo</v>
      </c>
      <c r="C133" s="3" t="str">
        <f>IF(COUNTA(Hoja1!A133:I133)=0,"Sí","No")</f>
        <v>No</v>
      </c>
      <c r="D133" s="3" t="str">
        <f>IF(COUNTBLANK(Hoja1!A133:I133)&gt;0,"Sí","No")</f>
        <v>No</v>
      </c>
      <c r="E133" s="3" t="str">
        <f>IF(COUNTIF(Hoja1!$A$2:$A$1000,Hoja1!A133)&gt;1,"Sí","No")</f>
        <v>No</v>
      </c>
      <c r="F133" s="3" t="str">
        <f>IF(COUNTIF(Hoja1!$G$2:$G$1000,Hoja1!G133)&gt;1,"Sí","No")</f>
        <v>No</v>
      </c>
      <c r="G133" s="3" t="str">
        <f>IF(OR(ISERROR(FIND("@",Hoja1!G133)),ISERROR(FIND(".",Hoja1!G133,FIND("@",Hoja1!G133)))),"Sí","No")</f>
        <v>No</v>
      </c>
      <c r="H133" s="3" t="str">
        <f>IF(LEN(Hoja1!F133)&lt;&gt;14,"Sí","No")</f>
        <v>No</v>
      </c>
      <c r="I133" s="3" t="str">
        <f>IF(Hoja1!C133&gt;Hoja1!H133,"Sí","No")</f>
        <v>No</v>
      </c>
      <c r="J133" s="3" t="str">
        <f>IF(SUMPRODUCT(--ISNUMBER(SEARCH({"0";"1";"2";"3";"4";"5";"6";"7";"8";"9"},Hoja1!D133)))=0,"Sí","No")</f>
        <v>No</v>
      </c>
      <c r="K133" s="3" t="str">
        <f t="shared" si="2"/>
        <v>No</v>
      </c>
    </row>
    <row r="134" spans="1:11" ht="15" customHeight="1" x14ac:dyDescent="0.3">
      <c r="A134" s="3" t="str">
        <f>Hoja1!A134</f>
        <v>C0133</v>
      </c>
      <c r="B134" s="3" t="str">
        <f>Hoja1!B134</f>
        <v>Glauco Llorens Álvarez</v>
      </c>
      <c r="C134" s="3" t="str">
        <f>IF(COUNTA(Hoja1!A134:I134)=0,"Sí","No")</f>
        <v>No</v>
      </c>
      <c r="D134" s="3" t="str">
        <f>IF(COUNTBLANK(Hoja1!A134:I134)&gt;0,"Sí","No")</f>
        <v>No</v>
      </c>
      <c r="E134" s="3" t="str">
        <f>IF(COUNTIF(Hoja1!$A$2:$A$1000,Hoja1!A134)&gt;1,"Sí","No")</f>
        <v>No</v>
      </c>
      <c r="F134" s="3" t="str">
        <f>IF(COUNTIF(Hoja1!$G$2:$G$1000,Hoja1!G134)&gt;1,"Sí","No")</f>
        <v>No</v>
      </c>
      <c r="G134" s="3" t="str">
        <f>IF(OR(ISERROR(FIND("@",Hoja1!G134)),ISERROR(FIND(".",Hoja1!G134,FIND("@",Hoja1!G134)))),"Sí","No")</f>
        <v>No</v>
      </c>
      <c r="H134" s="3" t="str">
        <f>IF(LEN(Hoja1!F134)&lt;&gt;14,"Sí","No")</f>
        <v>No</v>
      </c>
      <c r="I134" s="3" t="str">
        <f>IF(Hoja1!C134&gt;Hoja1!H134,"Sí","No")</f>
        <v>No</v>
      </c>
      <c r="J134" s="3" t="str">
        <f>IF(SUMPRODUCT(--ISNUMBER(SEARCH({"0";"1";"2";"3";"4";"5";"6";"7";"8";"9"},Hoja1!D134)))=0,"Sí","No")</f>
        <v>No</v>
      </c>
      <c r="K134" s="3" t="str">
        <f t="shared" si="2"/>
        <v>No</v>
      </c>
    </row>
    <row r="135" spans="1:11" ht="15" customHeight="1" x14ac:dyDescent="0.3">
      <c r="A135" s="3" t="str">
        <f>Hoja1!A135</f>
        <v>C0134</v>
      </c>
      <c r="B135" s="3" t="str">
        <f>Hoja1!B135</f>
        <v>Susanita Zaragoza Higueras</v>
      </c>
      <c r="C135" s="3" t="str">
        <f>IF(COUNTA(Hoja1!A135:I135)=0,"Sí","No")</f>
        <v>No</v>
      </c>
      <c r="D135" s="3" t="str">
        <f>IF(COUNTBLANK(Hoja1!A135:I135)&gt;0,"Sí","No")</f>
        <v>No</v>
      </c>
      <c r="E135" s="3" t="str">
        <f>IF(COUNTIF(Hoja1!$A$2:$A$1000,Hoja1!A135)&gt;1,"Sí","No")</f>
        <v>No</v>
      </c>
      <c r="F135" s="3" t="str">
        <f>IF(COUNTIF(Hoja1!$G$2:$G$1000,Hoja1!G135)&gt;1,"Sí","No")</f>
        <v>No</v>
      </c>
      <c r="G135" s="3" t="str">
        <f>IF(OR(ISERROR(FIND("@",Hoja1!G135)),ISERROR(FIND(".",Hoja1!G135,FIND("@",Hoja1!G135)))),"Sí","No")</f>
        <v>No</v>
      </c>
      <c r="H135" s="3" t="str">
        <f>IF(LEN(Hoja1!F135)&lt;&gt;14,"Sí","No")</f>
        <v>No</v>
      </c>
      <c r="I135" s="3" t="str">
        <f>IF(Hoja1!C135&gt;Hoja1!H135,"Sí","No")</f>
        <v>No</v>
      </c>
      <c r="J135" s="3" t="str">
        <f>IF(SUMPRODUCT(--ISNUMBER(SEARCH({"0";"1";"2";"3";"4";"5";"6";"7";"8";"9"},Hoja1!D135)))=0,"Sí","No")</f>
        <v>No</v>
      </c>
      <c r="K135" s="3" t="str">
        <f t="shared" si="2"/>
        <v>No</v>
      </c>
    </row>
    <row r="136" spans="1:11" ht="15" customHeight="1" x14ac:dyDescent="0.3">
      <c r="A136" s="3" t="str">
        <f>Hoja1!A136</f>
        <v>C0135</v>
      </c>
      <c r="B136" s="3" t="str">
        <f>Hoja1!B136</f>
        <v>Ileana Asunción Beltran Samper</v>
      </c>
      <c r="C136" s="3" t="str">
        <f>IF(COUNTA(Hoja1!A136:I136)=0,"Sí","No")</f>
        <v>No</v>
      </c>
      <c r="D136" s="3" t="str">
        <f>IF(COUNTBLANK(Hoja1!A136:I136)&gt;0,"Sí","No")</f>
        <v>No</v>
      </c>
      <c r="E136" s="3" t="str">
        <f>IF(COUNTIF(Hoja1!$A$2:$A$1000,Hoja1!A136)&gt;1,"Sí","No")</f>
        <v>No</v>
      </c>
      <c r="F136" s="3" t="str">
        <f>IF(COUNTIF(Hoja1!$G$2:$G$1000,Hoja1!G136)&gt;1,"Sí","No")</f>
        <v>No</v>
      </c>
      <c r="G136" s="3" t="str">
        <f>IF(OR(ISERROR(FIND("@",Hoja1!G136)),ISERROR(FIND(".",Hoja1!G136,FIND("@",Hoja1!G136)))),"Sí","No")</f>
        <v>No</v>
      </c>
      <c r="H136" s="3" t="str">
        <f>IF(LEN(Hoja1!F136)&lt;&gt;14,"Sí","No")</f>
        <v>No</v>
      </c>
      <c r="I136" s="3" t="str">
        <f>IF(Hoja1!C136&gt;Hoja1!H136,"Sí","No")</f>
        <v>No</v>
      </c>
      <c r="J136" s="3" t="str">
        <f>IF(SUMPRODUCT(--ISNUMBER(SEARCH({"0";"1";"2";"3";"4";"5";"6";"7";"8";"9"},Hoja1!D136)))=0,"Sí","No")</f>
        <v>No</v>
      </c>
      <c r="K136" s="3" t="str">
        <f t="shared" si="2"/>
        <v>No</v>
      </c>
    </row>
    <row r="137" spans="1:11" ht="15" customHeight="1" x14ac:dyDescent="0.3">
      <c r="A137" s="3" t="str">
        <f>Hoja1!A137</f>
        <v>C0136</v>
      </c>
      <c r="B137" s="3" t="str">
        <f>Hoja1!B137</f>
        <v>Chus Merino Casas</v>
      </c>
      <c r="C137" s="3" t="str">
        <f>IF(COUNTA(Hoja1!A137:I137)=0,"Sí","No")</f>
        <v>No</v>
      </c>
      <c r="D137" s="3" t="str">
        <f>IF(COUNTBLANK(Hoja1!A137:I137)&gt;0,"Sí","No")</f>
        <v>No</v>
      </c>
      <c r="E137" s="3" t="str">
        <f>IF(COUNTIF(Hoja1!$A$2:$A$1000,Hoja1!A137)&gt;1,"Sí","No")</f>
        <v>No</v>
      </c>
      <c r="F137" s="3" t="str">
        <f>IF(COUNTIF(Hoja1!$G$2:$G$1000,Hoja1!G137)&gt;1,"Sí","No")</f>
        <v>No</v>
      </c>
      <c r="G137" s="3" t="str">
        <f>IF(OR(ISERROR(FIND("@",Hoja1!G137)),ISERROR(FIND(".",Hoja1!G137,FIND("@",Hoja1!G137)))),"Sí","No")</f>
        <v>No</v>
      </c>
      <c r="H137" s="3" t="str">
        <f>IF(LEN(Hoja1!F137)&lt;&gt;14,"Sí","No")</f>
        <v>No</v>
      </c>
      <c r="I137" s="3" t="str">
        <f>IF(Hoja1!C137&gt;Hoja1!H137,"Sí","No")</f>
        <v>No</v>
      </c>
      <c r="J137" s="3" t="str">
        <f>IF(SUMPRODUCT(--ISNUMBER(SEARCH({"0";"1";"2";"3";"4";"5";"6";"7";"8";"9"},Hoja1!D137)))=0,"Sí","No")</f>
        <v>No</v>
      </c>
      <c r="K137" s="3" t="str">
        <f t="shared" si="2"/>
        <v>No</v>
      </c>
    </row>
    <row r="138" spans="1:11" ht="15" customHeight="1" x14ac:dyDescent="0.3">
      <c r="A138" s="3" t="str">
        <f>Hoja1!A138</f>
        <v>C0137</v>
      </c>
      <c r="B138" s="3" t="str">
        <f>Hoja1!B138</f>
        <v>Carmina Cervera</v>
      </c>
      <c r="C138" s="3" t="str">
        <f>IF(COUNTA(Hoja1!A138:I138)=0,"Sí","No")</f>
        <v>No</v>
      </c>
      <c r="D138" s="3" t="str">
        <f>IF(COUNTBLANK(Hoja1!A138:I138)&gt;0,"Sí","No")</f>
        <v>No</v>
      </c>
      <c r="E138" s="3" t="str">
        <f>IF(COUNTIF(Hoja1!$A$2:$A$1000,Hoja1!A138)&gt;1,"Sí","No")</f>
        <v>No</v>
      </c>
      <c r="F138" s="3" t="str">
        <f>IF(COUNTIF(Hoja1!$G$2:$G$1000,Hoja1!G138)&gt;1,"Sí","No")</f>
        <v>No</v>
      </c>
      <c r="G138" s="3" t="str">
        <f>IF(OR(ISERROR(FIND("@",Hoja1!G138)),ISERROR(FIND(".",Hoja1!G138,FIND("@",Hoja1!G138)))),"Sí","No")</f>
        <v>No</v>
      </c>
      <c r="H138" s="3" t="str">
        <f>IF(LEN(Hoja1!F138)&lt;&gt;14,"Sí","No")</f>
        <v>No</v>
      </c>
      <c r="I138" s="3" t="str">
        <f>IF(Hoja1!C138&gt;Hoja1!H138,"Sí","No")</f>
        <v>No</v>
      </c>
      <c r="J138" s="3" t="str">
        <f>IF(SUMPRODUCT(--ISNUMBER(SEARCH({"0";"1";"2";"3";"4";"5";"6";"7";"8";"9"},Hoja1!D138)))=0,"Sí","No")</f>
        <v>No</v>
      </c>
      <c r="K138" s="3" t="str">
        <f t="shared" si="2"/>
        <v>No</v>
      </c>
    </row>
    <row r="139" spans="1:11" ht="15" customHeight="1" x14ac:dyDescent="0.3">
      <c r="A139" s="3" t="str">
        <f>Hoja1!A139</f>
        <v>C0138</v>
      </c>
      <c r="B139" s="3" t="str">
        <f>Hoja1!B139</f>
        <v>Curro Coello Izaguirre</v>
      </c>
      <c r="C139" s="3" t="str">
        <f>IF(COUNTA(Hoja1!A139:I139)=0,"Sí","No")</f>
        <v>No</v>
      </c>
      <c r="D139" s="3" t="str">
        <f>IF(COUNTBLANK(Hoja1!A139:I139)&gt;0,"Sí","No")</f>
        <v>No</v>
      </c>
      <c r="E139" s="3" t="str">
        <f>IF(COUNTIF(Hoja1!$A$2:$A$1000,Hoja1!A139)&gt;1,"Sí","No")</f>
        <v>No</v>
      </c>
      <c r="F139" s="3" t="str">
        <f>IF(COUNTIF(Hoja1!$G$2:$G$1000,Hoja1!G139)&gt;1,"Sí","No")</f>
        <v>No</v>
      </c>
      <c r="G139" s="3" t="str">
        <f>IF(OR(ISERROR(FIND("@",Hoja1!G139)),ISERROR(FIND(".",Hoja1!G139,FIND("@",Hoja1!G139)))),"Sí","No")</f>
        <v>No</v>
      </c>
      <c r="H139" s="3" t="str">
        <f>IF(LEN(Hoja1!F139)&lt;&gt;14,"Sí","No")</f>
        <v>No</v>
      </c>
      <c r="I139" s="3" t="str">
        <f>IF(Hoja1!C139&gt;Hoja1!H139,"Sí","No")</f>
        <v>No</v>
      </c>
      <c r="J139" s="3" t="str">
        <f>IF(SUMPRODUCT(--ISNUMBER(SEARCH({"0";"1";"2";"3";"4";"5";"6";"7";"8";"9"},Hoja1!D139)))=0,"Sí","No")</f>
        <v>No</v>
      </c>
      <c r="K139" s="3" t="str">
        <f t="shared" si="2"/>
        <v>No</v>
      </c>
    </row>
    <row r="140" spans="1:11" ht="15" customHeight="1" x14ac:dyDescent="0.3">
      <c r="A140" s="3" t="str">
        <f>Hoja1!A140</f>
        <v>C0139</v>
      </c>
      <c r="B140" s="3" t="str">
        <f>Hoja1!B140</f>
        <v>Mario Roldán</v>
      </c>
      <c r="C140" s="3" t="str">
        <f>IF(COUNTA(Hoja1!A140:I140)=0,"Sí","No")</f>
        <v>No</v>
      </c>
      <c r="D140" s="3" t="str">
        <f>IF(COUNTBLANK(Hoja1!A140:I140)&gt;0,"Sí","No")</f>
        <v>No</v>
      </c>
      <c r="E140" s="3" t="str">
        <f>IF(COUNTIF(Hoja1!$A$2:$A$1000,Hoja1!A140)&gt;1,"Sí","No")</f>
        <v>No</v>
      </c>
      <c r="F140" s="3" t="str">
        <f>IF(COUNTIF(Hoja1!$G$2:$G$1000,Hoja1!G140)&gt;1,"Sí","No")</f>
        <v>No</v>
      </c>
      <c r="G140" s="3" t="str">
        <f>IF(OR(ISERROR(FIND("@",Hoja1!G140)),ISERROR(FIND(".",Hoja1!G140,FIND("@",Hoja1!G140)))),"Sí","No")</f>
        <v>No</v>
      </c>
      <c r="H140" s="3" t="str">
        <f>IF(LEN(Hoja1!F140)&lt;&gt;14,"Sí","No")</f>
        <v>No</v>
      </c>
      <c r="I140" s="3" t="str">
        <f>IF(Hoja1!C140&gt;Hoja1!H140,"Sí","No")</f>
        <v>No</v>
      </c>
      <c r="J140" s="3" t="str">
        <f>IF(SUMPRODUCT(--ISNUMBER(SEARCH({"0";"1";"2";"3";"4";"5";"6";"7";"8";"9"},Hoja1!D140)))=0,"Sí","No")</f>
        <v>No</v>
      </c>
      <c r="K140" s="3" t="str">
        <f t="shared" si="2"/>
        <v>No</v>
      </c>
    </row>
    <row r="141" spans="1:11" ht="15" customHeight="1" x14ac:dyDescent="0.3">
      <c r="A141" s="3" t="str">
        <f>Hoja1!A141</f>
        <v>C0140</v>
      </c>
      <c r="B141" s="3" t="str">
        <f>Hoja1!B141</f>
        <v>Jesusa Fuentes</v>
      </c>
      <c r="C141" s="3" t="str">
        <f>IF(COUNTA(Hoja1!A141:I141)=0,"Sí","No")</f>
        <v>No</v>
      </c>
      <c r="D141" s="3" t="str">
        <f>IF(COUNTBLANK(Hoja1!A141:I141)&gt;0,"Sí","No")</f>
        <v>No</v>
      </c>
      <c r="E141" s="3" t="str">
        <f>IF(COUNTIF(Hoja1!$A$2:$A$1000,Hoja1!A141)&gt;1,"Sí","No")</f>
        <v>No</v>
      </c>
      <c r="F141" s="3" t="str">
        <f>IF(COUNTIF(Hoja1!$G$2:$G$1000,Hoja1!G141)&gt;1,"Sí","No")</f>
        <v>Sí</v>
      </c>
      <c r="G141" s="3" t="str">
        <f>IF(OR(ISERROR(FIND("@",Hoja1!G141)),ISERROR(FIND(".",Hoja1!G141,FIND("@",Hoja1!G141)))),"Sí","No")</f>
        <v>No</v>
      </c>
      <c r="H141" s="3" t="str">
        <f>IF(LEN(Hoja1!F141)&lt;&gt;14,"Sí","No")</f>
        <v>No</v>
      </c>
      <c r="I141" s="3" t="str">
        <f>IF(Hoja1!C141&gt;Hoja1!H141,"Sí","No")</f>
        <v>No</v>
      </c>
      <c r="J141" s="3" t="str">
        <f>IF(SUMPRODUCT(--ISNUMBER(SEARCH({"0";"1";"2";"3";"4";"5";"6";"7";"8";"9"},Hoja1!D141)))=0,"Sí","No")</f>
        <v>No</v>
      </c>
      <c r="K141" s="3" t="str">
        <f t="shared" si="2"/>
        <v>Sí</v>
      </c>
    </row>
    <row r="142" spans="1:11" ht="15" customHeight="1" x14ac:dyDescent="0.3">
      <c r="A142" s="3" t="str">
        <f>Hoja1!A142</f>
        <v>C0141</v>
      </c>
      <c r="B142" s="3" t="str">
        <f>Hoja1!B142</f>
        <v>Óscar Dominguez Mayol</v>
      </c>
      <c r="C142" s="3" t="str">
        <f>IF(COUNTA(Hoja1!A142:I142)=0,"Sí","No")</f>
        <v>No</v>
      </c>
      <c r="D142" s="3" t="str">
        <f>IF(COUNTBLANK(Hoja1!A142:I142)&gt;0,"Sí","No")</f>
        <v>No</v>
      </c>
      <c r="E142" s="3" t="str">
        <f>IF(COUNTIF(Hoja1!$A$2:$A$1000,Hoja1!A142)&gt;1,"Sí","No")</f>
        <v>No</v>
      </c>
      <c r="F142" s="3" t="str">
        <f>IF(COUNTIF(Hoja1!$G$2:$G$1000,Hoja1!G142)&gt;1,"Sí","No")</f>
        <v>No</v>
      </c>
      <c r="G142" s="3" t="str">
        <f>IF(OR(ISERROR(FIND("@",Hoja1!G142)),ISERROR(FIND(".",Hoja1!G142,FIND("@",Hoja1!G142)))),"Sí","No")</f>
        <v>No</v>
      </c>
      <c r="H142" s="3" t="str">
        <f>IF(LEN(Hoja1!F142)&lt;&gt;14,"Sí","No")</f>
        <v>No</v>
      </c>
      <c r="I142" s="3" t="str">
        <f>IF(Hoja1!C142&gt;Hoja1!H142,"Sí","No")</f>
        <v>No</v>
      </c>
      <c r="J142" s="3" t="str">
        <f>IF(SUMPRODUCT(--ISNUMBER(SEARCH({"0";"1";"2";"3";"4";"5";"6";"7";"8";"9"},Hoja1!D142)))=0,"Sí","No")</f>
        <v>No</v>
      </c>
      <c r="K142" s="3" t="str">
        <f t="shared" si="2"/>
        <v>No</v>
      </c>
    </row>
    <row r="143" spans="1:11" ht="15" customHeight="1" x14ac:dyDescent="0.3">
      <c r="A143" s="3" t="str">
        <f>Hoja1!A143</f>
        <v>C0142</v>
      </c>
      <c r="B143" s="3" t="str">
        <f>Hoja1!B143</f>
        <v>Angelino Contreras Pi</v>
      </c>
      <c r="C143" s="3" t="str">
        <f>IF(COUNTA(Hoja1!A143:I143)=0,"Sí","No")</f>
        <v>No</v>
      </c>
      <c r="D143" s="3" t="str">
        <f>IF(COUNTBLANK(Hoja1!A143:I143)&gt;0,"Sí","No")</f>
        <v>No</v>
      </c>
      <c r="E143" s="3" t="str">
        <f>IF(COUNTIF(Hoja1!$A$2:$A$1000,Hoja1!A143)&gt;1,"Sí","No")</f>
        <v>No</v>
      </c>
      <c r="F143" s="3" t="str">
        <f>IF(COUNTIF(Hoja1!$G$2:$G$1000,Hoja1!G143)&gt;1,"Sí","No")</f>
        <v>No</v>
      </c>
      <c r="G143" s="3" t="str">
        <f>IF(OR(ISERROR(FIND("@",Hoja1!G143)),ISERROR(FIND(".",Hoja1!G143,FIND("@",Hoja1!G143)))),"Sí","No")</f>
        <v>No</v>
      </c>
      <c r="H143" s="3" t="str">
        <f>IF(LEN(Hoja1!F143)&lt;&gt;14,"Sí","No")</f>
        <v>No</v>
      </c>
      <c r="I143" s="3" t="str">
        <f>IF(Hoja1!C143&gt;Hoja1!H143,"Sí","No")</f>
        <v>No</v>
      </c>
      <c r="J143" s="3" t="str">
        <f>IF(SUMPRODUCT(--ISNUMBER(SEARCH({"0";"1";"2";"3";"4";"5";"6";"7";"8";"9"},Hoja1!D143)))=0,"Sí","No")</f>
        <v>No</v>
      </c>
      <c r="K143" s="3" t="str">
        <f t="shared" si="2"/>
        <v>No</v>
      </c>
    </row>
    <row r="144" spans="1:11" ht="15" customHeight="1" x14ac:dyDescent="0.3">
      <c r="A144" s="3" t="str">
        <f>Hoja1!A144</f>
        <v>C0143</v>
      </c>
      <c r="B144" s="3" t="str">
        <f>Hoja1!B144</f>
        <v>Rafa Camino Perelló</v>
      </c>
      <c r="C144" s="3" t="str">
        <f>IF(COUNTA(Hoja1!A144:I144)=0,"Sí","No")</f>
        <v>No</v>
      </c>
      <c r="D144" s="3" t="str">
        <f>IF(COUNTBLANK(Hoja1!A144:I144)&gt;0,"Sí","No")</f>
        <v>No</v>
      </c>
      <c r="E144" s="3" t="str">
        <f>IF(COUNTIF(Hoja1!$A$2:$A$1000,Hoja1!A144)&gt;1,"Sí","No")</f>
        <v>No</v>
      </c>
      <c r="F144" s="3" t="str">
        <f>IF(COUNTIF(Hoja1!$G$2:$G$1000,Hoja1!G144)&gt;1,"Sí","No")</f>
        <v>No</v>
      </c>
      <c r="G144" s="3" t="str">
        <f>IF(OR(ISERROR(FIND("@",Hoja1!G144)),ISERROR(FIND(".",Hoja1!G144,FIND("@",Hoja1!G144)))),"Sí","No")</f>
        <v>No</v>
      </c>
      <c r="H144" s="3" t="str">
        <f>IF(LEN(Hoja1!F144)&lt;&gt;14,"Sí","No")</f>
        <v>No</v>
      </c>
      <c r="I144" s="3" t="str">
        <f>IF(Hoja1!C144&gt;Hoja1!H144,"Sí","No")</f>
        <v>No</v>
      </c>
      <c r="J144" s="3" t="str">
        <f>IF(SUMPRODUCT(--ISNUMBER(SEARCH({"0";"1";"2";"3";"4";"5";"6";"7";"8";"9"},Hoja1!D144)))=0,"Sí","No")</f>
        <v>No</v>
      </c>
      <c r="K144" s="3" t="str">
        <f t="shared" si="2"/>
        <v>No</v>
      </c>
    </row>
    <row r="145" spans="1:11" ht="15" customHeight="1" x14ac:dyDescent="0.3">
      <c r="A145" s="3" t="str">
        <f>Hoja1!A145</f>
        <v>C0144</v>
      </c>
      <c r="B145" s="3" t="str">
        <f>Hoja1!B145</f>
        <v>Aura Vidal-Roma</v>
      </c>
      <c r="C145" s="3" t="str">
        <f>IF(COUNTA(Hoja1!A145:I145)=0,"Sí","No")</f>
        <v>No</v>
      </c>
      <c r="D145" s="3" t="str">
        <f>IF(COUNTBLANK(Hoja1!A145:I145)&gt;0,"Sí","No")</f>
        <v>No</v>
      </c>
      <c r="E145" s="3" t="str">
        <f>IF(COUNTIF(Hoja1!$A$2:$A$1000,Hoja1!A145)&gt;1,"Sí","No")</f>
        <v>No</v>
      </c>
      <c r="F145" s="3" t="str">
        <f>IF(COUNTIF(Hoja1!$G$2:$G$1000,Hoja1!G145)&gt;1,"Sí","No")</f>
        <v>No</v>
      </c>
      <c r="G145" s="3" t="str">
        <f>IF(OR(ISERROR(FIND("@",Hoja1!G145)),ISERROR(FIND(".",Hoja1!G145,FIND("@",Hoja1!G145)))),"Sí","No")</f>
        <v>No</v>
      </c>
      <c r="H145" s="3" t="str">
        <f>IF(LEN(Hoja1!F145)&lt;&gt;14,"Sí","No")</f>
        <v>No</v>
      </c>
      <c r="I145" s="3" t="str">
        <f>IF(Hoja1!C145&gt;Hoja1!H145,"Sí","No")</f>
        <v>No</v>
      </c>
      <c r="J145" s="3" t="str">
        <f>IF(SUMPRODUCT(--ISNUMBER(SEARCH({"0";"1";"2";"3";"4";"5";"6";"7";"8";"9"},Hoja1!D145)))=0,"Sí","No")</f>
        <v>No</v>
      </c>
      <c r="K145" s="3" t="str">
        <f t="shared" si="2"/>
        <v>No</v>
      </c>
    </row>
    <row r="146" spans="1:11" ht="15" customHeight="1" x14ac:dyDescent="0.3">
      <c r="A146" s="3" t="str">
        <f>Hoja1!A146</f>
        <v>C0145</v>
      </c>
      <c r="B146" s="3" t="str">
        <f>Hoja1!B146</f>
        <v>Lara Jordana Ballester Lladó</v>
      </c>
      <c r="C146" s="3" t="str">
        <f>IF(COUNTA(Hoja1!A146:I146)=0,"Sí","No")</f>
        <v>No</v>
      </c>
      <c r="D146" s="3" t="str">
        <f>IF(COUNTBLANK(Hoja1!A146:I146)&gt;0,"Sí","No")</f>
        <v>No</v>
      </c>
      <c r="E146" s="3" t="str">
        <f>IF(COUNTIF(Hoja1!$A$2:$A$1000,Hoja1!A146)&gt;1,"Sí","No")</f>
        <v>No</v>
      </c>
      <c r="F146" s="3" t="str">
        <f>IF(COUNTIF(Hoja1!$G$2:$G$1000,Hoja1!G146)&gt;1,"Sí","No")</f>
        <v>No</v>
      </c>
      <c r="G146" s="3" t="str">
        <f>IF(OR(ISERROR(FIND("@",Hoja1!G146)),ISERROR(FIND(".",Hoja1!G146,FIND("@",Hoja1!G146)))),"Sí","No")</f>
        <v>No</v>
      </c>
      <c r="H146" s="3" t="str">
        <f>IF(LEN(Hoja1!F146)&lt;&gt;14,"Sí","No")</f>
        <v>No</v>
      </c>
      <c r="I146" s="3" t="str">
        <f>IF(Hoja1!C146&gt;Hoja1!H146,"Sí","No")</f>
        <v>No</v>
      </c>
      <c r="J146" s="3" t="str">
        <f>IF(SUMPRODUCT(--ISNUMBER(SEARCH({"0";"1";"2";"3";"4";"5";"6";"7";"8";"9"},Hoja1!D146)))=0,"Sí","No")</f>
        <v>No</v>
      </c>
      <c r="K146" s="3" t="str">
        <f t="shared" si="2"/>
        <v>No</v>
      </c>
    </row>
    <row r="147" spans="1:11" ht="15" customHeight="1" x14ac:dyDescent="0.3">
      <c r="A147" s="3" t="str">
        <f>Hoja1!A147</f>
        <v>C0146</v>
      </c>
      <c r="B147" s="3" t="str">
        <f>Hoja1!B147</f>
        <v>Aníbal Castelló Sarabia</v>
      </c>
      <c r="C147" s="3" t="str">
        <f>IF(COUNTA(Hoja1!A147:I147)=0,"Sí","No")</f>
        <v>No</v>
      </c>
      <c r="D147" s="3" t="str">
        <f>IF(COUNTBLANK(Hoja1!A147:I147)&gt;0,"Sí","No")</f>
        <v>No</v>
      </c>
      <c r="E147" s="3" t="str">
        <f>IF(COUNTIF(Hoja1!$A$2:$A$1000,Hoja1!A147)&gt;1,"Sí","No")</f>
        <v>No</v>
      </c>
      <c r="F147" s="3" t="str">
        <f>IF(COUNTIF(Hoja1!$G$2:$G$1000,Hoja1!G147)&gt;1,"Sí","No")</f>
        <v>No</v>
      </c>
      <c r="G147" s="3" t="str">
        <f>IF(OR(ISERROR(FIND("@",Hoja1!G147)),ISERROR(FIND(".",Hoja1!G147,FIND("@",Hoja1!G147)))),"Sí","No")</f>
        <v>No</v>
      </c>
      <c r="H147" s="3" t="str">
        <f>IF(LEN(Hoja1!F147)&lt;&gt;14,"Sí","No")</f>
        <v>No</v>
      </c>
      <c r="I147" s="3" t="str">
        <f>IF(Hoja1!C147&gt;Hoja1!H147,"Sí","No")</f>
        <v>No</v>
      </c>
      <c r="J147" s="3" t="str">
        <f>IF(SUMPRODUCT(--ISNUMBER(SEARCH({"0";"1";"2";"3";"4";"5";"6";"7";"8";"9"},Hoja1!D147)))=0,"Sí","No")</f>
        <v>No</v>
      </c>
      <c r="K147" s="3" t="str">
        <f t="shared" si="2"/>
        <v>No</v>
      </c>
    </row>
    <row r="148" spans="1:11" ht="15" customHeight="1" x14ac:dyDescent="0.3">
      <c r="A148" s="3" t="str">
        <f>Hoja1!A148</f>
        <v>C0147</v>
      </c>
      <c r="B148" s="3" t="str">
        <f>Hoja1!B148</f>
        <v>Adriana Higueras Ribes</v>
      </c>
      <c r="C148" s="3" t="str">
        <f>IF(COUNTA(Hoja1!A148:I148)=0,"Sí","No")</f>
        <v>No</v>
      </c>
      <c r="D148" s="3" t="str">
        <f>IF(COUNTBLANK(Hoja1!A148:I148)&gt;0,"Sí","No")</f>
        <v>No</v>
      </c>
      <c r="E148" s="3" t="str">
        <f>IF(COUNTIF(Hoja1!$A$2:$A$1000,Hoja1!A148)&gt;1,"Sí","No")</f>
        <v>No</v>
      </c>
      <c r="F148" s="3" t="str">
        <f>IF(COUNTIF(Hoja1!$G$2:$G$1000,Hoja1!G148)&gt;1,"Sí","No")</f>
        <v>No</v>
      </c>
      <c r="G148" s="3" t="str">
        <f>IF(OR(ISERROR(FIND("@",Hoja1!G148)),ISERROR(FIND(".",Hoja1!G148,FIND("@",Hoja1!G148)))),"Sí","No")</f>
        <v>No</v>
      </c>
      <c r="H148" s="3" t="str">
        <f>IF(LEN(Hoja1!F148)&lt;&gt;14,"Sí","No")</f>
        <v>No</v>
      </c>
      <c r="I148" s="3" t="str">
        <f>IF(Hoja1!C148&gt;Hoja1!H148,"Sí","No")</f>
        <v>No</v>
      </c>
      <c r="J148" s="3" t="str">
        <f>IF(SUMPRODUCT(--ISNUMBER(SEARCH({"0";"1";"2";"3";"4";"5";"6";"7";"8";"9"},Hoja1!D148)))=0,"Sí","No")</f>
        <v>No</v>
      </c>
      <c r="K148" s="3" t="str">
        <f t="shared" si="2"/>
        <v>No</v>
      </c>
    </row>
    <row r="149" spans="1:11" ht="15" customHeight="1" x14ac:dyDescent="0.3">
      <c r="A149" s="3" t="str">
        <f>Hoja1!A149</f>
        <v>C0148</v>
      </c>
      <c r="B149" s="3" t="str">
        <f>Hoja1!B149</f>
        <v>Ernesto Cuadrado Mesa</v>
      </c>
      <c r="C149" s="3" t="str">
        <f>IF(COUNTA(Hoja1!A149:I149)=0,"Sí","No")</f>
        <v>No</v>
      </c>
      <c r="D149" s="3" t="str">
        <f>IF(COUNTBLANK(Hoja1!A149:I149)&gt;0,"Sí","No")</f>
        <v>No</v>
      </c>
      <c r="E149" s="3" t="str">
        <f>IF(COUNTIF(Hoja1!$A$2:$A$1000,Hoja1!A149)&gt;1,"Sí","No")</f>
        <v>No</v>
      </c>
      <c r="F149" s="3" t="str">
        <f>IF(COUNTIF(Hoja1!$G$2:$G$1000,Hoja1!G149)&gt;1,"Sí","No")</f>
        <v>No</v>
      </c>
      <c r="G149" s="3" t="str">
        <f>IF(OR(ISERROR(FIND("@",Hoja1!G149)),ISERROR(FIND(".",Hoja1!G149,FIND("@",Hoja1!G149)))),"Sí","No")</f>
        <v>No</v>
      </c>
      <c r="H149" s="3" t="str">
        <f>IF(LEN(Hoja1!F149)&lt;&gt;14,"Sí","No")</f>
        <v>No</v>
      </c>
      <c r="I149" s="3" t="str">
        <f>IF(Hoja1!C149&gt;Hoja1!H149,"Sí","No")</f>
        <v>No</v>
      </c>
      <c r="J149" s="3" t="str">
        <f>IF(SUMPRODUCT(--ISNUMBER(SEARCH({"0";"1";"2";"3";"4";"5";"6";"7";"8";"9"},Hoja1!D149)))=0,"Sí","No")</f>
        <v>No</v>
      </c>
      <c r="K149" s="3" t="str">
        <f t="shared" si="2"/>
        <v>No</v>
      </c>
    </row>
    <row r="150" spans="1:11" ht="15" customHeight="1" x14ac:dyDescent="0.3">
      <c r="A150" s="3" t="str">
        <f>Hoja1!A150</f>
        <v>C0149</v>
      </c>
      <c r="B150" s="3" t="str">
        <f>Hoja1!B150</f>
        <v>Estela Ponce-Losada</v>
      </c>
      <c r="C150" s="3" t="str">
        <f>IF(COUNTA(Hoja1!A150:I150)=0,"Sí","No")</f>
        <v>No</v>
      </c>
      <c r="D150" s="3" t="str">
        <f>IF(COUNTBLANK(Hoja1!A150:I150)&gt;0,"Sí","No")</f>
        <v>No</v>
      </c>
      <c r="E150" s="3" t="str">
        <f>IF(COUNTIF(Hoja1!$A$2:$A$1000,Hoja1!A150)&gt;1,"Sí","No")</f>
        <v>No</v>
      </c>
      <c r="F150" s="3" t="str">
        <f>IF(COUNTIF(Hoja1!$G$2:$G$1000,Hoja1!G150)&gt;1,"Sí","No")</f>
        <v>No</v>
      </c>
      <c r="G150" s="3" t="str">
        <f>IF(OR(ISERROR(FIND("@",Hoja1!G150)),ISERROR(FIND(".",Hoja1!G150,FIND("@",Hoja1!G150)))),"Sí","No")</f>
        <v>No</v>
      </c>
      <c r="H150" s="3" t="str">
        <f>IF(LEN(Hoja1!F150)&lt;&gt;14,"Sí","No")</f>
        <v>No</v>
      </c>
      <c r="I150" s="3" t="str">
        <f>IF(Hoja1!C150&gt;Hoja1!H150,"Sí","No")</f>
        <v>No</v>
      </c>
      <c r="J150" s="3" t="str">
        <f>IF(SUMPRODUCT(--ISNUMBER(SEARCH({"0";"1";"2";"3";"4";"5";"6";"7";"8";"9"},Hoja1!D150)))=0,"Sí","No")</f>
        <v>No</v>
      </c>
      <c r="K150" s="3" t="str">
        <f t="shared" si="2"/>
        <v>No</v>
      </c>
    </row>
    <row r="151" spans="1:11" ht="15" customHeight="1" x14ac:dyDescent="0.3">
      <c r="A151" s="3" t="str">
        <f>Hoja1!A151</f>
        <v>C0150</v>
      </c>
      <c r="B151" s="3" t="str">
        <f>Hoja1!B151</f>
        <v>Luis Miguel del Tapia</v>
      </c>
      <c r="C151" s="3" t="str">
        <f>IF(COUNTA(Hoja1!A151:I151)=0,"Sí","No")</f>
        <v>No</v>
      </c>
      <c r="D151" s="3" t="str">
        <f>IF(COUNTBLANK(Hoja1!A151:I151)&gt;0,"Sí","No")</f>
        <v>No</v>
      </c>
      <c r="E151" s="3" t="str">
        <f>IF(COUNTIF(Hoja1!$A$2:$A$1000,Hoja1!A151)&gt;1,"Sí","No")</f>
        <v>No</v>
      </c>
      <c r="F151" s="3" t="str">
        <f>IF(COUNTIF(Hoja1!$G$2:$G$1000,Hoja1!G151)&gt;1,"Sí","No")</f>
        <v>No</v>
      </c>
      <c r="G151" s="3" t="str">
        <f>IF(OR(ISERROR(FIND("@",Hoja1!G151)),ISERROR(FIND(".",Hoja1!G151,FIND("@",Hoja1!G151)))),"Sí","No")</f>
        <v>No</v>
      </c>
      <c r="H151" s="3" t="str">
        <f>IF(LEN(Hoja1!F151)&lt;&gt;14,"Sí","No")</f>
        <v>No</v>
      </c>
      <c r="I151" s="3" t="str">
        <f>IF(Hoja1!C151&gt;Hoja1!H151,"Sí","No")</f>
        <v>No</v>
      </c>
      <c r="J151" s="3" t="str">
        <f>IF(SUMPRODUCT(--ISNUMBER(SEARCH({"0";"1";"2";"3";"4";"5";"6";"7";"8";"9"},Hoja1!D151)))=0,"Sí","No")</f>
        <v>No</v>
      </c>
      <c r="K151" s="3" t="str">
        <f t="shared" si="2"/>
        <v>No</v>
      </c>
    </row>
    <row r="152" spans="1:11" ht="15" customHeight="1" x14ac:dyDescent="0.3">
      <c r="A152" s="3" t="str">
        <f>Hoja1!A152</f>
        <v>C0151</v>
      </c>
      <c r="B152" s="3" t="str">
        <f>Hoja1!B152</f>
        <v>Elpidio Agullo Tejero</v>
      </c>
      <c r="C152" s="3" t="str">
        <f>IF(COUNTA(Hoja1!A152:I152)=0,"Sí","No")</f>
        <v>No</v>
      </c>
      <c r="D152" s="3" t="str">
        <f>IF(COUNTBLANK(Hoja1!A152:I152)&gt;0,"Sí","No")</f>
        <v>No</v>
      </c>
      <c r="E152" s="3" t="str">
        <f>IF(COUNTIF(Hoja1!$A$2:$A$1000,Hoja1!A152)&gt;1,"Sí","No")</f>
        <v>No</v>
      </c>
      <c r="F152" s="3" t="str">
        <f>IF(COUNTIF(Hoja1!$G$2:$G$1000,Hoja1!G152)&gt;1,"Sí","No")</f>
        <v>No</v>
      </c>
      <c r="G152" s="3" t="str">
        <f>IF(OR(ISERROR(FIND("@",Hoja1!G152)),ISERROR(FIND(".",Hoja1!G152,FIND("@",Hoja1!G152)))),"Sí","No")</f>
        <v>No</v>
      </c>
      <c r="H152" s="3" t="str">
        <f>IF(LEN(Hoja1!F152)&lt;&gt;14,"Sí","No")</f>
        <v>No</v>
      </c>
      <c r="I152" s="3" t="str">
        <f>IF(Hoja1!C152&gt;Hoja1!H152,"Sí","No")</f>
        <v>No</v>
      </c>
      <c r="J152" s="3" t="str">
        <f>IF(SUMPRODUCT(--ISNUMBER(SEARCH({"0";"1";"2";"3";"4";"5";"6";"7";"8";"9"},Hoja1!D152)))=0,"Sí","No")</f>
        <v>No</v>
      </c>
      <c r="K152" s="3" t="str">
        <f t="shared" si="2"/>
        <v>No</v>
      </c>
    </row>
    <row r="153" spans="1:11" ht="15" customHeight="1" x14ac:dyDescent="0.3">
      <c r="A153" s="3" t="str">
        <f>Hoja1!A153</f>
        <v>C0152</v>
      </c>
      <c r="B153" s="3" t="str">
        <f>Hoja1!B153</f>
        <v>María Carmen Ródenas Acosta</v>
      </c>
      <c r="C153" s="3" t="str">
        <f>IF(COUNTA(Hoja1!A153:I153)=0,"Sí","No")</f>
        <v>No</v>
      </c>
      <c r="D153" s="3" t="str">
        <f>IF(COUNTBLANK(Hoja1!A153:I153)&gt;0,"Sí","No")</f>
        <v>No</v>
      </c>
      <c r="E153" s="3" t="str">
        <f>IF(COUNTIF(Hoja1!$A$2:$A$1000,Hoja1!A153)&gt;1,"Sí","No")</f>
        <v>No</v>
      </c>
      <c r="F153" s="3" t="str">
        <f>IF(COUNTIF(Hoja1!$G$2:$G$1000,Hoja1!G153)&gt;1,"Sí","No")</f>
        <v>No</v>
      </c>
      <c r="G153" s="3" t="str">
        <f>IF(OR(ISERROR(FIND("@",Hoja1!G153)),ISERROR(FIND(".",Hoja1!G153,FIND("@",Hoja1!G153)))),"Sí","No")</f>
        <v>No</v>
      </c>
      <c r="H153" s="3" t="str">
        <f>IF(LEN(Hoja1!F153)&lt;&gt;14,"Sí","No")</f>
        <v>No</v>
      </c>
      <c r="I153" s="3" t="str">
        <f>IF(Hoja1!C153&gt;Hoja1!H153,"Sí","No")</f>
        <v>No</v>
      </c>
      <c r="J153" s="3" t="str">
        <f>IF(SUMPRODUCT(--ISNUMBER(SEARCH({"0";"1";"2";"3";"4";"5";"6";"7";"8";"9"},Hoja1!D153)))=0,"Sí","No")</f>
        <v>No</v>
      </c>
      <c r="K153" s="3" t="str">
        <f t="shared" si="2"/>
        <v>No</v>
      </c>
    </row>
    <row r="154" spans="1:11" ht="15" customHeight="1" x14ac:dyDescent="0.3">
      <c r="A154" s="3" t="str">
        <f>Hoja1!A154</f>
        <v>C0153</v>
      </c>
      <c r="B154" s="3" t="str">
        <f>Hoja1!B154</f>
        <v>Lucas Vendrell Valverde</v>
      </c>
      <c r="C154" s="3" t="str">
        <f>IF(COUNTA(Hoja1!A154:I154)=0,"Sí","No")</f>
        <v>No</v>
      </c>
      <c r="D154" s="3" t="str">
        <f>IF(COUNTBLANK(Hoja1!A154:I154)&gt;0,"Sí","No")</f>
        <v>No</v>
      </c>
      <c r="E154" s="3" t="str">
        <f>IF(COUNTIF(Hoja1!$A$2:$A$1000,Hoja1!A154)&gt;1,"Sí","No")</f>
        <v>No</v>
      </c>
      <c r="F154" s="3" t="str">
        <f>IF(COUNTIF(Hoja1!$G$2:$G$1000,Hoja1!G154)&gt;1,"Sí","No")</f>
        <v>No</v>
      </c>
      <c r="G154" s="3" t="str">
        <f>IF(OR(ISERROR(FIND("@",Hoja1!G154)),ISERROR(FIND(".",Hoja1!G154,FIND("@",Hoja1!G154)))),"Sí","No")</f>
        <v>No</v>
      </c>
      <c r="H154" s="3" t="str">
        <f>IF(LEN(Hoja1!F154)&lt;&gt;14,"Sí","No")</f>
        <v>No</v>
      </c>
      <c r="I154" s="3" t="str">
        <f>IF(Hoja1!C154&gt;Hoja1!H154,"Sí","No")</f>
        <v>No</v>
      </c>
      <c r="J154" s="3" t="str">
        <f>IF(SUMPRODUCT(--ISNUMBER(SEARCH({"0";"1";"2";"3";"4";"5";"6";"7";"8";"9"},Hoja1!D154)))=0,"Sí","No")</f>
        <v>No</v>
      </c>
      <c r="K154" s="3" t="str">
        <f t="shared" si="2"/>
        <v>No</v>
      </c>
    </row>
    <row r="155" spans="1:11" ht="15" customHeight="1" x14ac:dyDescent="0.3">
      <c r="A155" s="3" t="str">
        <f>Hoja1!A155</f>
        <v>C0154</v>
      </c>
      <c r="B155" s="3" t="str">
        <f>Hoja1!B155</f>
        <v>Gerardo Tomé Real</v>
      </c>
      <c r="C155" s="3" t="str">
        <f>IF(COUNTA(Hoja1!A155:I155)=0,"Sí","No")</f>
        <v>No</v>
      </c>
      <c r="D155" s="3" t="str">
        <f>IF(COUNTBLANK(Hoja1!A155:I155)&gt;0,"Sí","No")</f>
        <v>No</v>
      </c>
      <c r="E155" s="3" t="str">
        <f>IF(COUNTIF(Hoja1!$A$2:$A$1000,Hoja1!A155)&gt;1,"Sí","No")</f>
        <v>No</v>
      </c>
      <c r="F155" s="3" t="str">
        <f>IF(COUNTIF(Hoja1!$G$2:$G$1000,Hoja1!G155)&gt;1,"Sí","No")</f>
        <v>No</v>
      </c>
      <c r="G155" s="3" t="str">
        <f>IF(OR(ISERROR(FIND("@",Hoja1!G155)),ISERROR(FIND(".",Hoja1!G155,FIND("@",Hoja1!G155)))),"Sí","No")</f>
        <v>No</v>
      </c>
      <c r="H155" s="3" t="str">
        <f>IF(LEN(Hoja1!F155)&lt;&gt;14,"Sí","No")</f>
        <v>No</v>
      </c>
      <c r="I155" s="3" t="str">
        <f>IF(Hoja1!C155&gt;Hoja1!H155,"Sí","No")</f>
        <v>No</v>
      </c>
      <c r="J155" s="3" t="str">
        <f>IF(SUMPRODUCT(--ISNUMBER(SEARCH({"0";"1";"2";"3";"4";"5";"6";"7";"8";"9"},Hoja1!D155)))=0,"Sí","No")</f>
        <v>No</v>
      </c>
      <c r="K155" s="3" t="str">
        <f t="shared" si="2"/>
        <v>No</v>
      </c>
    </row>
    <row r="156" spans="1:11" ht="15" customHeight="1" x14ac:dyDescent="0.3">
      <c r="A156" s="3" t="str">
        <f>Hoja1!A156</f>
        <v>C0155</v>
      </c>
      <c r="B156" s="3" t="str">
        <f>Hoja1!B156</f>
        <v>Elías Sacristán Vázquez</v>
      </c>
      <c r="C156" s="3" t="str">
        <f>IF(COUNTA(Hoja1!A156:I156)=0,"Sí","No")</f>
        <v>No</v>
      </c>
      <c r="D156" s="3" t="str">
        <f>IF(COUNTBLANK(Hoja1!A156:I156)&gt;0,"Sí","No")</f>
        <v>No</v>
      </c>
      <c r="E156" s="3" t="str">
        <f>IF(COUNTIF(Hoja1!$A$2:$A$1000,Hoja1!A156)&gt;1,"Sí","No")</f>
        <v>No</v>
      </c>
      <c r="F156" s="3" t="str">
        <f>IF(COUNTIF(Hoja1!$G$2:$G$1000,Hoja1!G156)&gt;1,"Sí","No")</f>
        <v>No</v>
      </c>
      <c r="G156" s="3" t="str">
        <f>IF(OR(ISERROR(FIND("@",Hoja1!G156)),ISERROR(FIND(".",Hoja1!G156,FIND("@",Hoja1!G156)))),"Sí","No")</f>
        <v>No</v>
      </c>
      <c r="H156" s="3" t="str">
        <f>IF(LEN(Hoja1!F156)&lt;&gt;14,"Sí","No")</f>
        <v>No</v>
      </c>
      <c r="I156" s="3" t="str">
        <f>IF(Hoja1!C156&gt;Hoja1!H156,"Sí","No")</f>
        <v>No</v>
      </c>
      <c r="J156" s="3" t="str">
        <f>IF(SUMPRODUCT(--ISNUMBER(SEARCH({"0";"1";"2";"3";"4";"5";"6";"7";"8";"9"},Hoja1!D156)))=0,"Sí","No")</f>
        <v>No</v>
      </c>
      <c r="K156" s="3" t="str">
        <f t="shared" si="2"/>
        <v>No</v>
      </c>
    </row>
    <row r="157" spans="1:11" ht="15" customHeight="1" x14ac:dyDescent="0.3">
      <c r="A157" s="3" t="str">
        <f>Hoja1!A157</f>
        <v>C0156</v>
      </c>
      <c r="B157" s="3" t="str">
        <f>Hoja1!B157</f>
        <v>Victoriano Valencia Coloma</v>
      </c>
      <c r="C157" s="3" t="str">
        <f>IF(COUNTA(Hoja1!A157:I157)=0,"Sí","No")</f>
        <v>No</v>
      </c>
      <c r="D157" s="3" t="str">
        <f>IF(COUNTBLANK(Hoja1!A157:I157)&gt;0,"Sí","No")</f>
        <v>No</v>
      </c>
      <c r="E157" s="3" t="str">
        <f>IF(COUNTIF(Hoja1!$A$2:$A$1000,Hoja1!A157)&gt;1,"Sí","No")</f>
        <v>No</v>
      </c>
      <c r="F157" s="3" t="str">
        <f>IF(COUNTIF(Hoja1!$G$2:$G$1000,Hoja1!G157)&gt;1,"Sí","No")</f>
        <v>No</v>
      </c>
      <c r="G157" s="3" t="str">
        <f>IF(OR(ISERROR(FIND("@",Hoja1!G157)),ISERROR(FIND(".",Hoja1!G157,FIND("@",Hoja1!G157)))),"Sí","No")</f>
        <v>No</v>
      </c>
      <c r="H157" s="3" t="str">
        <f>IF(LEN(Hoja1!F157)&lt;&gt;14,"Sí","No")</f>
        <v>No</v>
      </c>
      <c r="I157" s="3" t="str">
        <f>IF(Hoja1!C157&gt;Hoja1!H157,"Sí","No")</f>
        <v>No</v>
      </c>
      <c r="J157" s="3" t="str">
        <f>IF(SUMPRODUCT(--ISNUMBER(SEARCH({"0";"1";"2";"3";"4";"5";"6";"7";"8";"9"},Hoja1!D157)))=0,"Sí","No")</f>
        <v>No</v>
      </c>
      <c r="K157" s="3" t="str">
        <f t="shared" si="2"/>
        <v>No</v>
      </c>
    </row>
    <row r="158" spans="1:11" ht="15" customHeight="1" x14ac:dyDescent="0.3">
      <c r="A158" s="3" t="str">
        <f>Hoja1!A158</f>
        <v>C0157</v>
      </c>
      <c r="B158" s="3" t="str">
        <f>Hoja1!B158</f>
        <v>Vera Ribes-Cases</v>
      </c>
      <c r="C158" s="3" t="str">
        <f>IF(COUNTA(Hoja1!A158:I158)=0,"Sí","No")</f>
        <v>No</v>
      </c>
      <c r="D158" s="3" t="str">
        <f>IF(COUNTBLANK(Hoja1!A158:I158)&gt;0,"Sí","No")</f>
        <v>No</v>
      </c>
      <c r="E158" s="3" t="str">
        <f>IF(COUNTIF(Hoja1!$A$2:$A$1000,Hoja1!A158)&gt;1,"Sí","No")</f>
        <v>No</v>
      </c>
      <c r="F158" s="3" t="str">
        <f>IF(COUNTIF(Hoja1!$G$2:$G$1000,Hoja1!G158)&gt;1,"Sí","No")</f>
        <v>No</v>
      </c>
      <c r="G158" s="3" t="str">
        <f>IF(OR(ISERROR(FIND("@",Hoja1!G158)),ISERROR(FIND(".",Hoja1!G158,FIND("@",Hoja1!G158)))),"Sí","No")</f>
        <v>No</v>
      </c>
      <c r="H158" s="3" t="str">
        <f>IF(LEN(Hoja1!F158)&lt;&gt;14,"Sí","No")</f>
        <v>No</v>
      </c>
      <c r="I158" s="3" t="str">
        <f>IF(Hoja1!C158&gt;Hoja1!H158,"Sí","No")</f>
        <v>No</v>
      </c>
      <c r="J158" s="3" t="str">
        <f>IF(SUMPRODUCT(--ISNUMBER(SEARCH({"0";"1";"2";"3";"4";"5";"6";"7";"8";"9"},Hoja1!D158)))=0,"Sí","No")</f>
        <v>No</v>
      </c>
      <c r="K158" s="3" t="str">
        <f t="shared" si="2"/>
        <v>No</v>
      </c>
    </row>
    <row r="159" spans="1:11" ht="15" customHeight="1" x14ac:dyDescent="0.3">
      <c r="A159" s="3" t="str">
        <f>Hoja1!A159</f>
        <v>C0158</v>
      </c>
      <c r="B159" s="3" t="str">
        <f>Hoja1!B159</f>
        <v>Ligia Moya Calleja</v>
      </c>
      <c r="C159" s="3" t="str">
        <f>IF(COUNTA(Hoja1!A159:I159)=0,"Sí","No")</f>
        <v>No</v>
      </c>
      <c r="D159" s="3" t="str">
        <f>IF(COUNTBLANK(Hoja1!A159:I159)&gt;0,"Sí","No")</f>
        <v>No</v>
      </c>
      <c r="E159" s="3" t="str">
        <f>IF(COUNTIF(Hoja1!$A$2:$A$1000,Hoja1!A159)&gt;1,"Sí","No")</f>
        <v>No</v>
      </c>
      <c r="F159" s="3" t="str">
        <f>IF(COUNTIF(Hoja1!$G$2:$G$1000,Hoja1!G159)&gt;1,"Sí","No")</f>
        <v>No</v>
      </c>
      <c r="G159" s="3" t="str">
        <f>IF(OR(ISERROR(FIND("@",Hoja1!G159)),ISERROR(FIND(".",Hoja1!G159,FIND("@",Hoja1!G159)))),"Sí","No")</f>
        <v>No</v>
      </c>
      <c r="H159" s="3" t="str">
        <f>IF(LEN(Hoja1!F159)&lt;&gt;14,"Sí","No")</f>
        <v>No</v>
      </c>
      <c r="I159" s="3" t="str">
        <f>IF(Hoja1!C159&gt;Hoja1!H159,"Sí","No")</f>
        <v>No</v>
      </c>
      <c r="J159" s="3" t="str">
        <f>IF(SUMPRODUCT(--ISNUMBER(SEARCH({"0";"1";"2";"3";"4";"5";"6";"7";"8";"9"},Hoja1!D159)))=0,"Sí","No")</f>
        <v>No</v>
      </c>
      <c r="K159" s="3" t="str">
        <f t="shared" si="2"/>
        <v>No</v>
      </c>
    </row>
    <row r="160" spans="1:11" ht="15" customHeight="1" x14ac:dyDescent="0.3">
      <c r="A160" s="3" t="str">
        <f>Hoja1!A160</f>
        <v>C0159</v>
      </c>
      <c r="B160" s="3" t="str">
        <f>Hoja1!B160</f>
        <v>Evangelina Barragán Castell</v>
      </c>
      <c r="C160" s="3" t="str">
        <f>IF(COUNTA(Hoja1!A160:I160)=0,"Sí","No")</f>
        <v>No</v>
      </c>
      <c r="D160" s="3" t="str">
        <f>IF(COUNTBLANK(Hoja1!A160:I160)&gt;0,"Sí","No")</f>
        <v>No</v>
      </c>
      <c r="E160" s="3" t="str">
        <f>IF(COUNTIF(Hoja1!$A$2:$A$1000,Hoja1!A160)&gt;1,"Sí","No")</f>
        <v>No</v>
      </c>
      <c r="F160" s="3" t="str">
        <f>IF(COUNTIF(Hoja1!$G$2:$G$1000,Hoja1!G160)&gt;1,"Sí","No")</f>
        <v>No</v>
      </c>
      <c r="G160" s="3" t="str">
        <f>IF(OR(ISERROR(FIND("@",Hoja1!G160)),ISERROR(FIND(".",Hoja1!G160,FIND("@",Hoja1!G160)))),"Sí","No")</f>
        <v>No</v>
      </c>
      <c r="H160" s="3" t="str">
        <f>IF(LEN(Hoja1!F160)&lt;&gt;14,"Sí","No")</f>
        <v>No</v>
      </c>
      <c r="I160" s="3" t="str">
        <f>IF(Hoja1!C160&gt;Hoja1!H160,"Sí","No")</f>
        <v>No</v>
      </c>
      <c r="J160" s="3" t="str">
        <f>IF(SUMPRODUCT(--ISNUMBER(SEARCH({"0";"1";"2";"3";"4";"5";"6";"7";"8";"9"},Hoja1!D160)))=0,"Sí","No")</f>
        <v>No</v>
      </c>
      <c r="K160" s="3" t="str">
        <f t="shared" si="2"/>
        <v>No</v>
      </c>
    </row>
    <row r="161" spans="1:11" ht="15" customHeight="1" x14ac:dyDescent="0.3">
      <c r="A161" s="3" t="str">
        <f>Hoja1!A161</f>
        <v>C0160</v>
      </c>
      <c r="B161" s="3" t="str">
        <f>Hoja1!B161</f>
        <v>Florencia Domitila Castell Mendizábal</v>
      </c>
      <c r="C161" s="3" t="str">
        <f>IF(COUNTA(Hoja1!A161:I161)=0,"Sí","No")</f>
        <v>No</v>
      </c>
      <c r="D161" s="3" t="str">
        <f>IF(COUNTBLANK(Hoja1!A161:I161)&gt;0,"Sí","No")</f>
        <v>No</v>
      </c>
      <c r="E161" s="3" t="str">
        <f>IF(COUNTIF(Hoja1!$A$2:$A$1000,Hoja1!A161)&gt;1,"Sí","No")</f>
        <v>No</v>
      </c>
      <c r="F161" s="3" t="str">
        <f>IF(COUNTIF(Hoja1!$G$2:$G$1000,Hoja1!G161)&gt;1,"Sí","No")</f>
        <v>No</v>
      </c>
      <c r="G161" s="3" t="str">
        <f>IF(OR(ISERROR(FIND("@",Hoja1!G161)),ISERROR(FIND(".",Hoja1!G161,FIND("@",Hoja1!G161)))),"Sí","No")</f>
        <v>No</v>
      </c>
      <c r="H161" s="3" t="str">
        <f>IF(LEN(Hoja1!F161)&lt;&gt;14,"Sí","No")</f>
        <v>No</v>
      </c>
      <c r="I161" s="3" t="str">
        <f>IF(Hoja1!C161&gt;Hoja1!H161,"Sí","No")</f>
        <v>No</v>
      </c>
      <c r="J161" s="3" t="str">
        <f>IF(SUMPRODUCT(--ISNUMBER(SEARCH({"0";"1";"2";"3";"4";"5";"6";"7";"8";"9"},Hoja1!D161)))=0,"Sí","No")</f>
        <v>No</v>
      </c>
      <c r="K161" s="3" t="str">
        <f t="shared" si="2"/>
        <v>No</v>
      </c>
    </row>
    <row r="162" spans="1:11" ht="15" customHeight="1" x14ac:dyDescent="0.3">
      <c r="A162" s="3" t="str">
        <f>Hoja1!A162</f>
        <v>C0161</v>
      </c>
      <c r="B162" s="3" t="str">
        <f>Hoja1!B162</f>
        <v>Javier Arellano-Murcia</v>
      </c>
      <c r="C162" s="3" t="str">
        <f>IF(COUNTA(Hoja1!A162:I162)=0,"Sí","No")</f>
        <v>No</v>
      </c>
      <c r="D162" s="3" t="str">
        <f>IF(COUNTBLANK(Hoja1!A162:I162)&gt;0,"Sí","No")</f>
        <v>No</v>
      </c>
      <c r="E162" s="3" t="str">
        <f>IF(COUNTIF(Hoja1!$A$2:$A$1000,Hoja1!A162)&gt;1,"Sí","No")</f>
        <v>No</v>
      </c>
      <c r="F162" s="3" t="str">
        <f>IF(COUNTIF(Hoja1!$G$2:$G$1000,Hoja1!G162)&gt;1,"Sí","No")</f>
        <v>No</v>
      </c>
      <c r="G162" s="3" t="str">
        <f>IF(OR(ISERROR(FIND("@",Hoja1!G162)),ISERROR(FIND(".",Hoja1!G162,FIND("@",Hoja1!G162)))),"Sí","No")</f>
        <v>No</v>
      </c>
      <c r="H162" s="3" t="str">
        <f>IF(LEN(Hoja1!F162)&lt;&gt;14,"Sí","No")</f>
        <v>No</v>
      </c>
      <c r="I162" s="3" t="str">
        <f>IF(Hoja1!C162&gt;Hoja1!H162,"Sí","No")</f>
        <v>No</v>
      </c>
      <c r="J162" s="3" t="str">
        <f>IF(SUMPRODUCT(--ISNUMBER(SEARCH({"0";"1";"2";"3";"4";"5";"6";"7";"8";"9"},Hoja1!D162)))=0,"Sí","No")</f>
        <v>No</v>
      </c>
      <c r="K162" s="3" t="str">
        <f t="shared" si="2"/>
        <v>No</v>
      </c>
    </row>
    <row r="163" spans="1:11" ht="15" customHeight="1" x14ac:dyDescent="0.3">
      <c r="A163" s="3" t="str">
        <f>Hoja1!A163</f>
        <v>C0162</v>
      </c>
      <c r="B163" s="3" t="str">
        <f>Hoja1!B163</f>
        <v>Aurelia Sans Oller</v>
      </c>
      <c r="C163" s="3" t="str">
        <f>IF(COUNTA(Hoja1!A163:I163)=0,"Sí","No")</f>
        <v>No</v>
      </c>
      <c r="D163" s="3" t="str">
        <f>IF(COUNTBLANK(Hoja1!A163:I163)&gt;0,"Sí","No")</f>
        <v>No</v>
      </c>
      <c r="E163" s="3" t="str">
        <f>IF(COUNTIF(Hoja1!$A$2:$A$1000,Hoja1!A163)&gt;1,"Sí","No")</f>
        <v>No</v>
      </c>
      <c r="F163" s="3" t="str">
        <f>IF(COUNTIF(Hoja1!$G$2:$G$1000,Hoja1!G163)&gt;1,"Sí","No")</f>
        <v>No</v>
      </c>
      <c r="G163" s="3" t="str">
        <f>IF(OR(ISERROR(FIND("@",Hoja1!G163)),ISERROR(FIND(".",Hoja1!G163,FIND("@",Hoja1!G163)))),"Sí","No")</f>
        <v>No</v>
      </c>
      <c r="H163" s="3" t="str">
        <f>IF(LEN(Hoja1!F163)&lt;&gt;14,"Sí","No")</f>
        <v>No</v>
      </c>
      <c r="I163" s="3" t="str">
        <f>IF(Hoja1!C163&gt;Hoja1!H163,"Sí","No")</f>
        <v>No</v>
      </c>
      <c r="J163" s="3" t="str">
        <f>IF(SUMPRODUCT(--ISNUMBER(SEARCH({"0";"1";"2";"3";"4";"5";"6";"7";"8";"9"},Hoja1!D163)))=0,"Sí","No")</f>
        <v>No</v>
      </c>
      <c r="K163" s="3" t="str">
        <f t="shared" si="2"/>
        <v>No</v>
      </c>
    </row>
    <row r="164" spans="1:11" ht="15" customHeight="1" x14ac:dyDescent="0.3">
      <c r="A164" s="3" t="str">
        <f>Hoja1!A164</f>
        <v>C0163</v>
      </c>
      <c r="B164" s="3" t="str">
        <f>Hoja1!B164</f>
        <v>Teodora Jerez Tormo</v>
      </c>
      <c r="C164" s="3" t="str">
        <f>IF(COUNTA(Hoja1!A164:I164)=0,"Sí","No")</f>
        <v>No</v>
      </c>
      <c r="D164" s="3" t="str">
        <f>IF(COUNTBLANK(Hoja1!A164:I164)&gt;0,"Sí","No")</f>
        <v>No</v>
      </c>
      <c r="E164" s="3" t="str">
        <f>IF(COUNTIF(Hoja1!$A$2:$A$1000,Hoja1!A164)&gt;1,"Sí","No")</f>
        <v>No</v>
      </c>
      <c r="F164" s="3" t="str">
        <f>IF(COUNTIF(Hoja1!$G$2:$G$1000,Hoja1!G164)&gt;1,"Sí","No")</f>
        <v>Sí</v>
      </c>
      <c r="G164" s="3" t="str">
        <f>IF(OR(ISERROR(FIND("@",Hoja1!G164)),ISERROR(FIND(".",Hoja1!G164,FIND("@",Hoja1!G164)))),"Sí","No")</f>
        <v>No</v>
      </c>
      <c r="H164" s="3" t="str">
        <f>IF(LEN(Hoja1!F164)&lt;&gt;14,"Sí","No")</f>
        <v>No</v>
      </c>
      <c r="I164" s="3" t="str">
        <f>IF(Hoja1!C164&gt;Hoja1!H164,"Sí","No")</f>
        <v>No</v>
      </c>
      <c r="J164" s="3" t="str">
        <f>IF(SUMPRODUCT(--ISNUMBER(SEARCH({"0";"1";"2";"3";"4";"5";"6";"7";"8";"9"},Hoja1!D164)))=0,"Sí","No")</f>
        <v>No</v>
      </c>
      <c r="K164" s="3" t="str">
        <f t="shared" si="2"/>
        <v>Sí</v>
      </c>
    </row>
    <row r="165" spans="1:11" ht="15" customHeight="1" x14ac:dyDescent="0.3">
      <c r="A165" s="3" t="str">
        <f>Hoja1!A165</f>
        <v>C0164</v>
      </c>
      <c r="B165" s="3" t="str">
        <f>Hoja1!B165</f>
        <v>Cornelio Noguera Lluch</v>
      </c>
      <c r="C165" s="3" t="str">
        <f>IF(COUNTA(Hoja1!A165:I165)=0,"Sí","No")</f>
        <v>No</v>
      </c>
      <c r="D165" s="3" t="str">
        <f>IF(COUNTBLANK(Hoja1!A165:I165)&gt;0,"Sí","No")</f>
        <v>No</v>
      </c>
      <c r="E165" s="3" t="str">
        <f>IF(COUNTIF(Hoja1!$A$2:$A$1000,Hoja1!A165)&gt;1,"Sí","No")</f>
        <v>No</v>
      </c>
      <c r="F165" s="3" t="str">
        <f>IF(COUNTIF(Hoja1!$G$2:$G$1000,Hoja1!G165)&gt;1,"Sí","No")</f>
        <v>No</v>
      </c>
      <c r="G165" s="3" t="str">
        <f>IF(OR(ISERROR(FIND("@",Hoja1!G165)),ISERROR(FIND(".",Hoja1!G165,FIND("@",Hoja1!G165)))),"Sí","No")</f>
        <v>No</v>
      </c>
      <c r="H165" s="3" t="str">
        <f>IF(LEN(Hoja1!F165)&lt;&gt;14,"Sí","No")</f>
        <v>No</v>
      </c>
      <c r="I165" s="3" t="str">
        <f>IF(Hoja1!C165&gt;Hoja1!H165,"Sí","No")</f>
        <v>No</v>
      </c>
      <c r="J165" s="3" t="str">
        <f>IF(SUMPRODUCT(--ISNUMBER(SEARCH({"0";"1";"2";"3";"4";"5";"6";"7";"8";"9"},Hoja1!D165)))=0,"Sí","No")</f>
        <v>No</v>
      </c>
      <c r="K165" s="3" t="str">
        <f t="shared" si="2"/>
        <v>No</v>
      </c>
    </row>
    <row r="166" spans="1:11" ht="15" customHeight="1" x14ac:dyDescent="0.3">
      <c r="A166" s="3" t="str">
        <f>Hoja1!A166</f>
        <v>C0165</v>
      </c>
      <c r="B166" s="3" t="str">
        <f>Hoja1!B166</f>
        <v>Carla Serna Montalbán</v>
      </c>
      <c r="C166" s="3" t="str">
        <f>IF(COUNTA(Hoja1!A166:I166)=0,"Sí","No")</f>
        <v>No</v>
      </c>
      <c r="D166" s="3" t="str">
        <f>IF(COUNTBLANK(Hoja1!A166:I166)&gt;0,"Sí","No")</f>
        <v>No</v>
      </c>
      <c r="E166" s="3" t="str">
        <f>IF(COUNTIF(Hoja1!$A$2:$A$1000,Hoja1!A166)&gt;1,"Sí","No")</f>
        <v>No</v>
      </c>
      <c r="F166" s="3" t="str">
        <f>IF(COUNTIF(Hoja1!$G$2:$G$1000,Hoja1!G166)&gt;1,"Sí","No")</f>
        <v>No</v>
      </c>
      <c r="G166" s="3" t="str">
        <f>IF(OR(ISERROR(FIND("@",Hoja1!G166)),ISERROR(FIND(".",Hoja1!G166,FIND("@",Hoja1!G166)))),"Sí","No")</f>
        <v>No</v>
      </c>
      <c r="H166" s="3" t="str">
        <f>IF(LEN(Hoja1!F166)&lt;&gt;14,"Sí","No")</f>
        <v>No</v>
      </c>
      <c r="I166" s="3" t="str">
        <f>IF(Hoja1!C166&gt;Hoja1!H166,"Sí","No")</f>
        <v>No</v>
      </c>
      <c r="J166" s="3" t="str">
        <f>IF(SUMPRODUCT(--ISNUMBER(SEARCH({"0";"1";"2";"3";"4";"5";"6";"7";"8";"9"},Hoja1!D166)))=0,"Sí","No")</f>
        <v>No</v>
      </c>
      <c r="K166" s="3" t="str">
        <f t="shared" si="2"/>
        <v>No</v>
      </c>
    </row>
    <row r="167" spans="1:11" ht="15" customHeight="1" x14ac:dyDescent="0.3">
      <c r="A167" s="3" t="str">
        <f>Hoja1!A167</f>
        <v>C0166</v>
      </c>
      <c r="B167" s="3" t="str">
        <f>Hoja1!B167</f>
        <v>Macarena Valeria Feliu Mayol</v>
      </c>
      <c r="C167" s="3" t="str">
        <f>IF(COUNTA(Hoja1!A167:I167)=0,"Sí","No")</f>
        <v>No</v>
      </c>
      <c r="D167" s="3" t="str">
        <f>IF(COUNTBLANK(Hoja1!A167:I167)&gt;0,"Sí","No")</f>
        <v>No</v>
      </c>
      <c r="E167" s="3" t="str">
        <f>IF(COUNTIF(Hoja1!$A$2:$A$1000,Hoja1!A167)&gt;1,"Sí","No")</f>
        <v>No</v>
      </c>
      <c r="F167" s="3" t="str">
        <f>IF(COUNTIF(Hoja1!$G$2:$G$1000,Hoja1!G167)&gt;1,"Sí","No")</f>
        <v>No</v>
      </c>
      <c r="G167" s="3" t="str">
        <f>IF(OR(ISERROR(FIND("@",Hoja1!G167)),ISERROR(FIND(".",Hoja1!G167,FIND("@",Hoja1!G167)))),"Sí","No")</f>
        <v>No</v>
      </c>
      <c r="H167" s="3" t="str">
        <f>IF(LEN(Hoja1!F167)&lt;&gt;14,"Sí","No")</f>
        <v>No</v>
      </c>
      <c r="I167" s="3" t="str">
        <f>IF(Hoja1!C167&gt;Hoja1!H167,"Sí","No")</f>
        <v>No</v>
      </c>
      <c r="J167" s="3" t="str">
        <f>IF(SUMPRODUCT(--ISNUMBER(SEARCH({"0";"1";"2";"3";"4";"5";"6";"7";"8";"9"},Hoja1!D167)))=0,"Sí","No")</f>
        <v>No</v>
      </c>
      <c r="K167" s="3" t="str">
        <f t="shared" si="2"/>
        <v>No</v>
      </c>
    </row>
    <row r="168" spans="1:11" ht="15" customHeight="1" x14ac:dyDescent="0.3">
      <c r="A168" s="3" t="str">
        <f>Hoja1!A168</f>
        <v>C0167</v>
      </c>
      <c r="B168" s="3" t="str">
        <f>Hoja1!B168</f>
        <v>Jacinta Paz Domingo Rivas</v>
      </c>
      <c r="C168" s="3" t="str">
        <f>IF(COUNTA(Hoja1!A168:I168)=0,"Sí","No")</f>
        <v>No</v>
      </c>
      <c r="D168" s="3" t="str">
        <f>IF(COUNTBLANK(Hoja1!A168:I168)&gt;0,"Sí","No")</f>
        <v>No</v>
      </c>
      <c r="E168" s="3" t="str">
        <f>IF(COUNTIF(Hoja1!$A$2:$A$1000,Hoja1!A168)&gt;1,"Sí","No")</f>
        <v>No</v>
      </c>
      <c r="F168" s="3" t="str">
        <f>IF(COUNTIF(Hoja1!$G$2:$G$1000,Hoja1!G168)&gt;1,"Sí","No")</f>
        <v>No</v>
      </c>
      <c r="G168" s="3" t="str">
        <f>IF(OR(ISERROR(FIND("@",Hoja1!G168)),ISERROR(FIND(".",Hoja1!G168,FIND("@",Hoja1!G168)))),"Sí","No")</f>
        <v>No</v>
      </c>
      <c r="H168" s="3" t="str">
        <f>IF(LEN(Hoja1!F168)&lt;&gt;14,"Sí","No")</f>
        <v>No</v>
      </c>
      <c r="I168" s="3" t="str">
        <f>IF(Hoja1!C168&gt;Hoja1!H168,"Sí","No")</f>
        <v>No</v>
      </c>
      <c r="J168" s="3" t="str">
        <f>IF(SUMPRODUCT(--ISNUMBER(SEARCH({"0";"1";"2";"3";"4";"5";"6";"7";"8";"9"},Hoja1!D168)))=0,"Sí","No")</f>
        <v>No</v>
      </c>
      <c r="K168" s="3" t="str">
        <f t="shared" si="2"/>
        <v>No</v>
      </c>
    </row>
    <row r="169" spans="1:11" ht="15" customHeight="1" x14ac:dyDescent="0.3">
      <c r="A169" s="3" t="str">
        <f>Hoja1!A169</f>
        <v>C0168</v>
      </c>
      <c r="B169" s="3" t="str">
        <f>Hoja1!B169</f>
        <v>Victor Manuel Tejedor Nevado</v>
      </c>
      <c r="C169" s="3" t="str">
        <f>IF(COUNTA(Hoja1!A169:I169)=0,"Sí","No")</f>
        <v>No</v>
      </c>
      <c r="D169" s="3" t="str">
        <f>IF(COUNTBLANK(Hoja1!A169:I169)&gt;0,"Sí","No")</f>
        <v>No</v>
      </c>
      <c r="E169" s="3" t="str">
        <f>IF(COUNTIF(Hoja1!$A$2:$A$1000,Hoja1!A169)&gt;1,"Sí","No")</f>
        <v>No</v>
      </c>
      <c r="F169" s="3" t="str">
        <f>IF(COUNTIF(Hoja1!$G$2:$G$1000,Hoja1!G169)&gt;1,"Sí","No")</f>
        <v>No</v>
      </c>
      <c r="G169" s="3" t="str">
        <f>IF(OR(ISERROR(FIND("@",Hoja1!G169)),ISERROR(FIND(".",Hoja1!G169,FIND("@",Hoja1!G169)))),"Sí","No")</f>
        <v>No</v>
      </c>
      <c r="H169" s="3" t="str">
        <f>IF(LEN(Hoja1!F169)&lt;&gt;14,"Sí","No")</f>
        <v>No</v>
      </c>
      <c r="I169" s="3" t="str">
        <f>IF(Hoja1!C169&gt;Hoja1!H169,"Sí","No")</f>
        <v>No</v>
      </c>
      <c r="J169" s="3" t="str">
        <f>IF(SUMPRODUCT(--ISNUMBER(SEARCH({"0";"1";"2";"3";"4";"5";"6";"7";"8";"9"},Hoja1!D169)))=0,"Sí","No")</f>
        <v>No</v>
      </c>
      <c r="K169" s="3" t="str">
        <f t="shared" si="2"/>
        <v>No</v>
      </c>
    </row>
    <row r="170" spans="1:11" ht="15" customHeight="1" x14ac:dyDescent="0.3">
      <c r="A170" s="3" t="str">
        <f>Hoja1!A170</f>
        <v>C0169</v>
      </c>
      <c r="B170" s="3" t="str">
        <f>Hoja1!B170</f>
        <v>Blanca Molina Francisco</v>
      </c>
      <c r="C170" s="3" t="str">
        <f>IF(COUNTA(Hoja1!A170:I170)=0,"Sí","No")</f>
        <v>No</v>
      </c>
      <c r="D170" s="3" t="str">
        <f>IF(COUNTBLANK(Hoja1!A170:I170)&gt;0,"Sí","No")</f>
        <v>No</v>
      </c>
      <c r="E170" s="3" t="str">
        <f>IF(COUNTIF(Hoja1!$A$2:$A$1000,Hoja1!A170)&gt;1,"Sí","No")</f>
        <v>No</v>
      </c>
      <c r="F170" s="3" t="str">
        <f>IF(COUNTIF(Hoja1!$G$2:$G$1000,Hoja1!G170)&gt;1,"Sí","No")</f>
        <v>No</v>
      </c>
      <c r="G170" s="3" t="str">
        <f>IF(OR(ISERROR(FIND("@",Hoja1!G170)),ISERROR(FIND(".",Hoja1!G170,FIND("@",Hoja1!G170)))),"Sí","No")</f>
        <v>No</v>
      </c>
      <c r="H170" s="3" t="str">
        <f>IF(LEN(Hoja1!F170)&lt;&gt;14,"Sí","No")</f>
        <v>No</v>
      </c>
      <c r="I170" s="3" t="str">
        <f>IF(Hoja1!C170&gt;Hoja1!H170,"Sí","No")</f>
        <v>No</v>
      </c>
      <c r="J170" s="3" t="str">
        <f>IF(SUMPRODUCT(--ISNUMBER(SEARCH({"0";"1";"2";"3";"4";"5";"6";"7";"8";"9"},Hoja1!D170)))=0,"Sí","No")</f>
        <v>No</v>
      </c>
      <c r="K170" s="3" t="str">
        <f t="shared" si="2"/>
        <v>No</v>
      </c>
    </row>
    <row r="171" spans="1:11" ht="15" customHeight="1" x14ac:dyDescent="0.3">
      <c r="A171" s="3" t="str">
        <f>Hoja1!A171</f>
        <v>C0170</v>
      </c>
      <c r="B171" s="3" t="str">
        <f>Hoja1!B171</f>
        <v>Jonatan Fonseca Quevedo</v>
      </c>
      <c r="C171" s="3" t="str">
        <f>IF(COUNTA(Hoja1!A171:I171)=0,"Sí","No")</f>
        <v>No</v>
      </c>
      <c r="D171" s="3" t="str">
        <f>IF(COUNTBLANK(Hoja1!A171:I171)&gt;0,"Sí","No")</f>
        <v>No</v>
      </c>
      <c r="E171" s="3" t="str">
        <f>IF(COUNTIF(Hoja1!$A$2:$A$1000,Hoja1!A171)&gt;1,"Sí","No")</f>
        <v>No</v>
      </c>
      <c r="F171" s="3" t="str">
        <f>IF(COUNTIF(Hoja1!$G$2:$G$1000,Hoja1!G171)&gt;1,"Sí","No")</f>
        <v>No</v>
      </c>
      <c r="G171" s="3" t="str">
        <f>IF(OR(ISERROR(FIND("@",Hoja1!G171)),ISERROR(FIND(".",Hoja1!G171,FIND("@",Hoja1!G171)))),"Sí","No")</f>
        <v>No</v>
      </c>
      <c r="H171" s="3" t="str">
        <f>IF(LEN(Hoja1!F171)&lt;&gt;14,"Sí","No")</f>
        <v>No</v>
      </c>
      <c r="I171" s="3" t="str">
        <f>IF(Hoja1!C171&gt;Hoja1!H171,"Sí","No")</f>
        <v>No</v>
      </c>
      <c r="J171" s="3" t="str">
        <f>IF(SUMPRODUCT(--ISNUMBER(SEARCH({"0";"1";"2";"3";"4";"5";"6";"7";"8";"9"},Hoja1!D171)))=0,"Sí","No")</f>
        <v>No</v>
      </c>
      <c r="K171" s="3" t="str">
        <f t="shared" si="2"/>
        <v>No</v>
      </c>
    </row>
    <row r="172" spans="1:11" ht="15" customHeight="1" x14ac:dyDescent="0.3">
      <c r="A172" s="3" t="str">
        <f>Hoja1!A172</f>
        <v>C0171</v>
      </c>
      <c r="B172" s="3" t="str">
        <f>Hoja1!B172</f>
        <v>Humberto Vila</v>
      </c>
      <c r="C172" s="3" t="str">
        <f>IF(COUNTA(Hoja1!A172:I172)=0,"Sí","No")</f>
        <v>No</v>
      </c>
      <c r="D172" s="3" t="str">
        <f>IF(COUNTBLANK(Hoja1!A172:I172)&gt;0,"Sí","No")</f>
        <v>No</v>
      </c>
      <c r="E172" s="3" t="str">
        <f>IF(COUNTIF(Hoja1!$A$2:$A$1000,Hoja1!A172)&gt;1,"Sí","No")</f>
        <v>No</v>
      </c>
      <c r="F172" s="3" t="str">
        <f>IF(COUNTIF(Hoja1!$G$2:$G$1000,Hoja1!G172)&gt;1,"Sí","No")</f>
        <v>No</v>
      </c>
      <c r="G172" s="3" t="str">
        <f>IF(OR(ISERROR(FIND("@",Hoja1!G172)),ISERROR(FIND(".",Hoja1!G172,FIND("@",Hoja1!G172)))),"Sí","No")</f>
        <v>No</v>
      </c>
      <c r="H172" s="3" t="str">
        <f>IF(LEN(Hoja1!F172)&lt;&gt;14,"Sí","No")</f>
        <v>No</v>
      </c>
      <c r="I172" s="3" t="str">
        <f>IF(Hoja1!C172&gt;Hoja1!H172,"Sí","No")</f>
        <v>No</v>
      </c>
      <c r="J172" s="3" t="str">
        <f>IF(SUMPRODUCT(--ISNUMBER(SEARCH({"0";"1";"2";"3";"4";"5";"6";"7";"8";"9"},Hoja1!D172)))=0,"Sí","No")</f>
        <v>No</v>
      </c>
      <c r="K172" s="3" t="str">
        <f t="shared" si="2"/>
        <v>No</v>
      </c>
    </row>
    <row r="173" spans="1:11" ht="15" customHeight="1" x14ac:dyDescent="0.3">
      <c r="A173" s="3" t="str">
        <f>Hoja1!A173</f>
        <v>C0172</v>
      </c>
      <c r="B173" s="3" t="str">
        <f>Hoja1!B173</f>
        <v>Isaura Fuentes Guardiola</v>
      </c>
      <c r="C173" s="3" t="str">
        <f>IF(COUNTA(Hoja1!A173:I173)=0,"Sí","No")</f>
        <v>No</v>
      </c>
      <c r="D173" s="3" t="str">
        <f>IF(COUNTBLANK(Hoja1!A173:I173)&gt;0,"Sí","No")</f>
        <v>No</v>
      </c>
      <c r="E173" s="3" t="str">
        <f>IF(COUNTIF(Hoja1!$A$2:$A$1000,Hoja1!A173)&gt;1,"Sí","No")</f>
        <v>No</v>
      </c>
      <c r="F173" s="3" t="str">
        <f>IF(COUNTIF(Hoja1!$G$2:$G$1000,Hoja1!G173)&gt;1,"Sí","No")</f>
        <v>No</v>
      </c>
      <c r="G173" s="3" t="str">
        <f>IF(OR(ISERROR(FIND("@",Hoja1!G173)),ISERROR(FIND(".",Hoja1!G173,FIND("@",Hoja1!G173)))),"Sí","No")</f>
        <v>No</v>
      </c>
      <c r="H173" s="3" t="str">
        <f>IF(LEN(Hoja1!F173)&lt;&gt;14,"Sí","No")</f>
        <v>No</v>
      </c>
      <c r="I173" s="3" t="str">
        <f>IF(Hoja1!C173&gt;Hoja1!H173,"Sí","No")</f>
        <v>No</v>
      </c>
      <c r="J173" s="3" t="str">
        <f>IF(SUMPRODUCT(--ISNUMBER(SEARCH({"0";"1";"2";"3";"4";"5";"6";"7";"8";"9"},Hoja1!D173)))=0,"Sí","No")</f>
        <v>No</v>
      </c>
      <c r="K173" s="3" t="str">
        <f t="shared" si="2"/>
        <v>No</v>
      </c>
    </row>
    <row r="174" spans="1:11" ht="15" customHeight="1" x14ac:dyDescent="0.3">
      <c r="A174" s="3" t="str">
        <f>Hoja1!A174</f>
        <v>C0173</v>
      </c>
      <c r="B174" s="3" t="str">
        <f>Hoja1!B174</f>
        <v>Rufina Vargas Andres</v>
      </c>
      <c r="C174" s="3" t="str">
        <f>IF(COUNTA(Hoja1!A174:I174)=0,"Sí","No")</f>
        <v>No</v>
      </c>
      <c r="D174" s="3" t="str">
        <f>IF(COUNTBLANK(Hoja1!A174:I174)&gt;0,"Sí","No")</f>
        <v>No</v>
      </c>
      <c r="E174" s="3" t="str">
        <f>IF(COUNTIF(Hoja1!$A$2:$A$1000,Hoja1!A174)&gt;1,"Sí","No")</f>
        <v>No</v>
      </c>
      <c r="F174" s="3" t="str">
        <f>IF(COUNTIF(Hoja1!$G$2:$G$1000,Hoja1!G174)&gt;1,"Sí","No")</f>
        <v>Sí</v>
      </c>
      <c r="G174" s="3" t="str">
        <f>IF(OR(ISERROR(FIND("@",Hoja1!G174)),ISERROR(FIND(".",Hoja1!G174,FIND("@",Hoja1!G174)))),"Sí","No")</f>
        <v>No</v>
      </c>
      <c r="H174" s="3" t="str">
        <f>IF(LEN(Hoja1!F174)&lt;&gt;14,"Sí","No")</f>
        <v>No</v>
      </c>
      <c r="I174" s="3" t="str">
        <f>IF(Hoja1!C174&gt;Hoja1!H174,"Sí","No")</f>
        <v>No</v>
      </c>
      <c r="J174" s="3" t="str">
        <f>IF(SUMPRODUCT(--ISNUMBER(SEARCH({"0";"1";"2";"3";"4";"5";"6";"7";"8";"9"},Hoja1!D174)))=0,"Sí","No")</f>
        <v>No</v>
      </c>
      <c r="K174" s="3" t="str">
        <f t="shared" si="2"/>
        <v>Sí</v>
      </c>
    </row>
    <row r="175" spans="1:11" ht="15" customHeight="1" x14ac:dyDescent="0.3">
      <c r="A175" s="3" t="str">
        <f>Hoja1!A175</f>
        <v>C0174</v>
      </c>
      <c r="B175" s="3" t="str">
        <f>Hoja1!B175</f>
        <v>Reinaldo Barral Lago</v>
      </c>
      <c r="C175" s="3" t="str">
        <f>IF(COUNTA(Hoja1!A175:I175)=0,"Sí","No")</f>
        <v>No</v>
      </c>
      <c r="D175" s="3" t="str">
        <f>IF(COUNTBLANK(Hoja1!A175:I175)&gt;0,"Sí","No")</f>
        <v>No</v>
      </c>
      <c r="E175" s="3" t="str">
        <f>IF(COUNTIF(Hoja1!$A$2:$A$1000,Hoja1!A175)&gt;1,"Sí","No")</f>
        <v>No</v>
      </c>
      <c r="F175" s="3" t="str">
        <f>IF(COUNTIF(Hoja1!$G$2:$G$1000,Hoja1!G175)&gt;1,"Sí","No")</f>
        <v>No</v>
      </c>
      <c r="G175" s="3" t="str">
        <f>IF(OR(ISERROR(FIND("@",Hoja1!G175)),ISERROR(FIND(".",Hoja1!G175,FIND("@",Hoja1!G175)))),"Sí","No")</f>
        <v>No</v>
      </c>
      <c r="H175" s="3" t="str">
        <f>IF(LEN(Hoja1!F175)&lt;&gt;14,"Sí","No")</f>
        <v>No</v>
      </c>
      <c r="I175" s="3" t="str">
        <f>IF(Hoja1!C175&gt;Hoja1!H175,"Sí","No")</f>
        <v>No</v>
      </c>
      <c r="J175" s="3" t="str">
        <f>IF(SUMPRODUCT(--ISNUMBER(SEARCH({"0";"1";"2";"3";"4";"5";"6";"7";"8";"9"},Hoja1!D175)))=0,"Sí","No")</f>
        <v>No</v>
      </c>
      <c r="K175" s="3" t="str">
        <f t="shared" si="2"/>
        <v>No</v>
      </c>
    </row>
    <row r="176" spans="1:11" ht="15" customHeight="1" x14ac:dyDescent="0.3">
      <c r="A176" s="3" t="str">
        <f>Hoja1!A176</f>
        <v>C0175</v>
      </c>
      <c r="B176" s="3" t="str">
        <f>Hoja1!B176</f>
        <v>Jose Ignacio Vila-Rios</v>
      </c>
      <c r="C176" s="3" t="str">
        <f>IF(COUNTA(Hoja1!A176:I176)=0,"Sí","No")</f>
        <v>No</v>
      </c>
      <c r="D176" s="3" t="str">
        <f>IF(COUNTBLANK(Hoja1!A176:I176)&gt;0,"Sí","No")</f>
        <v>No</v>
      </c>
      <c r="E176" s="3" t="str">
        <f>IF(COUNTIF(Hoja1!$A$2:$A$1000,Hoja1!A176)&gt;1,"Sí","No")</f>
        <v>No</v>
      </c>
      <c r="F176" s="3" t="str">
        <f>IF(COUNTIF(Hoja1!$G$2:$G$1000,Hoja1!G176)&gt;1,"Sí","No")</f>
        <v>No</v>
      </c>
      <c r="G176" s="3" t="str">
        <f>IF(OR(ISERROR(FIND("@",Hoja1!G176)),ISERROR(FIND(".",Hoja1!G176,FIND("@",Hoja1!G176)))),"Sí","No")</f>
        <v>No</v>
      </c>
      <c r="H176" s="3" t="str">
        <f>IF(LEN(Hoja1!F176)&lt;&gt;14,"Sí","No")</f>
        <v>No</v>
      </c>
      <c r="I176" s="3" t="str">
        <f>IF(Hoja1!C176&gt;Hoja1!H176,"Sí","No")</f>
        <v>No</v>
      </c>
      <c r="J176" s="3" t="str">
        <f>IF(SUMPRODUCT(--ISNUMBER(SEARCH({"0";"1";"2";"3";"4";"5";"6";"7";"8";"9"},Hoja1!D176)))=0,"Sí","No")</f>
        <v>No</v>
      </c>
      <c r="K176" s="3" t="str">
        <f t="shared" si="2"/>
        <v>No</v>
      </c>
    </row>
    <row r="177" spans="1:11" ht="15" customHeight="1" x14ac:dyDescent="0.3">
      <c r="A177" s="3" t="str">
        <f>Hoja1!A177</f>
        <v>C0176</v>
      </c>
      <c r="B177" s="3" t="str">
        <f>Hoja1!B177</f>
        <v>Roberto Cánovas Segura</v>
      </c>
      <c r="C177" s="3" t="str">
        <f>IF(COUNTA(Hoja1!A177:I177)=0,"Sí","No")</f>
        <v>No</v>
      </c>
      <c r="D177" s="3" t="str">
        <f>IF(COUNTBLANK(Hoja1!A177:I177)&gt;0,"Sí","No")</f>
        <v>No</v>
      </c>
      <c r="E177" s="3" t="str">
        <f>IF(COUNTIF(Hoja1!$A$2:$A$1000,Hoja1!A177)&gt;1,"Sí","No")</f>
        <v>No</v>
      </c>
      <c r="F177" s="3" t="str">
        <f>IF(COUNTIF(Hoja1!$G$2:$G$1000,Hoja1!G177)&gt;1,"Sí","No")</f>
        <v>No</v>
      </c>
      <c r="G177" s="3" t="str">
        <f>IF(OR(ISERROR(FIND("@",Hoja1!G177)),ISERROR(FIND(".",Hoja1!G177,FIND("@",Hoja1!G177)))),"Sí","No")</f>
        <v>No</v>
      </c>
      <c r="H177" s="3" t="str">
        <f>IF(LEN(Hoja1!F177)&lt;&gt;14,"Sí","No")</f>
        <v>No</v>
      </c>
      <c r="I177" s="3" t="str">
        <f>IF(Hoja1!C177&gt;Hoja1!H177,"Sí","No")</f>
        <v>No</v>
      </c>
      <c r="J177" s="3" t="str">
        <f>IF(SUMPRODUCT(--ISNUMBER(SEARCH({"0";"1";"2";"3";"4";"5";"6";"7";"8";"9"},Hoja1!D177)))=0,"Sí","No")</f>
        <v>No</v>
      </c>
      <c r="K177" s="3" t="str">
        <f t="shared" si="2"/>
        <v>No</v>
      </c>
    </row>
    <row r="178" spans="1:11" ht="15" customHeight="1" x14ac:dyDescent="0.3">
      <c r="A178" s="3" t="str">
        <f>Hoja1!A178</f>
        <v>C0177</v>
      </c>
      <c r="B178" s="3" t="str">
        <f>Hoja1!B178</f>
        <v>Rómulo Ortega-Giner</v>
      </c>
      <c r="C178" s="3" t="str">
        <f>IF(COUNTA(Hoja1!A178:I178)=0,"Sí","No")</f>
        <v>No</v>
      </c>
      <c r="D178" s="3" t="str">
        <f>IF(COUNTBLANK(Hoja1!A178:I178)&gt;0,"Sí","No")</f>
        <v>No</v>
      </c>
      <c r="E178" s="3" t="str">
        <f>IF(COUNTIF(Hoja1!$A$2:$A$1000,Hoja1!A178)&gt;1,"Sí","No")</f>
        <v>No</v>
      </c>
      <c r="F178" s="3" t="str">
        <f>IF(COUNTIF(Hoja1!$G$2:$G$1000,Hoja1!G178)&gt;1,"Sí","No")</f>
        <v>No</v>
      </c>
      <c r="G178" s="3" t="str">
        <f>IF(OR(ISERROR(FIND("@",Hoja1!G178)),ISERROR(FIND(".",Hoja1!G178,FIND("@",Hoja1!G178)))),"Sí","No")</f>
        <v>No</v>
      </c>
      <c r="H178" s="3" t="str">
        <f>IF(LEN(Hoja1!F178)&lt;&gt;14,"Sí","No")</f>
        <v>No</v>
      </c>
      <c r="I178" s="3" t="str">
        <f>IF(Hoja1!C178&gt;Hoja1!H178,"Sí","No")</f>
        <v>No</v>
      </c>
      <c r="J178" s="3" t="str">
        <f>IF(SUMPRODUCT(--ISNUMBER(SEARCH({"0";"1";"2";"3";"4";"5";"6";"7";"8";"9"},Hoja1!D178)))=0,"Sí","No")</f>
        <v>No</v>
      </c>
      <c r="K178" s="3" t="str">
        <f t="shared" si="2"/>
        <v>No</v>
      </c>
    </row>
    <row r="179" spans="1:11" ht="15" customHeight="1" x14ac:dyDescent="0.3">
      <c r="A179" s="3" t="str">
        <f>Hoja1!A179</f>
        <v>C0178</v>
      </c>
      <c r="B179" s="3" t="str">
        <f>Hoja1!B179</f>
        <v>Gastón Leon Solana</v>
      </c>
      <c r="C179" s="3" t="str">
        <f>IF(COUNTA(Hoja1!A179:I179)=0,"Sí","No")</f>
        <v>No</v>
      </c>
      <c r="D179" s="3" t="str">
        <f>IF(COUNTBLANK(Hoja1!A179:I179)&gt;0,"Sí","No")</f>
        <v>No</v>
      </c>
      <c r="E179" s="3" t="str">
        <f>IF(COUNTIF(Hoja1!$A$2:$A$1000,Hoja1!A179)&gt;1,"Sí","No")</f>
        <v>No</v>
      </c>
      <c r="F179" s="3" t="str">
        <f>IF(COUNTIF(Hoja1!$G$2:$G$1000,Hoja1!G179)&gt;1,"Sí","No")</f>
        <v>No</v>
      </c>
      <c r="G179" s="3" t="str">
        <f>IF(OR(ISERROR(FIND("@",Hoja1!G179)),ISERROR(FIND(".",Hoja1!G179,FIND("@",Hoja1!G179)))),"Sí","No")</f>
        <v>No</v>
      </c>
      <c r="H179" s="3" t="str">
        <f>IF(LEN(Hoja1!F179)&lt;&gt;14,"Sí","No")</f>
        <v>No</v>
      </c>
      <c r="I179" s="3" t="str">
        <f>IF(Hoja1!C179&gt;Hoja1!H179,"Sí","No")</f>
        <v>No</v>
      </c>
      <c r="J179" s="3" t="str">
        <f>IF(SUMPRODUCT(--ISNUMBER(SEARCH({"0";"1";"2";"3";"4";"5";"6";"7";"8";"9"},Hoja1!D179)))=0,"Sí","No")</f>
        <v>No</v>
      </c>
      <c r="K179" s="3" t="str">
        <f t="shared" si="2"/>
        <v>No</v>
      </c>
    </row>
    <row r="180" spans="1:11" ht="15" customHeight="1" x14ac:dyDescent="0.3">
      <c r="A180" s="3" t="str">
        <f>Hoja1!A180</f>
        <v>C0179</v>
      </c>
      <c r="B180" s="3" t="str">
        <f>Hoja1!B180</f>
        <v>Emilia Jove-Ropero</v>
      </c>
      <c r="C180" s="3" t="str">
        <f>IF(COUNTA(Hoja1!A180:I180)=0,"Sí","No")</f>
        <v>No</v>
      </c>
      <c r="D180" s="3" t="str">
        <f>IF(COUNTBLANK(Hoja1!A180:I180)&gt;0,"Sí","No")</f>
        <v>No</v>
      </c>
      <c r="E180" s="3" t="str">
        <f>IF(COUNTIF(Hoja1!$A$2:$A$1000,Hoja1!A180)&gt;1,"Sí","No")</f>
        <v>No</v>
      </c>
      <c r="F180" s="3" t="str">
        <f>IF(COUNTIF(Hoja1!$G$2:$G$1000,Hoja1!G180)&gt;1,"Sí","No")</f>
        <v>No</v>
      </c>
      <c r="G180" s="3" t="str">
        <f>IF(OR(ISERROR(FIND("@",Hoja1!G180)),ISERROR(FIND(".",Hoja1!G180,FIND("@",Hoja1!G180)))),"Sí","No")</f>
        <v>No</v>
      </c>
      <c r="H180" s="3" t="str">
        <f>IF(LEN(Hoja1!F180)&lt;&gt;14,"Sí","No")</f>
        <v>No</v>
      </c>
      <c r="I180" s="3" t="str">
        <f>IF(Hoja1!C180&gt;Hoja1!H180,"Sí","No")</f>
        <v>No</v>
      </c>
      <c r="J180" s="3" t="str">
        <f>IF(SUMPRODUCT(--ISNUMBER(SEARCH({"0";"1";"2";"3";"4";"5";"6";"7";"8";"9"},Hoja1!D180)))=0,"Sí","No")</f>
        <v>No</v>
      </c>
      <c r="K180" s="3" t="str">
        <f t="shared" si="2"/>
        <v>No</v>
      </c>
    </row>
    <row r="181" spans="1:11" ht="15" customHeight="1" x14ac:dyDescent="0.3">
      <c r="A181" s="3" t="str">
        <f>Hoja1!A181</f>
        <v>C0180</v>
      </c>
      <c r="B181" s="3" t="str">
        <f>Hoja1!B181</f>
        <v>Calixto Pinedo Torrijos</v>
      </c>
      <c r="C181" s="3" t="str">
        <f>IF(COUNTA(Hoja1!A181:I181)=0,"Sí","No")</f>
        <v>No</v>
      </c>
      <c r="D181" s="3" t="str">
        <f>IF(COUNTBLANK(Hoja1!A181:I181)&gt;0,"Sí","No")</f>
        <v>No</v>
      </c>
      <c r="E181" s="3" t="str">
        <f>IF(COUNTIF(Hoja1!$A$2:$A$1000,Hoja1!A181)&gt;1,"Sí","No")</f>
        <v>No</v>
      </c>
      <c r="F181" s="3" t="str">
        <f>IF(COUNTIF(Hoja1!$G$2:$G$1000,Hoja1!G181)&gt;1,"Sí","No")</f>
        <v>No</v>
      </c>
      <c r="G181" s="3" t="str">
        <f>IF(OR(ISERROR(FIND("@",Hoja1!G181)),ISERROR(FIND(".",Hoja1!G181,FIND("@",Hoja1!G181)))),"Sí","No")</f>
        <v>No</v>
      </c>
      <c r="H181" s="3" t="str">
        <f>IF(LEN(Hoja1!F181)&lt;&gt;14,"Sí","No")</f>
        <v>No</v>
      </c>
      <c r="I181" s="3" t="str">
        <f>IF(Hoja1!C181&gt;Hoja1!H181,"Sí","No")</f>
        <v>No</v>
      </c>
      <c r="J181" s="3" t="str">
        <f>IF(SUMPRODUCT(--ISNUMBER(SEARCH({"0";"1";"2";"3";"4";"5";"6";"7";"8";"9"},Hoja1!D181)))=0,"Sí","No")</f>
        <v>No</v>
      </c>
      <c r="K181" s="3" t="str">
        <f t="shared" si="2"/>
        <v>No</v>
      </c>
    </row>
    <row r="182" spans="1:11" ht="15" customHeight="1" x14ac:dyDescent="0.3">
      <c r="A182" s="3" t="str">
        <f>Hoja1!A182</f>
        <v>C0181</v>
      </c>
      <c r="B182" s="3" t="str">
        <f>Hoja1!B182</f>
        <v>Ciro Ledesma Bru</v>
      </c>
      <c r="C182" s="3" t="str">
        <f>IF(COUNTA(Hoja1!A182:I182)=0,"Sí","No")</f>
        <v>No</v>
      </c>
      <c r="D182" s="3" t="str">
        <f>IF(COUNTBLANK(Hoja1!A182:I182)&gt;0,"Sí","No")</f>
        <v>No</v>
      </c>
      <c r="E182" s="3" t="str">
        <f>IF(COUNTIF(Hoja1!$A$2:$A$1000,Hoja1!A182)&gt;1,"Sí","No")</f>
        <v>No</v>
      </c>
      <c r="F182" s="3" t="str">
        <f>IF(COUNTIF(Hoja1!$G$2:$G$1000,Hoja1!G182)&gt;1,"Sí","No")</f>
        <v>No</v>
      </c>
      <c r="G182" s="3" t="str">
        <f>IF(OR(ISERROR(FIND("@",Hoja1!G182)),ISERROR(FIND(".",Hoja1!G182,FIND("@",Hoja1!G182)))),"Sí","No")</f>
        <v>No</v>
      </c>
      <c r="H182" s="3" t="str">
        <f>IF(LEN(Hoja1!F182)&lt;&gt;14,"Sí","No")</f>
        <v>No</v>
      </c>
      <c r="I182" s="3" t="str">
        <f>IF(Hoja1!C182&gt;Hoja1!H182,"Sí","No")</f>
        <v>No</v>
      </c>
      <c r="J182" s="3" t="str">
        <f>IF(SUMPRODUCT(--ISNUMBER(SEARCH({"0";"1";"2";"3";"4";"5";"6";"7";"8";"9"},Hoja1!D182)))=0,"Sí","No")</f>
        <v>No</v>
      </c>
      <c r="K182" s="3" t="str">
        <f t="shared" si="2"/>
        <v>No</v>
      </c>
    </row>
    <row r="183" spans="1:11" ht="15" customHeight="1" x14ac:dyDescent="0.3">
      <c r="A183" s="3" t="str">
        <f>Hoja1!A183</f>
        <v>C0182</v>
      </c>
      <c r="B183" s="3" t="str">
        <f>Hoja1!B183</f>
        <v>Dora del Segarra</v>
      </c>
      <c r="C183" s="3" t="str">
        <f>IF(COUNTA(Hoja1!A183:I183)=0,"Sí","No")</f>
        <v>No</v>
      </c>
      <c r="D183" s="3" t="str">
        <f>IF(COUNTBLANK(Hoja1!A183:I183)&gt;0,"Sí","No")</f>
        <v>No</v>
      </c>
      <c r="E183" s="3" t="str">
        <f>IF(COUNTIF(Hoja1!$A$2:$A$1000,Hoja1!A183)&gt;1,"Sí","No")</f>
        <v>No</v>
      </c>
      <c r="F183" s="3" t="str">
        <f>IF(COUNTIF(Hoja1!$G$2:$G$1000,Hoja1!G183)&gt;1,"Sí","No")</f>
        <v>No</v>
      </c>
      <c r="G183" s="3" t="str">
        <f>IF(OR(ISERROR(FIND("@",Hoja1!G183)),ISERROR(FIND(".",Hoja1!G183,FIND("@",Hoja1!G183)))),"Sí","No")</f>
        <v>No</v>
      </c>
      <c r="H183" s="3" t="str">
        <f>IF(LEN(Hoja1!F183)&lt;&gt;14,"Sí","No")</f>
        <v>No</v>
      </c>
      <c r="I183" s="3" t="str">
        <f>IF(Hoja1!C183&gt;Hoja1!H183,"Sí","No")</f>
        <v>No</v>
      </c>
      <c r="J183" s="3" t="str">
        <f>IF(SUMPRODUCT(--ISNUMBER(SEARCH({"0";"1";"2";"3";"4";"5";"6";"7";"8";"9"},Hoja1!D183)))=0,"Sí","No")</f>
        <v>No</v>
      </c>
      <c r="K183" s="3" t="str">
        <f t="shared" si="2"/>
        <v>No</v>
      </c>
    </row>
    <row r="184" spans="1:11" ht="15" customHeight="1" x14ac:dyDescent="0.3">
      <c r="A184" s="3" t="str">
        <f>Hoja1!A184</f>
        <v>C0183</v>
      </c>
      <c r="B184" s="3" t="str">
        <f>Hoja1!B184</f>
        <v>Juan Bautista de Salazar</v>
      </c>
      <c r="C184" s="3" t="str">
        <f>IF(COUNTA(Hoja1!A184:I184)=0,"Sí","No")</f>
        <v>No</v>
      </c>
      <c r="D184" s="3" t="str">
        <f>IF(COUNTBLANK(Hoja1!A184:I184)&gt;0,"Sí","No")</f>
        <v>No</v>
      </c>
      <c r="E184" s="3" t="str">
        <f>IF(COUNTIF(Hoja1!$A$2:$A$1000,Hoja1!A184)&gt;1,"Sí","No")</f>
        <v>No</v>
      </c>
      <c r="F184" s="3" t="str">
        <f>IF(COUNTIF(Hoja1!$G$2:$G$1000,Hoja1!G184)&gt;1,"Sí","No")</f>
        <v>No</v>
      </c>
      <c r="G184" s="3" t="str">
        <f>IF(OR(ISERROR(FIND("@",Hoja1!G184)),ISERROR(FIND(".",Hoja1!G184,FIND("@",Hoja1!G184)))),"Sí","No")</f>
        <v>No</v>
      </c>
      <c r="H184" s="3" t="str">
        <f>IF(LEN(Hoja1!F184)&lt;&gt;14,"Sí","No")</f>
        <v>No</v>
      </c>
      <c r="I184" s="3" t="str">
        <f>IF(Hoja1!C184&gt;Hoja1!H184,"Sí","No")</f>
        <v>No</v>
      </c>
      <c r="J184" s="3" t="str">
        <f>IF(SUMPRODUCT(--ISNUMBER(SEARCH({"0";"1";"2";"3";"4";"5";"6";"7";"8";"9"},Hoja1!D184)))=0,"Sí","No")</f>
        <v>No</v>
      </c>
      <c r="K184" s="3" t="str">
        <f t="shared" si="2"/>
        <v>No</v>
      </c>
    </row>
    <row r="185" spans="1:11" ht="15" customHeight="1" x14ac:dyDescent="0.3">
      <c r="A185" s="3" t="str">
        <f>Hoja1!A185</f>
        <v>C0184</v>
      </c>
      <c r="B185" s="3" t="str">
        <f>Hoja1!B185</f>
        <v>Narciso del Anaya</v>
      </c>
      <c r="C185" s="3" t="str">
        <f>IF(COUNTA(Hoja1!A185:I185)=0,"Sí","No")</f>
        <v>No</v>
      </c>
      <c r="D185" s="3" t="str">
        <f>IF(COUNTBLANK(Hoja1!A185:I185)&gt;0,"Sí","No")</f>
        <v>No</v>
      </c>
      <c r="E185" s="3" t="str">
        <f>IF(COUNTIF(Hoja1!$A$2:$A$1000,Hoja1!A185)&gt;1,"Sí","No")</f>
        <v>No</v>
      </c>
      <c r="F185" s="3" t="str">
        <f>IF(COUNTIF(Hoja1!$G$2:$G$1000,Hoja1!G185)&gt;1,"Sí","No")</f>
        <v>No</v>
      </c>
      <c r="G185" s="3" t="str">
        <f>IF(OR(ISERROR(FIND("@",Hoja1!G185)),ISERROR(FIND(".",Hoja1!G185,FIND("@",Hoja1!G185)))),"Sí","No")</f>
        <v>No</v>
      </c>
      <c r="H185" s="3" t="str">
        <f>IF(LEN(Hoja1!F185)&lt;&gt;14,"Sí","No")</f>
        <v>No</v>
      </c>
      <c r="I185" s="3" t="str">
        <f>IF(Hoja1!C185&gt;Hoja1!H185,"Sí","No")</f>
        <v>No</v>
      </c>
      <c r="J185" s="3" t="str">
        <f>IF(SUMPRODUCT(--ISNUMBER(SEARCH({"0";"1";"2";"3";"4";"5";"6";"7";"8";"9"},Hoja1!D185)))=0,"Sí","No")</f>
        <v>No</v>
      </c>
      <c r="K185" s="3" t="str">
        <f t="shared" si="2"/>
        <v>No</v>
      </c>
    </row>
    <row r="186" spans="1:11" ht="15" customHeight="1" x14ac:dyDescent="0.3">
      <c r="A186" s="3" t="str">
        <f>Hoja1!A186</f>
        <v>C0185</v>
      </c>
      <c r="B186" s="3" t="str">
        <f>Hoja1!B186</f>
        <v>Martirio Reina Malo Alonso</v>
      </c>
      <c r="C186" s="3" t="str">
        <f>IF(COUNTA(Hoja1!A186:I186)=0,"Sí","No")</f>
        <v>No</v>
      </c>
      <c r="D186" s="3" t="str">
        <f>IF(COUNTBLANK(Hoja1!A186:I186)&gt;0,"Sí","No")</f>
        <v>No</v>
      </c>
      <c r="E186" s="3" t="str">
        <f>IF(COUNTIF(Hoja1!$A$2:$A$1000,Hoja1!A186)&gt;1,"Sí","No")</f>
        <v>No</v>
      </c>
      <c r="F186" s="3" t="str">
        <f>IF(COUNTIF(Hoja1!$G$2:$G$1000,Hoja1!G186)&gt;1,"Sí","No")</f>
        <v>No</v>
      </c>
      <c r="G186" s="3" t="str">
        <f>IF(OR(ISERROR(FIND("@",Hoja1!G186)),ISERROR(FIND(".",Hoja1!G186,FIND("@",Hoja1!G186)))),"Sí","No")</f>
        <v>No</v>
      </c>
      <c r="H186" s="3" t="str">
        <f>IF(LEN(Hoja1!F186)&lt;&gt;14,"Sí","No")</f>
        <v>No</v>
      </c>
      <c r="I186" s="3" t="str">
        <f>IF(Hoja1!C186&gt;Hoja1!H186,"Sí","No")</f>
        <v>No</v>
      </c>
      <c r="J186" s="3" t="str">
        <f>IF(SUMPRODUCT(--ISNUMBER(SEARCH({"0";"1";"2";"3";"4";"5";"6";"7";"8";"9"},Hoja1!D186)))=0,"Sí","No")</f>
        <v>No</v>
      </c>
      <c r="K186" s="3" t="str">
        <f t="shared" si="2"/>
        <v>No</v>
      </c>
    </row>
    <row r="187" spans="1:11" ht="15" customHeight="1" x14ac:dyDescent="0.3">
      <c r="A187" s="3" t="str">
        <f>Hoja1!A187</f>
        <v>C0186</v>
      </c>
      <c r="B187" s="3" t="str">
        <f>Hoja1!B187</f>
        <v>Maximiliano Maestre Mendizábal</v>
      </c>
      <c r="C187" s="3" t="str">
        <f>IF(COUNTA(Hoja1!A187:I187)=0,"Sí","No")</f>
        <v>No</v>
      </c>
      <c r="D187" s="3" t="str">
        <f>IF(COUNTBLANK(Hoja1!A187:I187)&gt;0,"Sí","No")</f>
        <v>No</v>
      </c>
      <c r="E187" s="3" t="str">
        <f>IF(COUNTIF(Hoja1!$A$2:$A$1000,Hoja1!A187)&gt;1,"Sí","No")</f>
        <v>No</v>
      </c>
      <c r="F187" s="3" t="str">
        <f>IF(COUNTIF(Hoja1!$G$2:$G$1000,Hoja1!G187)&gt;1,"Sí","No")</f>
        <v>No</v>
      </c>
      <c r="G187" s="3" t="str">
        <f>IF(OR(ISERROR(FIND("@",Hoja1!G187)),ISERROR(FIND(".",Hoja1!G187,FIND("@",Hoja1!G187)))),"Sí","No")</f>
        <v>No</v>
      </c>
      <c r="H187" s="3" t="str">
        <f>IF(LEN(Hoja1!F187)&lt;&gt;14,"Sí","No")</f>
        <v>No</v>
      </c>
      <c r="I187" s="3" t="str">
        <f>IF(Hoja1!C187&gt;Hoja1!H187,"Sí","No")</f>
        <v>No</v>
      </c>
      <c r="J187" s="3" t="str">
        <f>IF(SUMPRODUCT(--ISNUMBER(SEARCH({"0";"1";"2";"3";"4";"5";"6";"7";"8";"9"},Hoja1!D187)))=0,"Sí","No")</f>
        <v>No</v>
      </c>
      <c r="K187" s="3" t="str">
        <f t="shared" si="2"/>
        <v>No</v>
      </c>
    </row>
    <row r="188" spans="1:11" ht="15" customHeight="1" x14ac:dyDescent="0.3">
      <c r="A188" s="3" t="str">
        <f>Hoja1!A188</f>
        <v>C0187</v>
      </c>
      <c r="B188" s="3" t="str">
        <f>Hoja1!B188</f>
        <v>Noa Dominguez-Llorente</v>
      </c>
      <c r="C188" s="3" t="str">
        <f>IF(COUNTA(Hoja1!A188:I188)=0,"Sí","No")</f>
        <v>No</v>
      </c>
      <c r="D188" s="3" t="str">
        <f>IF(COUNTBLANK(Hoja1!A188:I188)&gt;0,"Sí","No")</f>
        <v>No</v>
      </c>
      <c r="E188" s="3" t="str">
        <f>IF(COUNTIF(Hoja1!$A$2:$A$1000,Hoja1!A188)&gt;1,"Sí","No")</f>
        <v>No</v>
      </c>
      <c r="F188" s="3" t="str">
        <f>IF(COUNTIF(Hoja1!$G$2:$G$1000,Hoja1!G188)&gt;1,"Sí","No")</f>
        <v>No</v>
      </c>
      <c r="G188" s="3" t="str">
        <f>IF(OR(ISERROR(FIND("@",Hoja1!G188)),ISERROR(FIND(".",Hoja1!G188,FIND("@",Hoja1!G188)))),"Sí","No")</f>
        <v>No</v>
      </c>
      <c r="H188" s="3" t="str">
        <f>IF(LEN(Hoja1!F188)&lt;&gt;14,"Sí","No")</f>
        <v>No</v>
      </c>
      <c r="I188" s="3" t="str">
        <f>IF(Hoja1!C188&gt;Hoja1!H188,"Sí","No")</f>
        <v>No</v>
      </c>
      <c r="J188" s="3" t="str">
        <f>IF(SUMPRODUCT(--ISNUMBER(SEARCH({"0";"1";"2";"3";"4";"5";"6";"7";"8";"9"},Hoja1!D188)))=0,"Sí","No")</f>
        <v>No</v>
      </c>
      <c r="K188" s="3" t="str">
        <f t="shared" si="2"/>
        <v>No</v>
      </c>
    </row>
    <row r="189" spans="1:11" ht="15" customHeight="1" x14ac:dyDescent="0.3">
      <c r="A189" s="3" t="str">
        <f>Hoja1!A189</f>
        <v>C0188</v>
      </c>
      <c r="B189" s="3" t="str">
        <f>Hoja1!B189</f>
        <v>Miguel Mur Cruz</v>
      </c>
      <c r="C189" s="3" t="str">
        <f>IF(COUNTA(Hoja1!A189:I189)=0,"Sí","No")</f>
        <v>No</v>
      </c>
      <c r="D189" s="3" t="str">
        <f>IF(COUNTBLANK(Hoja1!A189:I189)&gt;0,"Sí","No")</f>
        <v>No</v>
      </c>
      <c r="E189" s="3" t="str">
        <f>IF(COUNTIF(Hoja1!$A$2:$A$1000,Hoja1!A189)&gt;1,"Sí","No")</f>
        <v>No</v>
      </c>
      <c r="F189" s="3" t="str">
        <f>IF(COUNTIF(Hoja1!$G$2:$G$1000,Hoja1!G189)&gt;1,"Sí","No")</f>
        <v>No</v>
      </c>
      <c r="G189" s="3" t="str">
        <f>IF(OR(ISERROR(FIND("@",Hoja1!G189)),ISERROR(FIND(".",Hoja1!G189,FIND("@",Hoja1!G189)))),"Sí","No")</f>
        <v>No</v>
      </c>
      <c r="H189" s="3" t="str">
        <f>IF(LEN(Hoja1!F189)&lt;&gt;14,"Sí","No")</f>
        <v>No</v>
      </c>
      <c r="I189" s="3" t="str">
        <f>IF(Hoja1!C189&gt;Hoja1!H189,"Sí","No")</f>
        <v>No</v>
      </c>
      <c r="J189" s="3" t="str">
        <f>IF(SUMPRODUCT(--ISNUMBER(SEARCH({"0";"1";"2";"3";"4";"5";"6";"7";"8";"9"},Hoja1!D189)))=0,"Sí","No")</f>
        <v>No</v>
      </c>
      <c r="K189" s="3" t="str">
        <f t="shared" si="2"/>
        <v>No</v>
      </c>
    </row>
    <row r="190" spans="1:11" ht="15" customHeight="1" x14ac:dyDescent="0.3">
      <c r="A190" s="3" t="str">
        <f>Hoja1!A190</f>
        <v>C0189</v>
      </c>
      <c r="B190" s="3" t="str">
        <f>Hoja1!B190</f>
        <v>Gala Gimenez-Lasa</v>
      </c>
      <c r="C190" s="3" t="str">
        <f>IF(COUNTA(Hoja1!A190:I190)=0,"Sí","No")</f>
        <v>No</v>
      </c>
      <c r="D190" s="3" t="str">
        <f>IF(COUNTBLANK(Hoja1!A190:I190)&gt;0,"Sí","No")</f>
        <v>No</v>
      </c>
      <c r="E190" s="3" t="str">
        <f>IF(COUNTIF(Hoja1!$A$2:$A$1000,Hoja1!A190)&gt;1,"Sí","No")</f>
        <v>No</v>
      </c>
      <c r="F190" s="3" t="str">
        <f>IF(COUNTIF(Hoja1!$G$2:$G$1000,Hoja1!G190)&gt;1,"Sí","No")</f>
        <v>No</v>
      </c>
      <c r="G190" s="3" t="str">
        <f>IF(OR(ISERROR(FIND("@",Hoja1!G190)),ISERROR(FIND(".",Hoja1!G190,FIND("@",Hoja1!G190)))),"Sí","No")</f>
        <v>No</v>
      </c>
      <c r="H190" s="3" t="str">
        <f>IF(LEN(Hoja1!F190)&lt;&gt;14,"Sí","No")</f>
        <v>No</v>
      </c>
      <c r="I190" s="3" t="str">
        <f>IF(Hoja1!C190&gt;Hoja1!H190,"Sí","No")</f>
        <v>No</v>
      </c>
      <c r="J190" s="3" t="str">
        <f>IF(SUMPRODUCT(--ISNUMBER(SEARCH({"0";"1";"2";"3";"4";"5";"6";"7";"8";"9"},Hoja1!D190)))=0,"Sí","No")</f>
        <v>No</v>
      </c>
      <c r="K190" s="3" t="str">
        <f t="shared" si="2"/>
        <v>No</v>
      </c>
    </row>
    <row r="191" spans="1:11" ht="15" customHeight="1" x14ac:dyDescent="0.3">
      <c r="A191" s="3" t="str">
        <f>Hoja1!A191</f>
        <v>C0190</v>
      </c>
      <c r="B191" s="3" t="str">
        <f>Hoja1!B191</f>
        <v>Saturnino Palacios Lamas</v>
      </c>
      <c r="C191" s="3" t="str">
        <f>IF(COUNTA(Hoja1!A191:I191)=0,"Sí","No")</f>
        <v>No</v>
      </c>
      <c r="D191" s="3" t="str">
        <f>IF(COUNTBLANK(Hoja1!A191:I191)&gt;0,"Sí","No")</f>
        <v>No</v>
      </c>
      <c r="E191" s="3" t="str">
        <f>IF(COUNTIF(Hoja1!$A$2:$A$1000,Hoja1!A191)&gt;1,"Sí","No")</f>
        <v>No</v>
      </c>
      <c r="F191" s="3" t="str">
        <f>IF(COUNTIF(Hoja1!$G$2:$G$1000,Hoja1!G191)&gt;1,"Sí","No")</f>
        <v>No</v>
      </c>
      <c r="G191" s="3" t="str">
        <f>IF(OR(ISERROR(FIND("@",Hoja1!G191)),ISERROR(FIND(".",Hoja1!G191,FIND("@",Hoja1!G191)))),"Sí","No")</f>
        <v>No</v>
      </c>
      <c r="H191" s="3" t="str">
        <f>IF(LEN(Hoja1!F191)&lt;&gt;14,"Sí","No")</f>
        <v>No</v>
      </c>
      <c r="I191" s="3" t="str">
        <f>IF(Hoja1!C191&gt;Hoja1!H191,"Sí","No")</f>
        <v>No</v>
      </c>
      <c r="J191" s="3" t="str">
        <f>IF(SUMPRODUCT(--ISNUMBER(SEARCH({"0";"1";"2";"3";"4";"5";"6";"7";"8";"9"},Hoja1!D191)))=0,"Sí","No")</f>
        <v>No</v>
      </c>
      <c r="K191" s="3" t="str">
        <f t="shared" si="2"/>
        <v>No</v>
      </c>
    </row>
    <row r="192" spans="1:11" ht="15" customHeight="1" x14ac:dyDescent="0.3">
      <c r="A192" s="3" t="str">
        <f>Hoja1!A192</f>
        <v>C0191</v>
      </c>
      <c r="B192" s="3" t="str">
        <f>Hoja1!B192</f>
        <v>Ariel Castellanos Bauzà</v>
      </c>
      <c r="C192" s="3" t="str">
        <f>IF(COUNTA(Hoja1!A192:I192)=0,"Sí","No")</f>
        <v>No</v>
      </c>
      <c r="D192" s="3" t="str">
        <f>IF(COUNTBLANK(Hoja1!A192:I192)&gt;0,"Sí","No")</f>
        <v>No</v>
      </c>
      <c r="E192" s="3" t="str">
        <f>IF(COUNTIF(Hoja1!$A$2:$A$1000,Hoja1!A192)&gt;1,"Sí","No")</f>
        <v>No</v>
      </c>
      <c r="F192" s="3" t="str">
        <f>IF(COUNTIF(Hoja1!$G$2:$G$1000,Hoja1!G192)&gt;1,"Sí","No")</f>
        <v>No</v>
      </c>
      <c r="G192" s="3" t="str">
        <f>IF(OR(ISERROR(FIND("@",Hoja1!G192)),ISERROR(FIND(".",Hoja1!G192,FIND("@",Hoja1!G192)))),"Sí","No")</f>
        <v>No</v>
      </c>
      <c r="H192" s="3" t="str">
        <f>IF(LEN(Hoja1!F192)&lt;&gt;14,"Sí","No")</f>
        <v>No</v>
      </c>
      <c r="I192" s="3" t="str">
        <f>IF(Hoja1!C192&gt;Hoja1!H192,"Sí","No")</f>
        <v>No</v>
      </c>
      <c r="J192" s="3" t="str">
        <f>IF(SUMPRODUCT(--ISNUMBER(SEARCH({"0";"1";"2";"3";"4";"5";"6";"7";"8";"9"},Hoja1!D192)))=0,"Sí","No")</f>
        <v>No</v>
      </c>
      <c r="K192" s="3" t="str">
        <f t="shared" si="2"/>
        <v>No</v>
      </c>
    </row>
    <row r="193" spans="1:11" ht="15" customHeight="1" x14ac:dyDescent="0.3">
      <c r="A193" s="3" t="str">
        <f>Hoja1!A193</f>
        <v>C0192</v>
      </c>
      <c r="B193" s="3" t="str">
        <f>Hoja1!B193</f>
        <v>Trinidad Salas Gimenez</v>
      </c>
      <c r="C193" s="3" t="str">
        <f>IF(COUNTA(Hoja1!A193:I193)=0,"Sí","No")</f>
        <v>No</v>
      </c>
      <c r="D193" s="3" t="str">
        <f>IF(COUNTBLANK(Hoja1!A193:I193)&gt;0,"Sí","No")</f>
        <v>No</v>
      </c>
      <c r="E193" s="3" t="str">
        <f>IF(COUNTIF(Hoja1!$A$2:$A$1000,Hoja1!A193)&gt;1,"Sí","No")</f>
        <v>No</v>
      </c>
      <c r="F193" s="3" t="str">
        <f>IF(COUNTIF(Hoja1!$G$2:$G$1000,Hoja1!G193)&gt;1,"Sí","No")</f>
        <v>No</v>
      </c>
      <c r="G193" s="3" t="str">
        <f>IF(OR(ISERROR(FIND("@",Hoja1!G193)),ISERROR(FIND(".",Hoja1!G193,FIND("@",Hoja1!G193)))),"Sí","No")</f>
        <v>No</v>
      </c>
      <c r="H193" s="3" t="str">
        <f>IF(LEN(Hoja1!F193)&lt;&gt;14,"Sí","No")</f>
        <v>No</v>
      </c>
      <c r="I193" s="3" t="str">
        <f>IF(Hoja1!C193&gt;Hoja1!H193,"Sí","No")</f>
        <v>No</v>
      </c>
      <c r="J193" s="3" t="str">
        <f>IF(SUMPRODUCT(--ISNUMBER(SEARCH({"0";"1";"2";"3";"4";"5";"6";"7";"8";"9"},Hoja1!D193)))=0,"Sí","No")</f>
        <v>No</v>
      </c>
      <c r="K193" s="3" t="str">
        <f t="shared" si="2"/>
        <v>No</v>
      </c>
    </row>
    <row r="194" spans="1:11" ht="15" customHeight="1" x14ac:dyDescent="0.3">
      <c r="A194" s="3" t="str">
        <f>Hoja1!A194</f>
        <v>C0193</v>
      </c>
      <c r="B194" s="3" t="str">
        <f>Hoja1!B194</f>
        <v>Adalberto del Seco</v>
      </c>
      <c r="C194" s="3" t="str">
        <f>IF(COUNTA(Hoja1!A194:I194)=0,"Sí","No")</f>
        <v>No</v>
      </c>
      <c r="D194" s="3" t="str">
        <f>IF(COUNTBLANK(Hoja1!A194:I194)&gt;0,"Sí","No")</f>
        <v>No</v>
      </c>
      <c r="E194" s="3" t="str">
        <f>IF(COUNTIF(Hoja1!$A$2:$A$1000,Hoja1!A194)&gt;1,"Sí","No")</f>
        <v>No</v>
      </c>
      <c r="F194" s="3" t="str">
        <f>IF(COUNTIF(Hoja1!$G$2:$G$1000,Hoja1!G194)&gt;1,"Sí","No")</f>
        <v>No</v>
      </c>
      <c r="G194" s="3" t="str">
        <f>IF(OR(ISERROR(FIND("@",Hoja1!G194)),ISERROR(FIND(".",Hoja1!G194,FIND("@",Hoja1!G194)))),"Sí","No")</f>
        <v>No</v>
      </c>
      <c r="H194" s="3" t="str">
        <f>IF(LEN(Hoja1!F194)&lt;&gt;14,"Sí","No")</f>
        <v>No</v>
      </c>
      <c r="I194" s="3" t="str">
        <f>IF(Hoja1!C194&gt;Hoja1!H194,"Sí","No")</f>
        <v>No</v>
      </c>
      <c r="J194" s="3" t="str">
        <f>IF(SUMPRODUCT(--ISNUMBER(SEARCH({"0";"1";"2";"3";"4";"5";"6";"7";"8";"9"},Hoja1!D194)))=0,"Sí","No")</f>
        <v>No</v>
      </c>
      <c r="K194" s="3" t="str">
        <f t="shared" ref="K194:K257" si="3">IF(COUNTIF(C194:J194,"Sí")&gt;0,"Sí","No")</f>
        <v>No</v>
      </c>
    </row>
    <row r="195" spans="1:11" ht="15" customHeight="1" x14ac:dyDescent="0.3">
      <c r="A195" s="3" t="str">
        <f>Hoja1!A195</f>
        <v>C0194</v>
      </c>
      <c r="B195" s="3" t="str">
        <f>Hoja1!B195</f>
        <v>Eustaquio Palacios Francisco</v>
      </c>
      <c r="C195" s="3" t="str">
        <f>IF(COUNTA(Hoja1!A195:I195)=0,"Sí","No")</f>
        <v>No</v>
      </c>
      <c r="D195" s="3" t="str">
        <f>IF(COUNTBLANK(Hoja1!A195:I195)&gt;0,"Sí","No")</f>
        <v>No</v>
      </c>
      <c r="E195" s="3" t="str">
        <f>IF(COUNTIF(Hoja1!$A$2:$A$1000,Hoja1!A195)&gt;1,"Sí","No")</f>
        <v>No</v>
      </c>
      <c r="F195" s="3" t="str">
        <f>IF(COUNTIF(Hoja1!$G$2:$G$1000,Hoja1!G195)&gt;1,"Sí","No")</f>
        <v>No</v>
      </c>
      <c r="G195" s="3" t="str">
        <f>IF(OR(ISERROR(FIND("@",Hoja1!G195)),ISERROR(FIND(".",Hoja1!G195,FIND("@",Hoja1!G195)))),"Sí","No")</f>
        <v>No</v>
      </c>
      <c r="H195" s="3" t="str">
        <f>IF(LEN(Hoja1!F195)&lt;&gt;14,"Sí","No")</f>
        <v>No</v>
      </c>
      <c r="I195" s="3" t="str">
        <f>IF(Hoja1!C195&gt;Hoja1!H195,"Sí","No")</f>
        <v>No</v>
      </c>
      <c r="J195" s="3" t="str">
        <f>IF(SUMPRODUCT(--ISNUMBER(SEARCH({"0";"1";"2";"3";"4";"5";"6";"7";"8";"9"},Hoja1!D195)))=0,"Sí","No")</f>
        <v>No</v>
      </c>
      <c r="K195" s="3" t="str">
        <f t="shared" si="3"/>
        <v>No</v>
      </c>
    </row>
    <row r="196" spans="1:11" ht="15" customHeight="1" x14ac:dyDescent="0.3">
      <c r="A196" s="3" t="str">
        <f>Hoja1!A196</f>
        <v>C0195</v>
      </c>
      <c r="B196" s="3" t="str">
        <f>Hoja1!B196</f>
        <v>Susana Castro Ruiz</v>
      </c>
      <c r="C196" s="3" t="str">
        <f>IF(COUNTA(Hoja1!A196:I196)=0,"Sí","No")</f>
        <v>No</v>
      </c>
      <c r="D196" s="3" t="str">
        <f>IF(COUNTBLANK(Hoja1!A196:I196)&gt;0,"Sí","No")</f>
        <v>No</v>
      </c>
      <c r="E196" s="3" t="str">
        <f>IF(COUNTIF(Hoja1!$A$2:$A$1000,Hoja1!A196)&gt;1,"Sí","No")</f>
        <v>No</v>
      </c>
      <c r="F196" s="3" t="str">
        <f>IF(COUNTIF(Hoja1!$G$2:$G$1000,Hoja1!G196)&gt;1,"Sí","No")</f>
        <v>No</v>
      </c>
      <c r="G196" s="3" t="str">
        <f>IF(OR(ISERROR(FIND("@",Hoja1!G196)),ISERROR(FIND(".",Hoja1!G196,FIND("@",Hoja1!G196)))),"Sí","No")</f>
        <v>No</v>
      </c>
      <c r="H196" s="3" t="str">
        <f>IF(LEN(Hoja1!F196)&lt;&gt;14,"Sí","No")</f>
        <v>No</v>
      </c>
      <c r="I196" s="3" t="str">
        <f>IF(Hoja1!C196&gt;Hoja1!H196,"Sí","No")</f>
        <v>No</v>
      </c>
      <c r="J196" s="3" t="str">
        <f>IF(SUMPRODUCT(--ISNUMBER(SEARCH({"0";"1";"2";"3";"4";"5";"6";"7";"8";"9"},Hoja1!D196)))=0,"Sí","No")</f>
        <v>No</v>
      </c>
      <c r="K196" s="3" t="str">
        <f t="shared" si="3"/>
        <v>No</v>
      </c>
    </row>
    <row r="197" spans="1:11" ht="15" customHeight="1" x14ac:dyDescent="0.3">
      <c r="A197" s="3" t="str">
        <f>Hoja1!A197</f>
        <v>C0196</v>
      </c>
      <c r="B197" s="3" t="str">
        <f>Hoja1!B197</f>
        <v>Emelina Melisa Palau Seco</v>
      </c>
      <c r="C197" s="3" t="str">
        <f>IF(COUNTA(Hoja1!A197:I197)=0,"Sí","No")</f>
        <v>No</v>
      </c>
      <c r="D197" s="3" t="str">
        <f>IF(COUNTBLANK(Hoja1!A197:I197)&gt;0,"Sí","No")</f>
        <v>No</v>
      </c>
      <c r="E197" s="3" t="str">
        <f>IF(COUNTIF(Hoja1!$A$2:$A$1000,Hoja1!A197)&gt;1,"Sí","No")</f>
        <v>No</v>
      </c>
      <c r="F197" s="3" t="str">
        <f>IF(COUNTIF(Hoja1!$G$2:$G$1000,Hoja1!G197)&gt;1,"Sí","No")</f>
        <v>No</v>
      </c>
      <c r="G197" s="3" t="str">
        <f>IF(OR(ISERROR(FIND("@",Hoja1!G197)),ISERROR(FIND(".",Hoja1!G197,FIND("@",Hoja1!G197)))),"Sí","No")</f>
        <v>No</v>
      </c>
      <c r="H197" s="3" t="str">
        <f>IF(LEN(Hoja1!F197)&lt;&gt;14,"Sí","No")</f>
        <v>No</v>
      </c>
      <c r="I197" s="3" t="str">
        <f>IF(Hoja1!C197&gt;Hoja1!H197,"Sí","No")</f>
        <v>No</v>
      </c>
      <c r="J197" s="3" t="str">
        <f>IF(SUMPRODUCT(--ISNUMBER(SEARCH({"0";"1";"2";"3";"4";"5";"6";"7";"8";"9"},Hoja1!D197)))=0,"Sí","No")</f>
        <v>No</v>
      </c>
      <c r="K197" s="3" t="str">
        <f t="shared" si="3"/>
        <v>No</v>
      </c>
    </row>
    <row r="198" spans="1:11" ht="15" customHeight="1" x14ac:dyDescent="0.3">
      <c r="A198" s="3" t="str">
        <f>Hoja1!A198</f>
        <v>C0197</v>
      </c>
      <c r="B198" s="3" t="str">
        <f>Hoja1!B198</f>
        <v>Sandalio Baeza Grande</v>
      </c>
      <c r="C198" s="3" t="str">
        <f>IF(COUNTA(Hoja1!A198:I198)=0,"Sí","No")</f>
        <v>No</v>
      </c>
      <c r="D198" s="3" t="str">
        <f>IF(COUNTBLANK(Hoja1!A198:I198)&gt;0,"Sí","No")</f>
        <v>No</v>
      </c>
      <c r="E198" s="3" t="str">
        <f>IF(COUNTIF(Hoja1!$A$2:$A$1000,Hoja1!A198)&gt;1,"Sí","No")</f>
        <v>No</v>
      </c>
      <c r="F198" s="3" t="str">
        <f>IF(COUNTIF(Hoja1!$G$2:$G$1000,Hoja1!G198)&gt;1,"Sí","No")</f>
        <v>No</v>
      </c>
      <c r="G198" s="3" t="str">
        <f>IF(OR(ISERROR(FIND("@",Hoja1!G198)),ISERROR(FIND(".",Hoja1!G198,FIND("@",Hoja1!G198)))),"Sí","No")</f>
        <v>No</v>
      </c>
      <c r="H198" s="3" t="str">
        <f>IF(LEN(Hoja1!F198)&lt;&gt;14,"Sí","No")</f>
        <v>No</v>
      </c>
      <c r="I198" s="3" t="str">
        <f>IF(Hoja1!C198&gt;Hoja1!H198,"Sí","No")</f>
        <v>No</v>
      </c>
      <c r="J198" s="3" t="str">
        <f>IF(SUMPRODUCT(--ISNUMBER(SEARCH({"0";"1";"2";"3";"4";"5";"6";"7";"8";"9"},Hoja1!D198)))=0,"Sí","No")</f>
        <v>No</v>
      </c>
      <c r="K198" s="3" t="str">
        <f t="shared" si="3"/>
        <v>No</v>
      </c>
    </row>
    <row r="199" spans="1:11" ht="15" customHeight="1" x14ac:dyDescent="0.3">
      <c r="A199" s="3" t="str">
        <f>Hoja1!A199</f>
        <v>C0198</v>
      </c>
      <c r="B199" s="3" t="str">
        <f>Hoja1!B199</f>
        <v>Gregorio Guerrero Palomino</v>
      </c>
      <c r="C199" s="3" t="str">
        <f>IF(COUNTA(Hoja1!A199:I199)=0,"Sí","No")</f>
        <v>No</v>
      </c>
      <c r="D199" s="3" t="str">
        <f>IF(COUNTBLANK(Hoja1!A199:I199)&gt;0,"Sí","No")</f>
        <v>No</v>
      </c>
      <c r="E199" s="3" t="str">
        <f>IF(COUNTIF(Hoja1!$A$2:$A$1000,Hoja1!A199)&gt;1,"Sí","No")</f>
        <v>No</v>
      </c>
      <c r="F199" s="3" t="str">
        <f>IF(COUNTIF(Hoja1!$G$2:$G$1000,Hoja1!G199)&gt;1,"Sí","No")</f>
        <v>No</v>
      </c>
      <c r="G199" s="3" t="str">
        <f>IF(OR(ISERROR(FIND("@",Hoja1!G199)),ISERROR(FIND(".",Hoja1!G199,FIND("@",Hoja1!G199)))),"Sí","No")</f>
        <v>No</v>
      </c>
      <c r="H199" s="3" t="str">
        <f>IF(LEN(Hoja1!F199)&lt;&gt;14,"Sí","No")</f>
        <v>No</v>
      </c>
      <c r="I199" s="3" t="str">
        <f>IF(Hoja1!C199&gt;Hoja1!H199,"Sí","No")</f>
        <v>No</v>
      </c>
      <c r="J199" s="3" t="str">
        <f>IF(SUMPRODUCT(--ISNUMBER(SEARCH({"0";"1";"2";"3";"4";"5";"6";"7";"8";"9"},Hoja1!D199)))=0,"Sí","No")</f>
        <v>No</v>
      </c>
      <c r="K199" s="3" t="str">
        <f t="shared" si="3"/>
        <v>No</v>
      </c>
    </row>
    <row r="200" spans="1:11" ht="15" customHeight="1" x14ac:dyDescent="0.3">
      <c r="A200" s="3" t="str">
        <f>Hoja1!A200</f>
        <v>C0199</v>
      </c>
      <c r="B200" s="3" t="str">
        <f>Hoja1!B200</f>
        <v>Socorro de Higueras</v>
      </c>
      <c r="C200" s="3" t="str">
        <f>IF(COUNTA(Hoja1!A200:I200)=0,"Sí","No")</f>
        <v>No</v>
      </c>
      <c r="D200" s="3" t="str">
        <f>IF(COUNTBLANK(Hoja1!A200:I200)&gt;0,"Sí","No")</f>
        <v>No</v>
      </c>
      <c r="E200" s="3" t="str">
        <f>IF(COUNTIF(Hoja1!$A$2:$A$1000,Hoja1!A200)&gt;1,"Sí","No")</f>
        <v>No</v>
      </c>
      <c r="F200" s="3" t="str">
        <f>IF(COUNTIF(Hoja1!$G$2:$G$1000,Hoja1!G200)&gt;1,"Sí","No")</f>
        <v>No</v>
      </c>
      <c r="G200" s="3" t="str">
        <f>IF(OR(ISERROR(FIND("@",Hoja1!G200)),ISERROR(FIND(".",Hoja1!G200,FIND("@",Hoja1!G200)))),"Sí","No")</f>
        <v>No</v>
      </c>
      <c r="H200" s="3" t="str">
        <f>IF(LEN(Hoja1!F200)&lt;&gt;14,"Sí","No")</f>
        <v>No</v>
      </c>
      <c r="I200" s="3" t="str">
        <f>IF(Hoja1!C200&gt;Hoja1!H200,"Sí","No")</f>
        <v>No</v>
      </c>
      <c r="J200" s="3" t="str">
        <f>IF(SUMPRODUCT(--ISNUMBER(SEARCH({"0";"1";"2";"3";"4";"5";"6";"7";"8";"9"},Hoja1!D200)))=0,"Sí","No")</f>
        <v>No</v>
      </c>
      <c r="K200" s="3" t="str">
        <f t="shared" si="3"/>
        <v>No</v>
      </c>
    </row>
    <row r="201" spans="1:11" ht="15" customHeight="1" x14ac:dyDescent="0.3">
      <c r="A201" s="3" t="str">
        <f>Hoja1!A201</f>
        <v>C0200</v>
      </c>
      <c r="B201" s="3" t="str">
        <f>Hoja1!B201</f>
        <v>Otilia Viana Torres</v>
      </c>
      <c r="C201" s="3" t="str">
        <f>IF(COUNTA(Hoja1!A201:I201)=0,"Sí","No")</f>
        <v>No</v>
      </c>
      <c r="D201" s="3" t="str">
        <f>IF(COUNTBLANK(Hoja1!A201:I201)&gt;0,"Sí","No")</f>
        <v>No</v>
      </c>
      <c r="E201" s="3" t="str">
        <f>IF(COUNTIF(Hoja1!$A$2:$A$1000,Hoja1!A201)&gt;1,"Sí","No")</f>
        <v>No</v>
      </c>
      <c r="F201" s="3" t="str">
        <f>IF(COUNTIF(Hoja1!$G$2:$G$1000,Hoja1!G201)&gt;1,"Sí","No")</f>
        <v>No</v>
      </c>
      <c r="G201" s="3" t="str">
        <f>IF(OR(ISERROR(FIND("@",Hoja1!G201)),ISERROR(FIND(".",Hoja1!G201,FIND("@",Hoja1!G201)))),"Sí","No")</f>
        <v>No</v>
      </c>
      <c r="H201" s="3" t="str">
        <f>IF(LEN(Hoja1!F201)&lt;&gt;14,"Sí","No")</f>
        <v>No</v>
      </c>
      <c r="I201" s="3" t="str">
        <f>IF(Hoja1!C201&gt;Hoja1!H201,"Sí","No")</f>
        <v>No</v>
      </c>
      <c r="J201" s="3" t="str">
        <f>IF(SUMPRODUCT(--ISNUMBER(SEARCH({"0";"1";"2";"3";"4";"5";"6";"7";"8";"9"},Hoja1!D201)))=0,"Sí","No")</f>
        <v>No</v>
      </c>
      <c r="K201" s="3" t="str">
        <f t="shared" si="3"/>
        <v>No</v>
      </c>
    </row>
    <row r="202" spans="1:11" ht="15" customHeight="1" x14ac:dyDescent="0.3">
      <c r="A202" s="3" t="str">
        <f>Hoja1!A202</f>
        <v>C0201</v>
      </c>
      <c r="B202" s="3" t="str">
        <f>Hoja1!B202</f>
        <v>Luís Guzman Alsina</v>
      </c>
      <c r="C202" s="3" t="str">
        <f>IF(COUNTA(Hoja1!A202:I202)=0,"Sí","No")</f>
        <v>No</v>
      </c>
      <c r="D202" s="3" t="str">
        <f>IF(COUNTBLANK(Hoja1!A202:I202)&gt;0,"Sí","No")</f>
        <v>No</v>
      </c>
      <c r="E202" s="3" t="str">
        <f>IF(COUNTIF(Hoja1!$A$2:$A$1000,Hoja1!A202)&gt;1,"Sí","No")</f>
        <v>No</v>
      </c>
      <c r="F202" s="3" t="str">
        <f>IF(COUNTIF(Hoja1!$G$2:$G$1000,Hoja1!G202)&gt;1,"Sí","No")</f>
        <v>No</v>
      </c>
      <c r="G202" s="3" t="str">
        <f>IF(OR(ISERROR(FIND("@",Hoja1!G202)),ISERROR(FIND(".",Hoja1!G202,FIND("@",Hoja1!G202)))),"Sí","No")</f>
        <v>No</v>
      </c>
      <c r="H202" s="3" t="str">
        <f>IF(LEN(Hoja1!F202)&lt;&gt;14,"Sí","No")</f>
        <v>No</v>
      </c>
      <c r="I202" s="3" t="str">
        <f>IF(Hoja1!C202&gt;Hoja1!H202,"Sí","No")</f>
        <v>No</v>
      </c>
      <c r="J202" s="3" t="str">
        <f>IF(SUMPRODUCT(--ISNUMBER(SEARCH({"0";"1";"2";"3";"4";"5";"6";"7";"8";"9"},Hoja1!D202)))=0,"Sí","No")</f>
        <v>No</v>
      </c>
      <c r="K202" s="3" t="str">
        <f t="shared" si="3"/>
        <v>No</v>
      </c>
    </row>
    <row r="203" spans="1:11" ht="15" customHeight="1" x14ac:dyDescent="0.3">
      <c r="A203" s="3" t="str">
        <f>Hoja1!A203</f>
        <v>C0202</v>
      </c>
      <c r="B203" s="3" t="str">
        <f>Hoja1!B203</f>
        <v>Julie Rosa Lumbreras</v>
      </c>
      <c r="C203" s="3" t="str">
        <f>IF(COUNTA(Hoja1!A203:I203)=0,"Sí","No")</f>
        <v>No</v>
      </c>
      <c r="D203" s="3" t="str">
        <f>IF(COUNTBLANK(Hoja1!A203:I203)&gt;0,"Sí","No")</f>
        <v>No</v>
      </c>
      <c r="E203" s="3" t="str">
        <f>IF(COUNTIF(Hoja1!$A$2:$A$1000,Hoja1!A203)&gt;1,"Sí","No")</f>
        <v>No</v>
      </c>
      <c r="F203" s="3" t="str">
        <f>IF(COUNTIF(Hoja1!$G$2:$G$1000,Hoja1!G203)&gt;1,"Sí","No")</f>
        <v>No</v>
      </c>
      <c r="G203" s="3" t="str">
        <f>IF(OR(ISERROR(FIND("@",Hoja1!G203)),ISERROR(FIND(".",Hoja1!G203,FIND("@",Hoja1!G203)))),"Sí","No")</f>
        <v>No</v>
      </c>
      <c r="H203" s="3" t="str">
        <f>IF(LEN(Hoja1!F203)&lt;&gt;14,"Sí","No")</f>
        <v>No</v>
      </c>
      <c r="I203" s="3" t="str">
        <f>IF(Hoja1!C203&gt;Hoja1!H203,"Sí","No")</f>
        <v>No</v>
      </c>
      <c r="J203" s="3" t="str">
        <f>IF(SUMPRODUCT(--ISNUMBER(SEARCH({"0";"1";"2";"3";"4";"5";"6";"7";"8";"9"},Hoja1!D203)))=0,"Sí","No")</f>
        <v>No</v>
      </c>
      <c r="K203" s="3" t="str">
        <f t="shared" si="3"/>
        <v>No</v>
      </c>
    </row>
    <row r="204" spans="1:11" ht="15" customHeight="1" x14ac:dyDescent="0.3">
      <c r="A204" s="3" t="str">
        <f>Hoja1!A204</f>
        <v>C0203</v>
      </c>
      <c r="B204" s="3" t="str">
        <f>Hoja1!B204</f>
        <v>Samu Paulino Fabra Galvez</v>
      </c>
      <c r="C204" s="3" t="str">
        <f>IF(COUNTA(Hoja1!A204:I204)=0,"Sí","No")</f>
        <v>No</v>
      </c>
      <c r="D204" s="3" t="str">
        <f>IF(COUNTBLANK(Hoja1!A204:I204)&gt;0,"Sí","No")</f>
        <v>No</v>
      </c>
      <c r="E204" s="3" t="str">
        <f>IF(COUNTIF(Hoja1!$A$2:$A$1000,Hoja1!A204)&gt;1,"Sí","No")</f>
        <v>No</v>
      </c>
      <c r="F204" s="3" t="str">
        <f>IF(COUNTIF(Hoja1!$G$2:$G$1000,Hoja1!G204)&gt;1,"Sí","No")</f>
        <v>No</v>
      </c>
      <c r="G204" s="3" t="str">
        <f>IF(OR(ISERROR(FIND("@",Hoja1!G204)),ISERROR(FIND(".",Hoja1!G204,FIND("@",Hoja1!G204)))),"Sí","No")</f>
        <v>No</v>
      </c>
      <c r="H204" s="3" t="str">
        <f>IF(LEN(Hoja1!F204)&lt;&gt;14,"Sí","No")</f>
        <v>No</v>
      </c>
      <c r="I204" s="3" t="str">
        <f>IF(Hoja1!C204&gt;Hoja1!H204,"Sí","No")</f>
        <v>No</v>
      </c>
      <c r="J204" s="3" t="str">
        <f>IF(SUMPRODUCT(--ISNUMBER(SEARCH({"0";"1";"2";"3";"4";"5";"6";"7";"8";"9"},Hoja1!D204)))=0,"Sí","No")</f>
        <v>No</v>
      </c>
      <c r="K204" s="3" t="str">
        <f t="shared" si="3"/>
        <v>No</v>
      </c>
    </row>
    <row r="205" spans="1:11" ht="15" customHeight="1" x14ac:dyDescent="0.3">
      <c r="A205" s="3" t="str">
        <f>Hoja1!A205</f>
        <v>C0204</v>
      </c>
      <c r="B205" s="3" t="str">
        <f>Hoja1!B205</f>
        <v>Vicente Egea Sanchez</v>
      </c>
      <c r="C205" s="3" t="str">
        <f>IF(COUNTA(Hoja1!A205:I205)=0,"Sí","No")</f>
        <v>No</v>
      </c>
      <c r="D205" s="3" t="str">
        <f>IF(COUNTBLANK(Hoja1!A205:I205)&gt;0,"Sí","No")</f>
        <v>No</v>
      </c>
      <c r="E205" s="3" t="str">
        <f>IF(COUNTIF(Hoja1!$A$2:$A$1000,Hoja1!A205)&gt;1,"Sí","No")</f>
        <v>No</v>
      </c>
      <c r="F205" s="3" t="str">
        <f>IF(COUNTIF(Hoja1!$G$2:$G$1000,Hoja1!G205)&gt;1,"Sí","No")</f>
        <v>Sí</v>
      </c>
      <c r="G205" s="3" t="str">
        <f>IF(OR(ISERROR(FIND("@",Hoja1!G205)),ISERROR(FIND(".",Hoja1!G205,FIND("@",Hoja1!G205)))),"Sí","No")</f>
        <v>No</v>
      </c>
      <c r="H205" s="3" t="str">
        <f>IF(LEN(Hoja1!F205)&lt;&gt;14,"Sí","No")</f>
        <v>No</v>
      </c>
      <c r="I205" s="3" t="str">
        <f>IF(Hoja1!C205&gt;Hoja1!H205,"Sí","No")</f>
        <v>No</v>
      </c>
      <c r="J205" s="3" t="str">
        <f>IF(SUMPRODUCT(--ISNUMBER(SEARCH({"0";"1";"2";"3";"4";"5";"6";"7";"8";"9"},Hoja1!D205)))=0,"Sí","No")</f>
        <v>No</v>
      </c>
      <c r="K205" s="3" t="str">
        <f t="shared" si="3"/>
        <v>Sí</v>
      </c>
    </row>
    <row r="206" spans="1:11" ht="15" customHeight="1" x14ac:dyDescent="0.3">
      <c r="A206" s="3" t="str">
        <f>Hoja1!A206</f>
        <v>C0205</v>
      </c>
      <c r="B206" s="3" t="str">
        <f>Hoja1!B206</f>
        <v>Juan Carlos del Cordero</v>
      </c>
      <c r="C206" s="3" t="str">
        <f>IF(COUNTA(Hoja1!A206:I206)=0,"Sí","No")</f>
        <v>No</v>
      </c>
      <c r="D206" s="3" t="str">
        <f>IF(COUNTBLANK(Hoja1!A206:I206)&gt;0,"Sí","No")</f>
        <v>No</v>
      </c>
      <c r="E206" s="3" t="str">
        <f>IF(COUNTIF(Hoja1!$A$2:$A$1000,Hoja1!A206)&gt;1,"Sí","No")</f>
        <v>No</v>
      </c>
      <c r="F206" s="3" t="str">
        <f>IF(COUNTIF(Hoja1!$G$2:$G$1000,Hoja1!G206)&gt;1,"Sí","No")</f>
        <v>No</v>
      </c>
      <c r="G206" s="3" t="str">
        <f>IF(OR(ISERROR(FIND("@",Hoja1!G206)),ISERROR(FIND(".",Hoja1!G206,FIND("@",Hoja1!G206)))),"Sí","No")</f>
        <v>No</v>
      </c>
      <c r="H206" s="3" t="str">
        <f>IF(LEN(Hoja1!F206)&lt;&gt;14,"Sí","No")</f>
        <v>No</v>
      </c>
      <c r="I206" s="3" t="str">
        <f>IF(Hoja1!C206&gt;Hoja1!H206,"Sí","No")</f>
        <v>No</v>
      </c>
      <c r="J206" s="3" t="str">
        <f>IF(SUMPRODUCT(--ISNUMBER(SEARCH({"0";"1";"2";"3";"4";"5";"6";"7";"8";"9"},Hoja1!D206)))=0,"Sí","No")</f>
        <v>No</v>
      </c>
      <c r="K206" s="3" t="str">
        <f t="shared" si="3"/>
        <v>No</v>
      </c>
    </row>
    <row r="207" spans="1:11" ht="15" customHeight="1" x14ac:dyDescent="0.3">
      <c r="A207" s="3" t="str">
        <f>Hoja1!A207</f>
        <v>C0206</v>
      </c>
      <c r="B207" s="3" t="str">
        <f>Hoja1!B207</f>
        <v>Carla Blanes España</v>
      </c>
      <c r="C207" s="3" t="str">
        <f>IF(COUNTA(Hoja1!A207:I207)=0,"Sí","No")</f>
        <v>No</v>
      </c>
      <c r="D207" s="3" t="str">
        <f>IF(COUNTBLANK(Hoja1!A207:I207)&gt;0,"Sí","No")</f>
        <v>No</v>
      </c>
      <c r="E207" s="3" t="str">
        <f>IF(COUNTIF(Hoja1!$A$2:$A$1000,Hoja1!A207)&gt;1,"Sí","No")</f>
        <v>No</v>
      </c>
      <c r="F207" s="3" t="str">
        <f>IF(COUNTIF(Hoja1!$G$2:$G$1000,Hoja1!G207)&gt;1,"Sí","No")</f>
        <v>No</v>
      </c>
      <c r="G207" s="3" t="str">
        <f>IF(OR(ISERROR(FIND("@",Hoja1!G207)),ISERROR(FIND(".",Hoja1!G207,FIND("@",Hoja1!G207)))),"Sí","No")</f>
        <v>No</v>
      </c>
      <c r="H207" s="3" t="str">
        <f>IF(LEN(Hoja1!F207)&lt;&gt;14,"Sí","No")</f>
        <v>No</v>
      </c>
      <c r="I207" s="3" t="str">
        <f>IF(Hoja1!C207&gt;Hoja1!H207,"Sí","No")</f>
        <v>No</v>
      </c>
      <c r="J207" s="3" t="str">
        <f>IF(SUMPRODUCT(--ISNUMBER(SEARCH({"0";"1";"2";"3";"4";"5";"6";"7";"8";"9"},Hoja1!D207)))=0,"Sí","No")</f>
        <v>No</v>
      </c>
      <c r="K207" s="3" t="str">
        <f t="shared" si="3"/>
        <v>No</v>
      </c>
    </row>
    <row r="208" spans="1:11" ht="15" customHeight="1" x14ac:dyDescent="0.3">
      <c r="A208" s="3" t="str">
        <f>Hoja1!A208</f>
        <v>C0207</v>
      </c>
      <c r="B208" s="3" t="str">
        <f>Hoja1!B208</f>
        <v>Toribio Herranz Jurado</v>
      </c>
      <c r="C208" s="3" t="str">
        <f>IF(COUNTA(Hoja1!A208:I208)=0,"Sí","No")</f>
        <v>No</v>
      </c>
      <c r="D208" s="3" t="str">
        <f>IF(COUNTBLANK(Hoja1!A208:I208)&gt;0,"Sí","No")</f>
        <v>No</v>
      </c>
      <c r="E208" s="3" t="str">
        <f>IF(COUNTIF(Hoja1!$A$2:$A$1000,Hoja1!A208)&gt;1,"Sí","No")</f>
        <v>No</v>
      </c>
      <c r="F208" s="3" t="str">
        <f>IF(COUNTIF(Hoja1!$G$2:$G$1000,Hoja1!G208)&gt;1,"Sí","No")</f>
        <v>No</v>
      </c>
      <c r="G208" s="3" t="str">
        <f>IF(OR(ISERROR(FIND("@",Hoja1!G208)),ISERROR(FIND(".",Hoja1!G208,FIND("@",Hoja1!G208)))),"Sí","No")</f>
        <v>No</v>
      </c>
      <c r="H208" s="3" t="str">
        <f>IF(LEN(Hoja1!F208)&lt;&gt;14,"Sí","No")</f>
        <v>No</v>
      </c>
      <c r="I208" s="3" t="str">
        <f>IF(Hoja1!C208&gt;Hoja1!H208,"Sí","No")</f>
        <v>No</v>
      </c>
      <c r="J208" s="3" t="str">
        <f>IF(SUMPRODUCT(--ISNUMBER(SEARCH({"0";"1";"2";"3";"4";"5";"6";"7";"8";"9"},Hoja1!D208)))=0,"Sí","No")</f>
        <v>No</v>
      </c>
      <c r="K208" s="3" t="str">
        <f t="shared" si="3"/>
        <v>No</v>
      </c>
    </row>
    <row r="209" spans="1:11" ht="15" customHeight="1" x14ac:dyDescent="0.3">
      <c r="A209" s="3" t="str">
        <f>Hoja1!A209</f>
        <v>C0208</v>
      </c>
      <c r="B209" s="3" t="str">
        <f>Hoja1!B209</f>
        <v>América Rosell Ferrándiz</v>
      </c>
      <c r="C209" s="3" t="str">
        <f>IF(COUNTA(Hoja1!A209:I209)=0,"Sí","No")</f>
        <v>No</v>
      </c>
      <c r="D209" s="3" t="str">
        <f>IF(COUNTBLANK(Hoja1!A209:I209)&gt;0,"Sí","No")</f>
        <v>No</v>
      </c>
      <c r="E209" s="3" t="str">
        <f>IF(COUNTIF(Hoja1!$A$2:$A$1000,Hoja1!A209)&gt;1,"Sí","No")</f>
        <v>No</v>
      </c>
      <c r="F209" s="3" t="str">
        <f>IF(COUNTIF(Hoja1!$G$2:$G$1000,Hoja1!G209)&gt;1,"Sí","No")</f>
        <v>No</v>
      </c>
      <c r="G209" s="3" t="str">
        <f>IF(OR(ISERROR(FIND("@",Hoja1!G209)),ISERROR(FIND(".",Hoja1!G209,FIND("@",Hoja1!G209)))),"Sí","No")</f>
        <v>No</v>
      </c>
      <c r="H209" s="3" t="str">
        <f>IF(LEN(Hoja1!F209)&lt;&gt;14,"Sí","No")</f>
        <v>No</v>
      </c>
      <c r="I209" s="3" t="str">
        <f>IF(Hoja1!C209&gt;Hoja1!H209,"Sí","No")</f>
        <v>No</v>
      </c>
      <c r="J209" s="3" t="str">
        <f>IF(SUMPRODUCT(--ISNUMBER(SEARCH({"0";"1";"2";"3";"4";"5";"6";"7";"8";"9"},Hoja1!D209)))=0,"Sí","No")</f>
        <v>No</v>
      </c>
      <c r="K209" s="3" t="str">
        <f t="shared" si="3"/>
        <v>No</v>
      </c>
    </row>
    <row r="210" spans="1:11" ht="15" customHeight="1" x14ac:dyDescent="0.3">
      <c r="A210" s="3" t="str">
        <f>Hoja1!A210</f>
        <v>C0209</v>
      </c>
      <c r="B210" s="3" t="str">
        <f>Hoja1!B210</f>
        <v>Inés Calderon Suarez</v>
      </c>
      <c r="C210" s="3" t="str">
        <f>IF(COUNTA(Hoja1!A210:I210)=0,"Sí","No")</f>
        <v>No</v>
      </c>
      <c r="D210" s="3" t="str">
        <f>IF(COUNTBLANK(Hoja1!A210:I210)&gt;0,"Sí","No")</f>
        <v>No</v>
      </c>
      <c r="E210" s="3" t="str">
        <f>IF(COUNTIF(Hoja1!$A$2:$A$1000,Hoja1!A210)&gt;1,"Sí","No")</f>
        <v>No</v>
      </c>
      <c r="F210" s="3" t="str">
        <f>IF(COUNTIF(Hoja1!$G$2:$G$1000,Hoja1!G210)&gt;1,"Sí","No")</f>
        <v>No</v>
      </c>
      <c r="G210" s="3" t="str">
        <f>IF(OR(ISERROR(FIND("@",Hoja1!G210)),ISERROR(FIND(".",Hoja1!G210,FIND("@",Hoja1!G210)))),"Sí","No")</f>
        <v>No</v>
      </c>
      <c r="H210" s="3" t="str">
        <f>IF(LEN(Hoja1!F210)&lt;&gt;14,"Sí","No")</f>
        <v>No</v>
      </c>
      <c r="I210" s="3" t="str">
        <f>IF(Hoja1!C210&gt;Hoja1!H210,"Sí","No")</f>
        <v>No</v>
      </c>
      <c r="J210" s="3" t="str">
        <f>IF(SUMPRODUCT(--ISNUMBER(SEARCH({"0";"1";"2";"3";"4";"5";"6";"7";"8";"9"},Hoja1!D210)))=0,"Sí","No")</f>
        <v>No</v>
      </c>
      <c r="K210" s="3" t="str">
        <f t="shared" si="3"/>
        <v>No</v>
      </c>
    </row>
    <row r="211" spans="1:11" ht="15" customHeight="1" x14ac:dyDescent="0.3">
      <c r="A211" s="3" t="str">
        <f>Hoja1!A211</f>
        <v>C0210</v>
      </c>
      <c r="B211" s="3" t="str">
        <f>Hoja1!B211</f>
        <v>Trinidad Leiva Ribera</v>
      </c>
      <c r="C211" s="3" t="str">
        <f>IF(COUNTA(Hoja1!A211:I211)=0,"Sí","No")</f>
        <v>No</v>
      </c>
      <c r="D211" s="3" t="str">
        <f>IF(COUNTBLANK(Hoja1!A211:I211)&gt;0,"Sí","No")</f>
        <v>No</v>
      </c>
      <c r="E211" s="3" t="str">
        <f>IF(COUNTIF(Hoja1!$A$2:$A$1000,Hoja1!A211)&gt;1,"Sí","No")</f>
        <v>No</v>
      </c>
      <c r="F211" s="3" t="str">
        <f>IF(COUNTIF(Hoja1!$G$2:$G$1000,Hoja1!G211)&gt;1,"Sí","No")</f>
        <v>No</v>
      </c>
      <c r="G211" s="3" t="str">
        <f>IF(OR(ISERROR(FIND("@",Hoja1!G211)),ISERROR(FIND(".",Hoja1!G211,FIND("@",Hoja1!G211)))),"Sí","No")</f>
        <v>No</v>
      </c>
      <c r="H211" s="3" t="str">
        <f>IF(LEN(Hoja1!F211)&lt;&gt;14,"Sí","No")</f>
        <v>No</v>
      </c>
      <c r="I211" s="3" t="str">
        <f>IF(Hoja1!C211&gt;Hoja1!H211,"Sí","No")</f>
        <v>No</v>
      </c>
      <c r="J211" s="3" t="str">
        <f>IF(SUMPRODUCT(--ISNUMBER(SEARCH({"0";"1";"2";"3";"4";"5";"6";"7";"8";"9"},Hoja1!D211)))=0,"Sí","No")</f>
        <v>No</v>
      </c>
      <c r="K211" s="3" t="str">
        <f t="shared" si="3"/>
        <v>No</v>
      </c>
    </row>
    <row r="212" spans="1:11" ht="15" customHeight="1" x14ac:dyDescent="0.3">
      <c r="A212" s="3" t="str">
        <f>Hoja1!A212</f>
        <v>C0211</v>
      </c>
      <c r="B212" s="3" t="str">
        <f>Hoja1!B212</f>
        <v>Luisa Saldaña Piñeiro</v>
      </c>
      <c r="C212" s="3" t="str">
        <f>IF(COUNTA(Hoja1!A212:I212)=0,"Sí","No")</f>
        <v>No</v>
      </c>
      <c r="D212" s="3" t="str">
        <f>IF(COUNTBLANK(Hoja1!A212:I212)&gt;0,"Sí","No")</f>
        <v>No</v>
      </c>
      <c r="E212" s="3" t="str">
        <f>IF(COUNTIF(Hoja1!$A$2:$A$1000,Hoja1!A212)&gt;1,"Sí","No")</f>
        <v>No</v>
      </c>
      <c r="F212" s="3" t="str">
        <f>IF(COUNTIF(Hoja1!$G$2:$G$1000,Hoja1!G212)&gt;1,"Sí","No")</f>
        <v>Sí</v>
      </c>
      <c r="G212" s="3" t="str">
        <f>IF(OR(ISERROR(FIND("@",Hoja1!G212)),ISERROR(FIND(".",Hoja1!G212,FIND("@",Hoja1!G212)))),"Sí","No")</f>
        <v>No</v>
      </c>
      <c r="H212" s="3" t="str">
        <f>IF(LEN(Hoja1!F212)&lt;&gt;14,"Sí","No")</f>
        <v>No</v>
      </c>
      <c r="I212" s="3" t="str">
        <f>IF(Hoja1!C212&gt;Hoja1!H212,"Sí","No")</f>
        <v>No</v>
      </c>
      <c r="J212" s="3" t="str">
        <f>IF(SUMPRODUCT(--ISNUMBER(SEARCH({"0";"1";"2";"3";"4";"5";"6";"7";"8";"9"},Hoja1!D212)))=0,"Sí","No")</f>
        <v>No</v>
      </c>
      <c r="K212" s="3" t="str">
        <f t="shared" si="3"/>
        <v>Sí</v>
      </c>
    </row>
    <row r="213" spans="1:11" ht="15" customHeight="1" x14ac:dyDescent="0.3">
      <c r="A213" s="3" t="str">
        <f>Hoja1!A213</f>
        <v>C0212</v>
      </c>
      <c r="B213" s="3" t="str">
        <f>Hoja1!B213</f>
        <v>Yago Diez Meléndez</v>
      </c>
      <c r="C213" s="3" t="str">
        <f>IF(COUNTA(Hoja1!A213:I213)=0,"Sí","No")</f>
        <v>No</v>
      </c>
      <c r="D213" s="3" t="str">
        <f>IF(COUNTBLANK(Hoja1!A213:I213)&gt;0,"Sí","No")</f>
        <v>No</v>
      </c>
      <c r="E213" s="3" t="str">
        <f>IF(COUNTIF(Hoja1!$A$2:$A$1000,Hoja1!A213)&gt;1,"Sí","No")</f>
        <v>No</v>
      </c>
      <c r="F213" s="3" t="str">
        <f>IF(COUNTIF(Hoja1!$G$2:$G$1000,Hoja1!G213)&gt;1,"Sí","No")</f>
        <v>Sí</v>
      </c>
      <c r="G213" s="3" t="str">
        <f>IF(OR(ISERROR(FIND("@",Hoja1!G213)),ISERROR(FIND(".",Hoja1!G213,FIND("@",Hoja1!G213)))),"Sí","No")</f>
        <v>No</v>
      </c>
      <c r="H213" s="3" t="str">
        <f>IF(LEN(Hoja1!F213)&lt;&gt;14,"Sí","No")</f>
        <v>No</v>
      </c>
      <c r="I213" s="3" t="str">
        <f>IF(Hoja1!C213&gt;Hoja1!H213,"Sí","No")</f>
        <v>No</v>
      </c>
      <c r="J213" s="3" t="str">
        <f>IF(SUMPRODUCT(--ISNUMBER(SEARCH({"0";"1";"2";"3";"4";"5";"6";"7";"8";"9"},Hoja1!D213)))=0,"Sí","No")</f>
        <v>No</v>
      </c>
      <c r="K213" s="3" t="str">
        <f t="shared" si="3"/>
        <v>Sí</v>
      </c>
    </row>
    <row r="214" spans="1:11" ht="15" customHeight="1" x14ac:dyDescent="0.3">
      <c r="A214" s="3" t="str">
        <f>Hoja1!A214</f>
        <v>C0213</v>
      </c>
      <c r="B214" s="3" t="str">
        <f>Hoja1!B214</f>
        <v>Alberto Rius Rius</v>
      </c>
      <c r="C214" s="3" t="str">
        <f>IF(COUNTA(Hoja1!A214:I214)=0,"Sí","No")</f>
        <v>No</v>
      </c>
      <c r="D214" s="3" t="str">
        <f>IF(COUNTBLANK(Hoja1!A214:I214)&gt;0,"Sí","No")</f>
        <v>No</v>
      </c>
      <c r="E214" s="3" t="str">
        <f>IF(COUNTIF(Hoja1!$A$2:$A$1000,Hoja1!A214)&gt;1,"Sí","No")</f>
        <v>No</v>
      </c>
      <c r="F214" s="3" t="str">
        <f>IF(COUNTIF(Hoja1!$G$2:$G$1000,Hoja1!G214)&gt;1,"Sí","No")</f>
        <v>No</v>
      </c>
      <c r="G214" s="3" t="str">
        <f>IF(OR(ISERROR(FIND("@",Hoja1!G214)),ISERROR(FIND(".",Hoja1!G214,FIND("@",Hoja1!G214)))),"Sí","No")</f>
        <v>No</v>
      </c>
      <c r="H214" s="3" t="str">
        <f>IF(LEN(Hoja1!F214)&lt;&gt;14,"Sí","No")</f>
        <v>No</v>
      </c>
      <c r="I214" s="3" t="str">
        <f>IF(Hoja1!C214&gt;Hoja1!H214,"Sí","No")</f>
        <v>No</v>
      </c>
      <c r="J214" s="3" t="str">
        <f>IF(SUMPRODUCT(--ISNUMBER(SEARCH({"0";"1";"2";"3";"4";"5";"6";"7";"8";"9"},Hoja1!D214)))=0,"Sí","No")</f>
        <v>No</v>
      </c>
      <c r="K214" s="3" t="str">
        <f t="shared" si="3"/>
        <v>No</v>
      </c>
    </row>
    <row r="215" spans="1:11" ht="15" customHeight="1" x14ac:dyDescent="0.3">
      <c r="A215" s="3" t="str">
        <f>Hoja1!A215</f>
        <v>C0214</v>
      </c>
      <c r="B215" s="3" t="str">
        <f>Hoja1!B215</f>
        <v>Beatriz Jimenez Antón</v>
      </c>
      <c r="C215" s="3" t="str">
        <f>IF(COUNTA(Hoja1!A215:I215)=0,"Sí","No")</f>
        <v>No</v>
      </c>
      <c r="D215" s="3" t="str">
        <f>IF(COUNTBLANK(Hoja1!A215:I215)&gt;0,"Sí","No")</f>
        <v>No</v>
      </c>
      <c r="E215" s="3" t="str">
        <f>IF(COUNTIF(Hoja1!$A$2:$A$1000,Hoja1!A215)&gt;1,"Sí","No")</f>
        <v>No</v>
      </c>
      <c r="F215" s="3" t="str">
        <f>IF(COUNTIF(Hoja1!$G$2:$G$1000,Hoja1!G215)&gt;1,"Sí","No")</f>
        <v>No</v>
      </c>
      <c r="G215" s="3" t="str">
        <f>IF(OR(ISERROR(FIND("@",Hoja1!G215)),ISERROR(FIND(".",Hoja1!G215,FIND("@",Hoja1!G215)))),"Sí","No")</f>
        <v>No</v>
      </c>
      <c r="H215" s="3" t="str">
        <f>IF(LEN(Hoja1!F215)&lt;&gt;14,"Sí","No")</f>
        <v>No</v>
      </c>
      <c r="I215" s="3" t="str">
        <f>IF(Hoja1!C215&gt;Hoja1!H215,"Sí","No")</f>
        <v>No</v>
      </c>
      <c r="J215" s="3" t="str">
        <f>IF(SUMPRODUCT(--ISNUMBER(SEARCH({"0";"1";"2";"3";"4";"5";"6";"7";"8";"9"},Hoja1!D215)))=0,"Sí","No")</f>
        <v>No</v>
      </c>
      <c r="K215" s="3" t="str">
        <f t="shared" si="3"/>
        <v>No</v>
      </c>
    </row>
    <row r="216" spans="1:11" ht="15" customHeight="1" x14ac:dyDescent="0.3">
      <c r="A216" s="3" t="str">
        <f>Hoja1!A216</f>
        <v>C0215</v>
      </c>
      <c r="B216" s="3" t="str">
        <f>Hoja1!B216</f>
        <v>Adolfo Gaya Canales</v>
      </c>
      <c r="C216" s="3" t="str">
        <f>IF(COUNTA(Hoja1!A216:I216)=0,"Sí","No")</f>
        <v>No</v>
      </c>
      <c r="D216" s="3" t="str">
        <f>IF(COUNTBLANK(Hoja1!A216:I216)&gt;0,"Sí","No")</f>
        <v>No</v>
      </c>
      <c r="E216" s="3" t="str">
        <f>IF(COUNTIF(Hoja1!$A$2:$A$1000,Hoja1!A216)&gt;1,"Sí","No")</f>
        <v>No</v>
      </c>
      <c r="F216" s="3" t="str">
        <f>IF(COUNTIF(Hoja1!$G$2:$G$1000,Hoja1!G216)&gt;1,"Sí","No")</f>
        <v>No</v>
      </c>
      <c r="G216" s="3" t="str">
        <f>IF(OR(ISERROR(FIND("@",Hoja1!G216)),ISERROR(FIND(".",Hoja1!G216,FIND("@",Hoja1!G216)))),"Sí","No")</f>
        <v>No</v>
      </c>
      <c r="H216" s="3" t="str">
        <f>IF(LEN(Hoja1!F216)&lt;&gt;14,"Sí","No")</f>
        <v>No</v>
      </c>
      <c r="I216" s="3" t="str">
        <f>IF(Hoja1!C216&gt;Hoja1!H216,"Sí","No")</f>
        <v>No</v>
      </c>
      <c r="J216" s="3" t="str">
        <f>IF(SUMPRODUCT(--ISNUMBER(SEARCH({"0";"1";"2";"3";"4";"5";"6";"7";"8";"9"},Hoja1!D216)))=0,"Sí","No")</f>
        <v>No</v>
      </c>
      <c r="K216" s="3" t="str">
        <f t="shared" si="3"/>
        <v>No</v>
      </c>
    </row>
    <row r="217" spans="1:11" ht="15" customHeight="1" x14ac:dyDescent="0.3">
      <c r="A217" s="3" t="str">
        <f>Hoja1!A217</f>
        <v>C0216</v>
      </c>
      <c r="B217" s="3" t="str">
        <f>Hoja1!B217</f>
        <v>Teófilo de Nuñez</v>
      </c>
      <c r="C217" s="3" t="str">
        <f>IF(COUNTA(Hoja1!A217:I217)=0,"Sí","No")</f>
        <v>No</v>
      </c>
      <c r="D217" s="3" t="str">
        <f>IF(COUNTBLANK(Hoja1!A217:I217)&gt;0,"Sí","No")</f>
        <v>No</v>
      </c>
      <c r="E217" s="3" t="str">
        <f>IF(COUNTIF(Hoja1!$A$2:$A$1000,Hoja1!A217)&gt;1,"Sí","No")</f>
        <v>No</v>
      </c>
      <c r="F217" s="3" t="str">
        <f>IF(COUNTIF(Hoja1!$G$2:$G$1000,Hoja1!G217)&gt;1,"Sí","No")</f>
        <v>No</v>
      </c>
      <c r="G217" s="3" t="str">
        <f>IF(OR(ISERROR(FIND("@",Hoja1!G217)),ISERROR(FIND(".",Hoja1!G217,FIND("@",Hoja1!G217)))),"Sí","No")</f>
        <v>No</v>
      </c>
      <c r="H217" s="3" t="str">
        <f>IF(LEN(Hoja1!F217)&lt;&gt;14,"Sí","No")</f>
        <v>No</v>
      </c>
      <c r="I217" s="3" t="str">
        <f>IF(Hoja1!C217&gt;Hoja1!H217,"Sí","No")</f>
        <v>No</v>
      </c>
      <c r="J217" s="3" t="str">
        <f>IF(SUMPRODUCT(--ISNUMBER(SEARCH({"0";"1";"2";"3";"4";"5";"6";"7";"8";"9"},Hoja1!D217)))=0,"Sí","No")</f>
        <v>No</v>
      </c>
      <c r="K217" s="3" t="str">
        <f t="shared" si="3"/>
        <v>No</v>
      </c>
    </row>
    <row r="218" spans="1:11" ht="15" customHeight="1" x14ac:dyDescent="0.3">
      <c r="A218" s="3" t="str">
        <f>Hoja1!A218</f>
        <v>C0217</v>
      </c>
      <c r="B218" s="3" t="str">
        <f>Hoja1!B218</f>
        <v>Bruno Cabezas Cordero</v>
      </c>
      <c r="C218" s="3" t="str">
        <f>IF(COUNTA(Hoja1!A218:I218)=0,"Sí","No")</f>
        <v>No</v>
      </c>
      <c r="D218" s="3" t="str">
        <f>IF(COUNTBLANK(Hoja1!A218:I218)&gt;0,"Sí","No")</f>
        <v>No</v>
      </c>
      <c r="E218" s="3" t="str">
        <f>IF(COUNTIF(Hoja1!$A$2:$A$1000,Hoja1!A218)&gt;1,"Sí","No")</f>
        <v>No</v>
      </c>
      <c r="F218" s="3" t="str">
        <f>IF(COUNTIF(Hoja1!$G$2:$G$1000,Hoja1!G218)&gt;1,"Sí","No")</f>
        <v>No</v>
      </c>
      <c r="G218" s="3" t="str">
        <f>IF(OR(ISERROR(FIND("@",Hoja1!G218)),ISERROR(FIND(".",Hoja1!G218,FIND("@",Hoja1!G218)))),"Sí","No")</f>
        <v>No</v>
      </c>
      <c r="H218" s="3" t="str">
        <f>IF(LEN(Hoja1!F218)&lt;&gt;14,"Sí","No")</f>
        <v>No</v>
      </c>
      <c r="I218" s="3" t="str">
        <f>IF(Hoja1!C218&gt;Hoja1!H218,"Sí","No")</f>
        <v>No</v>
      </c>
      <c r="J218" s="3" t="str">
        <f>IF(SUMPRODUCT(--ISNUMBER(SEARCH({"0";"1";"2";"3";"4";"5";"6";"7";"8";"9"},Hoja1!D218)))=0,"Sí","No")</f>
        <v>No</v>
      </c>
      <c r="K218" s="3" t="str">
        <f t="shared" si="3"/>
        <v>No</v>
      </c>
    </row>
    <row r="219" spans="1:11" ht="15" customHeight="1" x14ac:dyDescent="0.3">
      <c r="A219" s="3" t="str">
        <f>Hoja1!A219</f>
        <v>C0218</v>
      </c>
      <c r="B219" s="3" t="str">
        <f>Hoja1!B219</f>
        <v>Pepe Juanito Adán Anaya</v>
      </c>
      <c r="C219" s="3" t="str">
        <f>IF(COUNTA(Hoja1!A219:I219)=0,"Sí","No")</f>
        <v>No</v>
      </c>
      <c r="D219" s="3" t="str">
        <f>IF(COUNTBLANK(Hoja1!A219:I219)&gt;0,"Sí","No")</f>
        <v>No</v>
      </c>
      <c r="E219" s="3" t="str">
        <f>IF(COUNTIF(Hoja1!$A$2:$A$1000,Hoja1!A219)&gt;1,"Sí","No")</f>
        <v>No</v>
      </c>
      <c r="F219" s="3" t="str">
        <f>IF(COUNTIF(Hoja1!$G$2:$G$1000,Hoja1!G219)&gt;1,"Sí","No")</f>
        <v>No</v>
      </c>
      <c r="G219" s="3" t="str">
        <f>IF(OR(ISERROR(FIND("@",Hoja1!G219)),ISERROR(FIND(".",Hoja1!G219,FIND("@",Hoja1!G219)))),"Sí","No")</f>
        <v>No</v>
      </c>
      <c r="H219" s="3" t="str">
        <f>IF(LEN(Hoja1!F219)&lt;&gt;14,"Sí","No")</f>
        <v>No</v>
      </c>
      <c r="I219" s="3" t="str">
        <f>IF(Hoja1!C219&gt;Hoja1!H219,"Sí","No")</f>
        <v>No</v>
      </c>
      <c r="J219" s="3" t="str">
        <f>IF(SUMPRODUCT(--ISNUMBER(SEARCH({"0";"1";"2";"3";"4";"5";"6";"7";"8";"9"},Hoja1!D219)))=0,"Sí","No")</f>
        <v>No</v>
      </c>
      <c r="K219" s="3" t="str">
        <f t="shared" si="3"/>
        <v>No</v>
      </c>
    </row>
    <row r="220" spans="1:11" ht="15" customHeight="1" x14ac:dyDescent="0.3">
      <c r="A220" s="3" t="str">
        <f>Hoja1!A220</f>
        <v>C0219</v>
      </c>
      <c r="B220" s="3" t="str">
        <f>Hoja1!B220</f>
        <v>Isabela Solé Nuñez</v>
      </c>
      <c r="C220" s="3" t="str">
        <f>IF(COUNTA(Hoja1!A220:I220)=0,"Sí","No")</f>
        <v>No</v>
      </c>
      <c r="D220" s="3" t="str">
        <f>IF(COUNTBLANK(Hoja1!A220:I220)&gt;0,"Sí","No")</f>
        <v>No</v>
      </c>
      <c r="E220" s="3" t="str">
        <f>IF(COUNTIF(Hoja1!$A$2:$A$1000,Hoja1!A220)&gt;1,"Sí","No")</f>
        <v>No</v>
      </c>
      <c r="F220" s="3" t="str">
        <f>IF(COUNTIF(Hoja1!$G$2:$G$1000,Hoja1!G220)&gt;1,"Sí","No")</f>
        <v>No</v>
      </c>
      <c r="G220" s="3" t="str">
        <f>IF(OR(ISERROR(FIND("@",Hoja1!G220)),ISERROR(FIND(".",Hoja1!G220,FIND("@",Hoja1!G220)))),"Sí","No")</f>
        <v>No</v>
      </c>
      <c r="H220" s="3" t="str">
        <f>IF(LEN(Hoja1!F220)&lt;&gt;14,"Sí","No")</f>
        <v>No</v>
      </c>
      <c r="I220" s="3" t="str">
        <f>IF(Hoja1!C220&gt;Hoja1!H220,"Sí","No")</f>
        <v>No</v>
      </c>
      <c r="J220" s="3" t="str">
        <f>IF(SUMPRODUCT(--ISNUMBER(SEARCH({"0";"1";"2";"3";"4";"5";"6";"7";"8";"9"},Hoja1!D220)))=0,"Sí","No")</f>
        <v>No</v>
      </c>
      <c r="K220" s="3" t="str">
        <f t="shared" si="3"/>
        <v>No</v>
      </c>
    </row>
    <row r="221" spans="1:11" ht="15" customHeight="1" x14ac:dyDescent="0.3">
      <c r="A221" s="3" t="str">
        <f>Hoja1!A221</f>
        <v>C0220</v>
      </c>
      <c r="B221" s="3" t="str">
        <f>Hoja1!B221</f>
        <v>Amaya Izquierdo Gonzalo</v>
      </c>
      <c r="C221" s="3" t="str">
        <f>IF(COUNTA(Hoja1!A221:I221)=0,"Sí","No")</f>
        <v>No</v>
      </c>
      <c r="D221" s="3" t="str">
        <f>IF(COUNTBLANK(Hoja1!A221:I221)&gt;0,"Sí","No")</f>
        <v>No</v>
      </c>
      <c r="E221" s="3" t="str">
        <f>IF(COUNTIF(Hoja1!$A$2:$A$1000,Hoja1!A221)&gt;1,"Sí","No")</f>
        <v>No</v>
      </c>
      <c r="F221" s="3" t="str">
        <f>IF(COUNTIF(Hoja1!$G$2:$G$1000,Hoja1!G221)&gt;1,"Sí","No")</f>
        <v>No</v>
      </c>
      <c r="G221" s="3" t="str">
        <f>IF(OR(ISERROR(FIND("@",Hoja1!G221)),ISERROR(FIND(".",Hoja1!G221,FIND("@",Hoja1!G221)))),"Sí","No")</f>
        <v>No</v>
      </c>
      <c r="H221" s="3" t="str">
        <f>IF(LEN(Hoja1!F221)&lt;&gt;14,"Sí","No")</f>
        <v>No</v>
      </c>
      <c r="I221" s="3" t="str">
        <f>IF(Hoja1!C221&gt;Hoja1!H221,"Sí","No")</f>
        <v>No</v>
      </c>
      <c r="J221" s="3" t="str">
        <f>IF(SUMPRODUCT(--ISNUMBER(SEARCH({"0";"1";"2";"3";"4";"5";"6";"7";"8";"9"},Hoja1!D221)))=0,"Sí","No")</f>
        <v>No</v>
      </c>
      <c r="K221" s="3" t="str">
        <f t="shared" si="3"/>
        <v>No</v>
      </c>
    </row>
    <row r="222" spans="1:11" ht="15" customHeight="1" x14ac:dyDescent="0.3">
      <c r="A222" s="3" t="str">
        <f>Hoja1!A222</f>
        <v>C0221</v>
      </c>
      <c r="B222" s="3" t="str">
        <f>Hoja1!B222</f>
        <v>Gervasio del Galán</v>
      </c>
      <c r="C222" s="3" t="str">
        <f>IF(COUNTA(Hoja1!A222:I222)=0,"Sí","No")</f>
        <v>No</v>
      </c>
      <c r="D222" s="3" t="str">
        <f>IF(COUNTBLANK(Hoja1!A222:I222)&gt;0,"Sí","No")</f>
        <v>No</v>
      </c>
      <c r="E222" s="3" t="str">
        <f>IF(COUNTIF(Hoja1!$A$2:$A$1000,Hoja1!A222)&gt;1,"Sí","No")</f>
        <v>No</v>
      </c>
      <c r="F222" s="3" t="str">
        <f>IF(COUNTIF(Hoja1!$G$2:$G$1000,Hoja1!G222)&gt;1,"Sí","No")</f>
        <v>No</v>
      </c>
      <c r="G222" s="3" t="str">
        <f>IF(OR(ISERROR(FIND("@",Hoja1!G222)),ISERROR(FIND(".",Hoja1!G222,FIND("@",Hoja1!G222)))),"Sí","No")</f>
        <v>No</v>
      </c>
      <c r="H222" s="3" t="str">
        <f>IF(LEN(Hoja1!F222)&lt;&gt;14,"Sí","No")</f>
        <v>No</v>
      </c>
      <c r="I222" s="3" t="str">
        <f>IF(Hoja1!C222&gt;Hoja1!H222,"Sí","No")</f>
        <v>No</v>
      </c>
      <c r="J222" s="3" t="str">
        <f>IF(SUMPRODUCT(--ISNUMBER(SEARCH({"0";"1";"2";"3";"4";"5";"6";"7";"8";"9"},Hoja1!D222)))=0,"Sí","No")</f>
        <v>No</v>
      </c>
      <c r="K222" s="3" t="str">
        <f t="shared" si="3"/>
        <v>No</v>
      </c>
    </row>
    <row r="223" spans="1:11" ht="15" customHeight="1" x14ac:dyDescent="0.3">
      <c r="A223" s="3" t="str">
        <f>Hoja1!A223</f>
        <v>C0222</v>
      </c>
      <c r="B223" s="3" t="str">
        <f>Hoja1!B223</f>
        <v>Isaac Pujol-Yáñez</v>
      </c>
      <c r="C223" s="3" t="str">
        <f>IF(COUNTA(Hoja1!A223:I223)=0,"Sí","No")</f>
        <v>No</v>
      </c>
      <c r="D223" s="3" t="str">
        <f>IF(COUNTBLANK(Hoja1!A223:I223)&gt;0,"Sí","No")</f>
        <v>No</v>
      </c>
      <c r="E223" s="3" t="str">
        <f>IF(COUNTIF(Hoja1!$A$2:$A$1000,Hoja1!A223)&gt;1,"Sí","No")</f>
        <v>No</v>
      </c>
      <c r="F223" s="3" t="str">
        <f>IF(COUNTIF(Hoja1!$G$2:$G$1000,Hoja1!G223)&gt;1,"Sí","No")</f>
        <v>No</v>
      </c>
      <c r="G223" s="3" t="str">
        <f>IF(OR(ISERROR(FIND("@",Hoja1!G223)),ISERROR(FIND(".",Hoja1!G223,FIND("@",Hoja1!G223)))),"Sí","No")</f>
        <v>No</v>
      </c>
      <c r="H223" s="3" t="str">
        <f>IF(LEN(Hoja1!F223)&lt;&gt;14,"Sí","No")</f>
        <v>No</v>
      </c>
      <c r="I223" s="3" t="str">
        <f>IF(Hoja1!C223&gt;Hoja1!H223,"Sí","No")</f>
        <v>No</v>
      </c>
      <c r="J223" s="3" t="str">
        <f>IF(SUMPRODUCT(--ISNUMBER(SEARCH({"0";"1";"2";"3";"4";"5";"6";"7";"8";"9"},Hoja1!D223)))=0,"Sí","No")</f>
        <v>No</v>
      </c>
      <c r="K223" s="3" t="str">
        <f t="shared" si="3"/>
        <v>No</v>
      </c>
    </row>
    <row r="224" spans="1:11" ht="15" customHeight="1" x14ac:dyDescent="0.3">
      <c r="A224" s="3" t="str">
        <f>Hoja1!A224</f>
        <v>C0223</v>
      </c>
      <c r="B224" s="3" t="str">
        <f>Hoja1!B224</f>
        <v>Valerio Valentín Céspedes</v>
      </c>
      <c r="C224" s="3" t="str">
        <f>IF(COUNTA(Hoja1!A224:I224)=0,"Sí","No")</f>
        <v>No</v>
      </c>
      <c r="D224" s="3" t="str">
        <f>IF(COUNTBLANK(Hoja1!A224:I224)&gt;0,"Sí","No")</f>
        <v>No</v>
      </c>
      <c r="E224" s="3" t="str">
        <f>IF(COUNTIF(Hoja1!$A$2:$A$1000,Hoja1!A224)&gt;1,"Sí","No")</f>
        <v>No</v>
      </c>
      <c r="F224" s="3" t="str">
        <f>IF(COUNTIF(Hoja1!$G$2:$G$1000,Hoja1!G224)&gt;1,"Sí","No")</f>
        <v>No</v>
      </c>
      <c r="G224" s="3" t="str">
        <f>IF(OR(ISERROR(FIND("@",Hoja1!G224)),ISERROR(FIND(".",Hoja1!G224,FIND("@",Hoja1!G224)))),"Sí","No")</f>
        <v>No</v>
      </c>
      <c r="H224" s="3" t="str">
        <f>IF(LEN(Hoja1!F224)&lt;&gt;14,"Sí","No")</f>
        <v>No</v>
      </c>
      <c r="I224" s="3" t="str">
        <f>IF(Hoja1!C224&gt;Hoja1!H224,"Sí","No")</f>
        <v>No</v>
      </c>
      <c r="J224" s="3" t="str">
        <f>IF(SUMPRODUCT(--ISNUMBER(SEARCH({"0";"1";"2";"3";"4";"5";"6";"7";"8";"9"},Hoja1!D224)))=0,"Sí","No")</f>
        <v>No</v>
      </c>
      <c r="K224" s="3" t="str">
        <f t="shared" si="3"/>
        <v>No</v>
      </c>
    </row>
    <row r="225" spans="1:11" ht="15" customHeight="1" x14ac:dyDescent="0.3">
      <c r="A225" s="3" t="str">
        <f>Hoja1!A225</f>
        <v>C0224</v>
      </c>
      <c r="B225" s="3" t="str">
        <f>Hoja1!B225</f>
        <v>Cleto Benito Mendizábal</v>
      </c>
      <c r="C225" s="3" t="str">
        <f>IF(COUNTA(Hoja1!A225:I225)=0,"Sí","No")</f>
        <v>No</v>
      </c>
      <c r="D225" s="3" t="str">
        <f>IF(COUNTBLANK(Hoja1!A225:I225)&gt;0,"Sí","No")</f>
        <v>No</v>
      </c>
      <c r="E225" s="3" t="str">
        <f>IF(COUNTIF(Hoja1!$A$2:$A$1000,Hoja1!A225)&gt;1,"Sí","No")</f>
        <v>No</v>
      </c>
      <c r="F225" s="3" t="str">
        <f>IF(COUNTIF(Hoja1!$G$2:$G$1000,Hoja1!G225)&gt;1,"Sí","No")</f>
        <v>No</v>
      </c>
      <c r="G225" s="3" t="str">
        <f>IF(OR(ISERROR(FIND("@",Hoja1!G225)),ISERROR(FIND(".",Hoja1!G225,FIND("@",Hoja1!G225)))),"Sí","No")</f>
        <v>No</v>
      </c>
      <c r="H225" s="3" t="str">
        <f>IF(LEN(Hoja1!F225)&lt;&gt;14,"Sí","No")</f>
        <v>No</v>
      </c>
      <c r="I225" s="3" t="str">
        <f>IF(Hoja1!C225&gt;Hoja1!H225,"Sí","No")</f>
        <v>No</v>
      </c>
      <c r="J225" s="3" t="str">
        <f>IF(SUMPRODUCT(--ISNUMBER(SEARCH({"0";"1";"2";"3";"4";"5";"6";"7";"8";"9"},Hoja1!D225)))=0,"Sí","No")</f>
        <v>No</v>
      </c>
      <c r="K225" s="3" t="str">
        <f t="shared" si="3"/>
        <v>No</v>
      </c>
    </row>
    <row r="226" spans="1:11" ht="15" customHeight="1" x14ac:dyDescent="0.3">
      <c r="A226" s="3" t="str">
        <f>Hoja1!A226</f>
        <v>C0225</v>
      </c>
      <c r="B226" s="3" t="str">
        <f>Hoja1!B226</f>
        <v>Erasmo Cabeza Martinez</v>
      </c>
      <c r="C226" s="3" t="str">
        <f>IF(COUNTA(Hoja1!A226:I226)=0,"Sí","No")</f>
        <v>No</v>
      </c>
      <c r="D226" s="3" t="str">
        <f>IF(COUNTBLANK(Hoja1!A226:I226)&gt;0,"Sí","No")</f>
        <v>No</v>
      </c>
      <c r="E226" s="3" t="str">
        <f>IF(COUNTIF(Hoja1!$A$2:$A$1000,Hoja1!A226)&gt;1,"Sí","No")</f>
        <v>No</v>
      </c>
      <c r="F226" s="3" t="str">
        <f>IF(COUNTIF(Hoja1!$G$2:$G$1000,Hoja1!G226)&gt;1,"Sí","No")</f>
        <v>No</v>
      </c>
      <c r="G226" s="3" t="str">
        <f>IF(OR(ISERROR(FIND("@",Hoja1!G226)),ISERROR(FIND(".",Hoja1!G226,FIND("@",Hoja1!G226)))),"Sí","No")</f>
        <v>No</v>
      </c>
      <c r="H226" s="3" t="str">
        <f>IF(LEN(Hoja1!F226)&lt;&gt;14,"Sí","No")</f>
        <v>No</v>
      </c>
      <c r="I226" s="3" t="str">
        <f>IF(Hoja1!C226&gt;Hoja1!H226,"Sí","No")</f>
        <v>No</v>
      </c>
      <c r="J226" s="3" t="str">
        <f>IF(SUMPRODUCT(--ISNUMBER(SEARCH({"0";"1";"2";"3";"4";"5";"6";"7";"8";"9"},Hoja1!D226)))=0,"Sí","No")</f>
        <v>No</v>
      </c>
      <c r="K226" s="3" t="str">
        <f t="shared" si="3"/>
        <v>No</v>
      </c>
    </row>
    <row r="227" spans="1:11" ht="15" customHeight="1" x14ac:dyDescent="0.3">
      <c r="A227" s="3" t="str">
        <f>Hoja1!A227</f>
        <v>C0226</v>
      </c>
      <c r="B227" s="3" t="str">
        <f>Hoja1!B227</f>
        <v>Quirino Rosario Vázquez Carvajal</v>
      </c>
      <c r="C227" s="3" t="str">
        <f>IF(COUNTA(Hoja1!A227:I227)=0,"Sí","No")</f>
        <v>No</v>
      </c>
      <c r="D227" s="3" t="str">
        <f>IF(COUNTBLANK(Hoja1!A227:I227)&gt;0,"Sí","No")</f>
        <v>No</v>
      </c>
      <c r="E227" s="3" t="str">
        <f>IF(COUNTIF(Hoja1!$A$2:$A$1000,Hoja1!A227)&gt;1,"Sí","No")</f>
        <v>No</v>
      </c>
      <c r="F227" s="3" t="str">
        <f>IF(COUNTIF(Hoja1!$G$2:$G$1000,Hoja1!G227)&gt;1,"Sí","No")</f>
        <v>No</v>
      </c>
      <c r="G227" s="3" t="str">
        <f>IF(OR(ISERROR(FIND("@",Hoja1!G227)),ISERROR(FIND(".",Hoja1!G227,FIND("@",Hoja1!G227)))),"Sí","No")</f>
        <v>No</v>
      </c>
      <c r="H227" s="3" t="str">
        <f>IF(LEN(Hoja1!F227)&lt;&gt;14,"Sí","No")</f>
        <v>No</v>
      </c>
      <c r="I227" s="3" t="str">
        <f>IF(Hoja1!C227&gt;Hoja1!H227,"Sí","No")</f>
        <v>No</v>
      </c>
      <c r="J227" s="3" t="str">
        <f>IF(SUMPRODUCT(--ISNUMBER(SEARCH({"0";"1";"2";"3";"4";"5";"6";"7";"8";"9"},Hoja1!D227)))=0,"Sí","No")</f>
        <v>No</v>
      </c>
      <c r="K227" s="3" t="str">
        <f t="shared" si="3"/>
        <v>No</v>
      </c>
    </row>
    <row r="228" spans="1:11" ht="15" customHeight="1" x14ac:dyDescent="0.3">
      <c r="A228" s="3" t="str">
        <f>Hoja1!A228</f>
        <v>C0227</v>
      </c>
      <c r="B228" s="3" t="str">
        <f>Hoja1!B228</f>
        <v>Marcos Alcántara Codina</v>
      </c>
      <c r="C228" s="3" t="str">
        <f>IF(COUNTA(Hoja1!A228:I228)=0,"Sí","No")</f>
        <v>No</v>
      </c>
      <c r="D228" s="3" t="str">
        <f>IF(COUNTBLANK(Hoja1!A228:I228)&gt;0,"Sí","No")</f>
        <v>No</v>
      </c>
      <c r="E228" s="3" t="str">
        <f>IF(COUNTIF(Hoja1!$A$2:$A$1000,Hoja1!A228)&gt;1,"Sí","No")</f>
        <v>No</v>
      </c>
      <c r="F228" s="3" t="str">
        <f>IF(COUNTIF(Hoja1!$G$2:$G$1000,Hoja1!G228)&gt;1,"Sí","No")</f>
        <v>No</v>
      </c>
      <c r="G228" s="3" t="str">
        <f>IF(OR(ISERROR(FIND("@",Hoja1!G228)),ISERROR(FIND(".",Hoja1!G228,FIND("@",Hoja1!G228)))),"Sí","No")</f>
        <v>No</v>
      </c>
      <c r="H228" s="3" t="str">
        <f>IF(LEN(Hoja1!F228)&lt;&gt;14,"Sí","No")</f>
        <v>No</v>
      </c>
      <c r="I228" s="3" t="str">
        <f>IF(Hoja1!C228&gt;Hoja1!H228,"Sí","No")</f>
        <v>No</v>
      </c>
      <c r="J228" s="3" t="str">
        <f>IF(SUMPRODUCT(--ISNUMBER(SEARCH({"0";"1";"2";"3";"4";"5";"6";"7";"8";"9"},Hoja1!D228)))=0,"Sí","No")</f>
        <v>No</v>
      </c>
      <c r="K228" s="3" t="str">
        <f t="shared" si="3"/>
        <v>No</v>
      </c>
    </row>
    <row r="229" spans="1:11" ht="15" customHeight="1" x14ac:dyDescent="0.3">
      <c r="A229" s="3" t="str">
        <f>Hoja1!A229</f>
        <v>C0228</v>
      </c>
      <c r="B229" s="3" t="str">
        <f>Hoja1!B229</f>
        <v>Paloma Abascal Lledó</v>
      </c>
      <c r="C229" s="3" t="str">
        <f>IF(COUNTA(Hoja1!A229:I229)=0,"Sí","No")</f>
        <v>No</v>
      </c>
      <c r="D229" s="3" t="str">
        <f>IF(COUNTBLANK(Hoja1!A229:I229)&gt;0,"Sí","No")</f>
        <v>No</v>
      </c>
      <c r="E229" s="3" t="str">
        <f>IF(COUNTIF(Hoja1!$A$2:$A$1000,Hoja1!A229)&gt;1,"Sí","No")</f>
        <v>No</v>
      </c>
      <c r="F229" s="3" t="str">
        <f>IF(COUNTIF(Hoja1!$G$2:$G$1000,Hoja1!G229)&gt;1,"Sí","No")</f>
        <v>No</v>
      </c>
      <c r="G229" s="3" t="str">
        <f>IF(OR(ISERROR(FIND("@",Hoja1!G229)),ISERROR(FIND(".",Hoja1!G229,FIND("@",Hoja1!G229)))),"Sí","No")</f>
        <v>No</v>
      </c>
      <c r="H229" s="3" t="str">
        <f>IF(LEN(Hoja1!F229)&lt;&gt;14,"Sí","No")</f>
        <v>No</v>
      </c>
      <c r="I229" s="3" t="str">
        <f>IF(Hoja1!C229&gt;Hoja1!H229,"Sí","No")</f>
        <v>No</v>
      </c>
      <c r="J229" s="3" t="str">
        <f>IF(SUMPRODUCT(--ISNUMBER(SEARCH({"0";"1";"2";"3";"4";"5";"6";"7";"8";"9"},Hoja1!D229)))=0,"Sí","No")</f>
        <v>No</v>
      </c>
      <c r="K229" s="3" t="str">
        <f t="shared" si="3"/>
        <v>No</v>
      </c>
    </row>
    <row r="230" spans="1:11" ht="15" customHeight="1" x14ac:dyDescent="0.3">
      <c r="A230" s="3" t="str">
        <f>Hoja1!A230</f>
        <v>C0229</v>
      </c>
      <c r="B230" s="3" t="str">
        <f>Hoja1!B230</f>
        <v>Ana Sofía Nadal-Campo</v>
      </c>
      <c r="C230" s="3" t="str">
        <f>IF(COUNTA(Hoja1!A230:I230)=0,"Sí","No")</f>
        <v>No</v>
      </c>
      <c r="D230" s="3" t="str">
        <f>IF(COUNTBLANK(Hoja1!A230:I230)&gt;0,"Sí","No")</f>
        <v>No</v>
      </c>
      <c r="E230" s="3" t="str">
        <f>IF(COUNTIF(Hoja1!$A$2:$A$1000,Hoja1!A230)&gt;1,"Sí","No")</f>
        <v>No</v>
      </c>
      <c r="F230" s="3" t="str">
        <f>IF(COUNTIF(Hoja1!$G$2:$G$1000,Hoja1!G230)&gt;1,"Sí","No")</f>
        <v>No</v>
      </c>
      <c r="G230" s="3" t="str">
        <f>IF(OR(ISERROR(FIND("@",Hoja1!G230)),ISERROR(FIND(".",Hoja1!G230,FIND("@",Hoja1!G230)))),"Sí","No")</f>
        <v>No</v>
      </c>
      <c r="H230" s="3" t="str">
        <f>IF(LEN(Hoja1!F230)&lt;&gt;14,"Sí","No")</f>
        <v>No</v>
      </c>
      <c r="I230" s="3" t="str">
        <f>IF(Hoja1!C230&gt;Hoja1!H230,"Sí","No")</f>
        <v>No</v>
      </c>
      <c r="J230" s="3" t="str">
        <f>IF(SUMPRODUCT(--ISNUMBER(SEARCH({"0";"1";"2";"3";"4";"5";"6";"7";"8";"9"},Hoja1!D230)))=0,"Sí","No")</f>
        <v>No</v>
      </c>
      <c r="K230" s="3" t="str">
        <f t="shared" si="3"/>
        <v>No</v>
      </c>
    </row>
    <row r="231" spans="1:11" ht="15" customHeight="1" x14ac:dyDescent="0.3">
      <c r="A231" s="3" t="str">
        <f>Hoja1!A231</f>
        <v>C0230</v>
      </c>
      <c r="B231" s="3" t="str">
        <f>Hoja1!B231</f>
        <v>Estela Cases Peral</v>
      </c>
      <c r="C231" s="3" t="str">
        <f>IF(COUNTA(Hoja1!A231:I231)=0,"Sí","No")</f>
        <v>No</v>
      </c>
      <c r="D231" s="3" t="str">
        <f>IF(COUNTBLANK(Hoja1!A231:I231)&gt;0,"Sí","No")</f>
        <v>No</v>
      </c>
      <c r="E231" s="3" t="str">
        <f>IF(COUNTIF(Hoja1!$A$2:$A$1000,Hoja1!A231)&gt;1,"Sí","No")</f>
        <v>No</v>
      </c>
      <c r="F231" s="3" t="str">
        <f>IF(COUNTIF(Hoja1!$G$2:$G$1000,Hoja1!G231)&gt;1,"Sí","No")</f>
        <v>No</v>
      </c>
      <c r="G231" s="3" t="str">
        <f>IF(OR(ISERROR(FIND("@",Hoja1!G231)),ISERROR(FIND(".",Hoja1!G231,FIND("@",Hoja1!G231)))),"Sí","No")</f>
        <v>No</v>
      </c>
      <c r="H231" s="3" t="str">
        <f>IF(LEN(Hoja1!F231)&lt;&gt;14,"Sí","No")</f>
        <v>No</v>
      </c>
      <c r="I231" s="3" t="str">
        <f>IF(Hoja1!C231&gt;Hoja1!H231,"Sí","No")</f>
        <v>No</v>
      </c>
      <c r="J231" s="3" t="str">
        <f>IF(SUMPRODUCT(--ISNUMBER(SEARCH({"0";"1";"2";"3";"4";"5";"6";"7";"8";"9"},Hoja1!D231)))=0,"Sí","No")</f>
        <v>No</v>
      </c>
      <c r="K231" s="3" t="str">
        <f t="shared" si="3"/>
        <v>No</v>
      </c>
    </row>
    <row r="232" spans="1:11" ht="15" customHeight="1" x14ac:dyDescent="0.3">
      <c r="A232" s="3" t="str">
        <f>Hoja1!A232</f>
        <v>C0231</v>
      </c>
      <c r="B232" s="3" t="str">
        <f>Hoja1!B232</f>
        <v>Borja Díez-Zorrilla</v>
      </c>
      <c r="C232" s="3" t="str">
        <f>IF(COUNTA(Hoja1!A232:I232)=0,"Sí","No")</f>
        <v>No</v>
      </c>
      <c r="D232" s="3" t="str">
        <f>IF(COUNTBLANK(Hoja1!A232:I232)&gt;0,"Sí","No")</f>
        <v>No</v>
      </c>
      <c r="E232" s="3" t="str">
        <f>IF(COUNTIF(Hoja1!$A$2:$A$1000,Hoja1!A232)&gt;1,"Sí","No")</f>
        <v>No</v>
      </c>
      <c r="F232" s="3" t="str">
        <f>IF(COUNTIF(Hoja1!$G$2:$G$1000,Hoja1!G232)&gt;1,"Sí","No")</f>
        <v>No</v>
      </c>
      <c r="G232" s="3" t="str">
        <f>IF(OR(ISERROR(FIND("@",Hoja1!G232)),ISERROR(FIND(".",Hoja1!G232,FIND("@",Hoja1!G232)))),"Sí","No")</f>
        <v>No</v>
      </c>
      <c r="H232" s="3" t="str">
        <f>IF(LEN(Hoja1!F232)&lt;&gt;14,"Sí","No")</f>
        <v>No</v>
      </c>
      <c r="I232" s="3" t="str">
        <f>IF(Hoja1!C232&gt;Hoja1!H232,"Sí","No")</f>
        <v>No</v>
      </c>
      <c r="J232" s="3" t="str">
        <f>IF(SUMPRODUCT(--ISNUMBER(SEARCH({"0";"1";"2";"3";"4";"5";"6";"7";"8";"9"},Hoja1!D232)))=0,"Sí","No")</f>
        <v>No</v>
      </c>
      <c r="K232" s="3" t="str">
        <f t="shared" si="3"/>
        <v>No</v>
      </c>
    </row>
    <row r="233" spans="1:11" ht="15" customHeight="1" x14ac:dyDescent="0.3">
      <c r="A233" s="3" t="str">
        <f>Hoja1!A233</f>
        <v>C0232</v>
      </c>
      <c r="B233" s="3" t="str">
        <f>Hoja1!B233</f>
        <v>Eva María de Bertrán</v>
      </c>
      <c r="C233" s="3" t="str">
        <f>IF(COUNTA(Hoja1!A233:I233)=0,"Sí","No")</f>
        <v>No</v>
      </c>
      <c r="D233" s="3" t="str">
        <f>IF(COUNTBLANK(Hoja1!A233:I233)&gt;0,"Sí","No")</f>
        <v>No</v>
      </c>
      <c r="E233" s="3" t="str">
        <f>IF(COUNTIF(Hoja1!$A$2:$A$1000,Hoja1!A233)&gt;1,"Sí","No")</f>
        <v>No</v>
      </c>
      <c r="F233" s="3" t="str">
        <f>IF(COUNTIF(Hoja1!$G$2:$G$1000,Hoja1!G233)&gt;1,"Sí","No")</f>
        <v>No</v>
      </c>
      <c r="G233" s="3" t="str">
        <f>IF(OR(ISERROR(FIND("@",Hoja1!G233)),ISERROR(FIND(".",Hoja1!G233,FIND("@",Hoja1!G233)))),"Sí","No")</f>
        <v>No</v>
      </c>
      <c r="H233" s="3" t="str">
        <f>IF(LEN(Hoja1!F233)&lt;&gt;14,"Sí","No")</f>
        <v>No</v>
      </c>
      <c r="I233" s="3" t="str">
        <f>IF(Hoja1!C233&gt;Hoja1!H233,"Sí","No")</f>
        <v>No</v>
      </c>
      <c r="J233" s="3" t="str">
        <f>IF(SUMPRODUCT(--ISNUMBER(SEARCH({"0";"1";"2";"3";"4";"5";"6";"7";"8";"9"},Hoja1!D233)))=0,"Sí","No")</f>
        <v>No</v>
      </c>
      <c r="K233" s="3" t="str">
        <f t="shared" si="3"/>
        <v>No</v>
      </c>
    </row>
    <row r="234" spans="1:11" ht="15" customHeight="1" x14ac:dyDescent="0.3">
      <c r="A234" s="3" t="str">
        <f>Hoja1!A234</f>
        <v>C0233</v>
      </c>
      <c r="B234" s="3" t="str">
        <f>Hoja1!B234</f>
        <v>Elena del Tomé</v>
      </c>
      <c r="C234" s="3" t="str">
        <f>IF(COUNTA(Hoja1!A234:I234)=0,"Sí","No")</f>
        <v>No</v>
      </c>
      <c r="D234" s="3" t="str">
        <f>IF(COUNTBLANK(Hoja1!A234:I234)&gt;0,"Sí","No")</f>
        <v>No</v>
      </c>
      <c r="E234" s="3" t="str">
        <f>IF(COUNTIF(Hoja1!$A$2:$A$1000,Hoja1!A234)&gt;1,"Sí","No")</f>
        <v>No</v>
      </c>
      <c r="F234" s="3" t="str">
        <f>IF(COUNTIF(Hoja1!$G$2:$G$1000,Hoja1!G234)&gt;1,"Sí","No")</f>
        <v>No</v>
      </c>
      <c r="G234" s="3" t="str">
        <f>IF(OR(ISERROR(FIND("@",Hoja1!G234)),ISERROR(FIND(".",Hoja1!G234,FIND("@",Hoja1!G234)))),"Sí","No")</f>
        <v>No</v>
      </c>
      <c r="H234" s="3" t="str">
        <f>IF(LEN(Hoja1!F234)&lt;&gt;14,"Sí","No")</f>
        <v>No</v>
      </c>
      <c r="I234" s="3" t="str">
        <f>IF(Hoja1!C234&gt;Hoja1!H234,"Sí","No")</f>
        <v>No</v>
      </c>
      <c r="J234" s="3" t="str">
        <f>IF(SUMPRODUCT(--ISNUMBER(SEARCH({"0";"1";"2";"3";"4";"5";"6";"7";"8";"9"},Hoja1!D234)))=0,"Sí","No")</f>
        <v>No</v>
      </c>
      <c r="K234" s="3" t="str">
        <f t="shared" si="3"/>
        <v>No</v>
      </c>
    </row>
    <row r="235" spans="1:11" ht="15" customHeight="1" x14ac:dyDescent="0.3">
      <c r="A235" s="3" t="str">
        <f>Hoja1!A235</f>
        <v>C0234</v>
      </c>
      <c r="B235" s="3" t="str">
        <f>Hoja1!B235</f>
        <v>Iván de Manzanares</v>
      </c>
      <c r="C235" s="3" t="str">
        <f>IF(COUNTA(Hoja1!A235:I235)=0,"Sí","No")</f>
        <v>No</v>
      </c>
      <c r="D235" s="3" t="str">
        <f>IF(COUNTBLANK(Hoja1!A235:I235)&gt;0,"Sí","No")</f>
        <v>No</v>
      </c>
      <c r="E235" s="3" t="str">
        <f>IF(COUNTIF(Hoja1!$A$2:$A$1000,Hoja1!A235)&gt;1,"Sí","No")</f>
        <v>No</v>
      </c>
      <c r="F235" s="3" t="str">
        <f>IF(COUNTIF(Hoja1!$G$2:$G$1000,Hoja1!G235)&gt;1,"Sí","No")</f>
        <v>No</v>
      </c>
      <c r="G235" s="3" t="str">
        <f>IF(OR(ISERROR(FIND("@",Hoja1!G235)),ISERROR(FIND(".",Hoja1!G235,FIND("@",Hoja1!G235)))),"Sí","No")</f>
        <v>No</v>
      </c>
      <c r="H235" s="3" t="str">
        <f>IF(LEN(Hoja1!F235)&lt;&gt;14,"Sí","No")</f>
        <v>No</v>
      </c>
      <c r="I235" s="3" t="str">
        <f>IF(Hoja1!C235&gt;Hoja1!H235,"Sí","No")</f>
        <v>No</v>
      </c>
      <c r="J235" s="3" t="str">
        <f>IF(SUMPRODUCT(--ISNUMBER(SEARCH({"0";"1";"2";"3";"4";"5";"6";"7";"8";"9"},Hoja1!D235)))=0,"Sí","No")</f>
        <v>No</v>
      </c>
      <c r="K235" s="3" t="str">
        <f t="shared" si="3"/>
        <v>No</v>
      </c>
    </row>
    <row r="236" spans="1:11" ht="15" customHeight="1" x14ac:dyDescent="0.3">
      <c r="A236" s="3" t="str">
        <f>Hoja1!A236</f>
        <v>C0235</v>
      </c>
      <c r="B236" s="3" t="str">
        <f>Hoja1!B236</f>
        <v>Adelina Roma Feijoo</v>
      </c>
      <c r="C236" s="3" t="str">
        <f>IF(COUNTA(Hoja1!A236:I236)=0,"Sí","No")</f>
        <v>No</v>
      </c>
      <c r="D236" s="3" t="str">
        <f>IF(COUNTBLANK(Hoja1!A236:I236)&gt;0,"Sí","No")</f>
        <v>No</v>
      </c>
      <c r="E236" s="3" t="str">
        <f>IF(COUNTIF(Hoja1!$A$2:$A$1000,Hoja1!A236)&gt;1,"Sí","No")</f>
        <v>No</v>
      </c>
      <c r="F236" s="3" t="str">
        <f>IF(COUNTIF(Hoja1!$G$2:$G$1000,Hoja1!G236)&gt;1,"Sí","No")</f>
        <v>No</v>
      </c>
      <c r="G236" s="3" t="str">
        <f>IF(OR(ISERROR(FIND("@",Hoja1!G236)),ISERROR(FIND(".",Hoja1!G236,FIND("@",Hoja1!G236)))),"Sí","No")</f>
        <v>No</v>
      </c>
      <c r="H236" s="3" t="str">
        <f>IF(LEN(Hoja1!F236)&lt;&gt;14,"Sí","No")</f>
        <v>No</v>
      </c>
      <c r="I236" s="3" t="str">
        <f>IF(Hoja1!C236&gt;Hoja1!H236,"Sí","No")</f>
        <v>No</v>
      </c>
      <c r="J236" s="3" t="str">
        <f>IF(SUMPRODUCT(--ISNUMBER(SEARCH({"0";"1";"2";"3";"4";"5";"6";"7";"8";"9"},Hoja1!D236)))=0,"Sí","No")</f>
        <v>No</v>
      </c>
      <c r="K236" s="3" t="str">
        <f t="shared" si="3"/>
        <v>No</v>
      </c>
    </row>
    <row r="237" spans="1:11" ht="15" customHeight="1" x14ac:dyDescent="0.3">
      <c r="A237" s="3" t="str">
        <f>Hoja1!A237</f>
        <v>C0236</v>
      </c>
      <c r="B237" s="3" t="str">
        <f>Hoja1!B237</f>
        <v>Joel Estévez</v>
      </c>
      <c r="C237" s="3" t="str">
        <f>IF(COUNTA(Hoja1!A237:I237)=0,"Sí","No")</f>
        <v>No</v>
      </c>
      <c r="D237" s="3" t="str">
        <f>IF(COUNTBLANK(Hoja1!A237:I237)&gt;0,"Sí","No")</f>
        <v>No</v>
      </c>
      <c r="E237" s="3" t="str">
        <f>IF(COUNTIF(Hoja1!$A$2:$A$1000,Hoja1!A237)&gt;1,"Sí","No")</f>
        <v>No</v>
      </c>
      <c r="F237" s="3" t="str">
        <f>IF(COUNTIF(Hoja1!$G$2:$G$1000,Hoja1!G237)&gt;1,"Sí","No")</f>
        <v>No</v>
      </c>
      <c r="G237" s="3" t="str">
        <f>IF(OR(ISERROR(FIND("@",Hoja1!G237)),ISERROR(FIND(".",Hoja1!G237,FIND("@",Hoja1!G237)))),"Sí","No")</f>
        <v>No</v>
      </c>
      <c r="H237" s="3" t="str">
        <f>IF(LEN(Hoja1!F237)&lt;&gt;14,"Sí","No")</f>
        <v>No</v>
      </c>
      <c r="I237" s="3" t="str">
        <f>IF(Hoja1!C237&gt;Hoja1!H237,"Sí","No")</f>
        <v>No</v>
      </c>
      <c r="J237" s="3" t="str">
        <f>IF(SUMPRODUCT(--ISNUMBER(SEARCH({"0";"1";"2";"3";"4";"5";"6";"7";"8";"9"},Hoja1!D237)))=0,"Sí","No")</f>
        <v>No</v>
      </c>
      <c r="K237" s="3" t="str">
        <f t="shared" si="3"/>
        <v>No</v>
      </c>
    </row>
    <row r="238" spans="1:11" ht="15" customHeight="1" x14ac:dyDescent="0.3">
      <c r="A238" s="3" t="str">
        <f>Hoja1!A238</f>
        <v>C0237</v>
      </c>
      <c r="B238" s="3" t="str">
        <f>Hoja1!B238</f>
        <v>Úrsula Anabel Expósito Vazquez</v>
      </c>
      <c r="C238" s="3" t="str">
        <f>IF(COUNTA(Hoja1!A238:I238)=0,"Sí","No")</f>
        <v>No</v>
      </c>
      <c r="D238" s="3" t="str">
        <f>IF(COUNTBLANK(Hoja1!A238:I238)&gt;0,"Sí","No")</f>
        <v>No</v>
      </c>
      <c r="E238" s="3" t="str">
        <f>IF(COUNTIF(Hoja1!$A$2:$A$1000,Hoja1!A238)&gt;1,"Sí","No")</f>
        <v>No</v>
      </c>
      <c r="F238" s="3" t="str">
        <f>IF(COUNTIF(Hoja1!$G$2:$G$1000,Hoja1!G238)&gt;1,"Sí","No")</f>
        <v>No</v>
      </c>
      <c r="G238" s="3" t="str">
        <f>IF(OR(ISERROR(FIND("@",Hoja1!G238)),ISERROR(FIND(".",Hoja1!G238,FIND("@",Hoja1!G238)))),"Sí","No")</f>
        <v>No</v>
      </c>
      <c r="H238" s="3" t="str">
        <f>IF(LEN(Hoja1!F238)&lt;&gt;14,"Sí","No")</f>
        <v>No</v>
      </c>
      <c r="I238" s="3" t="str">
        <f>IF(Hoja1!C238&gt;Hoja1!H238,"Sí","No")</f>
        <v>No</v>
      </c>
      <c r="J238" s="3" t="str">
        <f>IF(SUMPRODUCT(--ISNUMBER(SEARCH({"0";"1";"2";"3";"4";"5";"6";"7";"8";"9"},Hoja1!D238)))=0,"Sí","No")</f>
        <v>No</v>
      </c>
      <c r="K238" s="3" t="str">
        <f t="shared" si="3"/>
        <v>No</v>
      </c>
    </row>
    <row r="239" spans="1:11" ht="15" customHeight="1" x14ac:dyDescent="0.3">
      <c r="A239" s="3" t="str">
        <f>Hoja1!A239</f>
        <v>C0238</v>
      </c>
      <c r="B239" s="3" t="str">
        <f>Hoja1!B239</f>
        <v>Manuelita Gilabert Manjón</v>
      </c>
      <c r="C239" s="3" t="str">
        <f>IF(COUNTA(Hoja1!A239:I239)=0,"Sí","No")</f>
        <v>No</v>
      </c>
      <c r="D239" s="3" t="str">
        <f>IF(COUNTBLANK(Hoja1!A239:I239)&gt;0,"Sí","No")</f>
        <v>No</v>
      </c>
      <c r="E239" s="3" t="str">
        <f>IF(COUNTIF(Hoja1!$A$2:$A$1000,Hoja1!A239)&gt;1,"Sí","No")</f>
        <v>No</v>
      </c>
      <c r="F239" s="3" t="str">
        <f>IF(COUNTIF(Hoja1!$G$2:$G$1000,Hoja1!G239)&gt;1,"Sí","No")</f>
        <v>No</v>
      </c>
      <c r="G239" s="3" t="str">
        <f>IF(OR(ISERROR(FIND("@",Hoja1!G239)),ISERROR(FIND(".",Hoja1!G239,FIND("@",Hoja1!G239)))),"Sí","No")</f>
        <v>No</v>
      </c>
      <c r="H239" s="3" t="str">
        <f>IF(LEN(Hoja1!F239)&lt;&gt;14,"Sí","No")</f>
        <v>No</v>
      </c>
      <c r="I239" s="3" t="str">
        <f>IF(Hoja1!C239&gt;Hoja1!H239,"Sí","No")</f>
        <v>No</v>
      </c>
      <c r="J239" s="3" t="str">
        <f>IF(SUMPRODUCT(--ISNUMBER(SEARCH({"0";"1";"2";"3";"4";"5";"6";"7";"8";"9"},Hoja1!D239)))=0,"Sí","No")</f>
        <v>No</v>
      </c>
      <c r="K239" s="3" t="str">
        <f t="shared" si="3"/>
        <v>No</v>
      </c>
    </row>
    <row r="240" spans="1:11" ht="15" customHeight="1" x14ac:dyDescent="0.3">
      <c r="A240" s="3" t="str">
        <f>Hoja1!A240</f>
        <v>C0239</v>
      </c>
      <c r="B240" s="3" t="str">
        <f>Hoja1!B240</f>
        <v>Amparo Galván Polo</v>
      </c>
      <c r="C240" s="3" t="str">
        <f>IF(COUNTA(Hoja1!A240:I240)=0,"Sí","No")</f>
        <v>No</v>
      </c>
      <c r="D240" s="3" t="str">
        <f>IF(COUNTBLANK(Hoja1!A240:I240)&gt;0,"Sí","No")</f>
        <v>No</v>
      </c>
      <c r="E240" s="3" t="str">
        <f>IF(COUNTIF(Hoja1!$A$2:$A$1000,Hoja1!A240)&gt;1,"Sí","No")</f>
        <v>No</v>
      </c>
      <c r="F240" s="3" t="str">
        <f>IF(COUNTIF(Hoja1!$G$2:$G$1000,Hoja1!G240)&gt;1,"Sí","No")</f>
        <v>No</v>
      </c>
      <c r="G240" s="3" t="str">
        <f>IF(OR(ISERROR(FIND("@",Hoja1!G240)),ISERROR(FIND(".",Hoja1!G240,FIND("@",Hoja1!G240)))),"Sí","No")</f>
        <v>No</v>
      </c>
      <c r="H240" s="3" t="str">
        <f>IF(LEN(Hoja1!F240)&lt;&gt;14,"Sí","No")</f>
        <v>No</v>
      </c>
      <c r="I240" s="3" t="str">
        <f>IF(Hoja1!C240&gt;Hoja1!H240,"Sí","No")</f>
        <v>No</v>
      </c>
      <c r="J240" s="3" t="str">
        <f>IF(SUMPRODUCT(--ISNUMBER(SEARCH({"0";"1";"2";"3";"4";"5";"6";"7";"8";"9"},Hoja1!D240)))=0,"Sí","No")</f>
        <v>No</v>
      </c>
      <c r="K240" s="3" t="str">
        <f t="shared" si="3"/>
        <v>No</v>
      </c>
    </row>
    <row r="241" spans="1:11" ht="15" customHeight="1" x14ac:dyDescent="0.3">
      <c r="A241" s="3" t="str">
        <f>Hoja1!A241</f>
        <v>C0240</v>
      </c>
      <c r="B241" s="3" t="str">
        <f>Hoja1!B241</f>
        <v>Amparo del Ayuso</v>
      </c>
      <c r="C241" s="3" t="str">
        <f>IF(COUNTA(Hoja1!A241:I241)=0,"Sí","No")</f>
        <v>No</v>
      </c>
      <c r="D241" s="3" t="str">
        <f>IF(COUNTBLANK(Hoja1!A241:I241)&gt;0,"Sí","No")</f>
        <v>No</v>
      </c>
      <c r="E241" s="3" t="str">
        <f>IF(COUNTIF(Hoja1!$A$2:$A$1000,Hoja1!A241)&gt;1,"Sí","No")</f>
        <v>No</v>
      </c>
      <c r="F241" s="3" t="str">
        <f>IF(COUNTIF(Hoja1!$G$2:$G$1000,Hoja1!G241)&gt;1,"Sí","No")</f>
        <v>No</v>
      </c>
      <c r="G241" s="3" t="str">
        <f>IF(OR(ISERROR(FIND("@",Hoja1!G241)),ISERROR(FIND(".",Hoja1!G241,FIND("@",Hoja1!G241)))),"Sí","No")</f>
        <v>No</v>
      </c>
      <c r="H241" s="3" t="str">
        <f>IF(LEN(Hoja1!F241)&lt;&gt;14,"Sí","No")</f>
        <v>No</v>
      </c>
      <c r="I241" s="3" t="str">
        <f>IF(Hoja1!C241&gt;Hoja1!H241,"Sí","No")</f>
        <v>No</v>
      </c>
      <c r="J241" s="3" t="str">
        <f>IF(SUMPRODUCT(--ISNUMBER(SEARCH({"0";"1";"2";"3";"4";"5";"6";"7";"8";"9"},Hoja1!D241)))=0,"Sí","No")</f>
        <v>No</v>
      </c>
      <c r="K241" s="3" t="str">
        <f t="shared" si="3"/>
        <v>No</v>
      </c>
    </row>
    <row r="242" spans="1:11" ht="15" customHeight="1" x14ac:dyDescent="0.3">
      <c r="A242" s="3" t="str">
        <f>Hoja1!A242</f>
        <v>C0241</v>
      </c>
      <c r="B242" s="3" t="str">
        <f>Hoja1!B242</f>
        <v>Angélica del Ortuño</v>
      </c>
      <c r="C242" s="3" t="str">
        <f>IF(COUNTA(Hoja1!A242:I242)=0,"Sí","No")</f>
        <v>No</v>
      </c>
      <c r="D242" s="3" t="str">
        <f>IF(COUNTBLANK(Hoja1!A242:I242)&gt;0,"Sí","No")</f>
        <v>No</v>
      </c>
      <c r="E242" s="3" t="str">
        <f>IF(COUNTIF(Hoja1!$A$2:$A$1000,Hoja1!A242)&gt;1,"Sí","No")</f>
        <v>No</v>
      </c>
      <c r="F242" s="3" t="str">
        <f>IF(COUNTIF(Hoja1!$G$2:$G$1000,Hoja1!G242)&gt;1,"Sí","No")</f>
        <v>No</v>
      </c>
      <c r="G242" s="3" t="str">
        <f>IF(OR(ISERROR(FIND("@",Hoja1!G242)),ISERROR(FIND(".",Hoja1!G242,FIND("@",Hoja1!G242)))),"Sí","No")</f>
        <v>No</v>
      </c>
      <c r="H242" s="3" t="str">
        <f>IF(LEN(Hoja1!F242)&lt;&gt;14,"Sí","No")</f>
        <v>No</v>
      </c>
      <c r="I242" s="3" t="str">
        <f>IF(Hoja1!C242&gt;Hoja1!H242,"Sí","No")</f>
        <v>No</v>
      </c>
      <c r="J242" s="3" t="str">
        <f>IF(SUMPRODUCT(--ISNUMBER(SEARCH({"0";"1";"2";"3";"4";"5";"6";"7";"8";"9"},Hoja1!D242)))=0,"Sí","No")</f>
        <v>No</v>
      </c>
      <c r="K242" s="3" t="str">
        <f t="shared" si="3"/>
        <v>No</v>
      </c>
    </row>
    <row r="243" spans="1:11" ht="15" customHeight="1" x14ac:dyDescent="0.3">
      <c r="A243" s="3" t="str">
        <f>Hoja1!A243</f>
        <v>C0242</v>
      </c>
      <c r="B243" s="3" t="str">
        <f>Hoja1!B243</f>
        <v>Amalia Itziar Sebastián Revilla</v>
      </c>
      <c r="C243" s="3" t="str">
        <f>IF(COUNTA(Hoja1!A243:I243)=0,"Sí","No")</f>
        <v>No</v>
      </c>
      <c r="D243" s="3" t="str">
        <f>IF(COUNTBLANK(Hoja1!A243:I243)&gt;0,"Sí","No")</f>
        <v>No</v>
      </c>
      <c r="E243" s="3" t="str">
        <f>IF(COUNTIF(Hoja1!$A$2:$A$1000,Hoja1!A243)&gt;1,"Sí","No")</f>
        <v>No</v>
      </c>
      <c r="F243" s="3" t="str">
        <f>IF(COUNTIF(Hoja1!$G$2:$G$1000,Hoja1!G243)&gt;1,"Sí","No")</f>
        <v>No</v>
      </c>
      <c r="G243" s="3" t="str">
        <f>IF(OR(ISERROR(FIND("@",Hoja1!G243)),ISERROR(FIND(".",Hoja1!G243,FIND("@",Hoja1!G243)))),"Sí","No")</f>
        <v>No</v>
      </c>
      <c r="H243" s="3" t="str">
        <f>IF(LEN(Hoja1!F243)&lt;&gt;14,"Sí","No")</f>
        <v>No</v>
      </c>
      <c r="I243" s="3" t="str">
        <f>IF(Hoja1!C243&gt;Hoja1!H243,"Sí","No")</f>
        <v>No</v>
      </c>
      <c r="J243" s="3" t="str">
        <f>IF(SUMPRODUCT(--ISNUMBER(SEARCH({"0";"1";"2";"3";"4";"5";"6";"7";"8";"9"},Hoja1!D243)))=0,"Sí","No")</f>
        <v>No</v>
      </c>
      <c r="K243" s="3" t="str">
        <f t="shared" si="3"/>
        <v>No</v>
      </c>
    </row>
    <row r="244" spans="1:11" ht="15" customHeight="1" x14ac:dyDescent="0.3">
      <c r="A244" s="3" t="str">
        <f>Hoja1!A244</f>
        <v>C0243</v>
      </c>
      <c r="B244" s="3" t="str">
        <f>Hoja1!B244</f>
        <v>América Morán Peñalver</v>
      </c>
      <c r="C244" s="3" t="str">
        <f>IF(COUNTA(Hoja1!A244:I244)=0,"Sí","No")</f>
        <v>No</v>
      </c>
      <c r="D244" s="3" t="str">
        <f>IF(COUNTBLANK(Hoja1!A244:I244)&gt;0,"Sí","No")</f>
        <v>No</v>
      </c>
      <c r="E244" s="3" t="str">
        <f>IF(COUNTIF(Hoja1!$A$2:$A$1000,Hoja1!A244)&gt;1,"Sí","No")</f>
        <v>No</v>
      </c>
      <c r="F244" s="3" t="str">
        <f>IF(COUNTIF(Hoja1!$G$2:$G$1000,Hoja1!G244)&gt;1,"Sí","No")</f>
        <v>No</v>
      </c>
      <c r="G244" s="3" t="str">
        <f>IF(OR(ISERROR(FIND("@",Hoja1!G244)),ISERROR(FIND(".",Hoja1!G244,FIND("@",Hoja1!G244)))),"Sí","No")</f>
        <v>No</v>
      </c>
      <c r="H244" s="3" t="str">
        <f>IF(LEN(Hoja1!F244)&lt;&gt;14,"Sí","No")</f>
        <v>No</v>
      </c>
      <c r="I244" s="3" t="str">
        <f>IF(Hoja1!C244&gt;Hoja1!H244,"Sí","No")</f>
        <v>No</v>
      </c>
      <c r="J244" s="3" t="str">
        <f>IF(SUMPRODUCT(--ISNUMBER(SEARCH({"0";"1";"2";"3";"4";"5";"6";"7";"8";"9"},Hoja1!D244)))=0,"Sí","No")</f>
        <v>No</v>
      </c>
      <c r="K244" s="3" t="str">
        <f t="shared" si="3"/>
        <v>No</v>
      </c>
    </row>
    <row r="245" spans="1:11" ht="15" customHeight="1" x14ac:dyDescent="0.3">
      <c r="A245" s="3" t="str">
        <f>Hoja1!A245</f>
        <v>C0244</v>
      </c>
      <c r="B245" s="3" t="str">
        <f>Hoja1!B245</f>
        <v>Elisa de Chaparro</v>
      </c>
      <c r="C245" s="3" t="str">
        <f>IF(COUNTA(Hoja1!A245:I245)=0,"Sí","No")</f>
        <v>No</v>
      </c>
      <c r="D245" s="3" t="str">
        <f>IF(COUNTBLANK(Hoja1!A245:I245)&gt;0,"Sí","No")</f>
        <v>No</v>
      </c>
      <c r="E245" s="3" t="str">
        <f>IF(COUNTIF(Hoja1!$A$2:$A$1000,Hoja1!A245)&gt;1,"Sí","No")</f>
        <v>No</v>
      </c>
      <c r="F245" s="3" t="str">
        <f>IF(COUNTIF(Hoja1!$G$2:$G$1000,Hoja1!G245)&gt;1,"Sí","No")</f>
        <v>No</v>
      </c>
      <c r="G245" s="3" t="str">
        <f>IF(OR(ISERROR(FIND("@",Hoja1!G245)),ISERROR(FIND(".",Hoja1!G245,FIND("@",Hoja1!G245)))),"Sí","No")</f>
        <v>No</v>
      </c>
      <c r="H245" s="3" t="str">
        <f>IF(LEN(Hoja1!F245)&lt;&gt;14,"Sí","No")</f>
        <v>No</v>
      </c>
      <c r="I245" s="3" t="str">
        <f>IF(Hoja1!C245&gt;Hoja1!H245,"Sí","No")</f>
        <v>No</v>
      </c>
      <c r="J245" s="3" t="str">
        <f>IF(SUMPRODUCT(--ISNUMBER(SEARCH({"0";"1";"2";"3";"4";"5";"6";"7";"8";"9"},Hoja1!D245)))=0,"Sí","No")</f>
        <v>No</v>
      </c>
      <c r="K245" s="3" t="str">
        <f t="shared" si="3"/>
        <v>No</v>
      </c>
    </row>
    <row r="246" spans="1:11" ht="15" customHeight="1" x14ac:dyDescent="0.3">
      <c r="A246" s="3" t="str">
        <f>Hoja1!A246</f>
        <v>C0245</v>
      </c>
      <c r="B246" s="3" t="str">
        <f>Hoja1!B246</f>
        <v>Nieves Lladó</v>
      </c>
      <c r="C246" s="3" t="str">
        <f>IF(COUNTA(Hoja1!A246:I246)=0,"Sí","No")</f>
        <v>No</v>
      </c>
      <c r="D246" s="3" t="str">
        <f>IF(COUNTBLANK(Hoja1!A246:I246)&gt;0,"Sí","No")</f>
        <v>No</v>
      </c>
      <c r="E246" s="3" t="str">
        <f>IF(COUNTIF(Hoja1!$A$2:$A$1000,Hoja1!A246)&gt;1,"Sí","No")</f>
        <v>No</v>
      </c>
      <c r="F246" s="3" t="str">
        <f>IF(COUNTIF(Hoja1!$G$2:$G$1000,Hoja1!G246)&gt;1,"Sí","No")</f>
        <v>Sí</v>
      </c>
      <c r="G246" s="3" t="str">
        <f>IF(OR(ISERROR(FIND("@",Hoja1!G246)),ISERROR(FIND(".",Hoja1!G246,FIND("@",Hoja1!G246)))),"Sí","No")</f>
        <v>No</v>
      </c>
      <c r="H246" s="3" t="str">
        <f>IF(LEN(Hoja1!F246)&lt;&gt;14,"Sí","No")</f>
        <v>No</v>
      </c>
      <c r="I246" s="3" t="str">
        <f>IF(Hoja1!C246&gt;Hoja1!H246,"Sí","No")</f>
        <v>No</v>
      </c>
      <c r="J246" s="3" t="str">
        <f>IF(SUMPRODUCT(--ISNUMBER(SEARCH({"0";"1";"2";"3";"4";"5";"6";"7";"8";"9"},Hoja1!D246)))=0,"Sí","No")</f>
        <v>No</v>
      </c>
      <c r="K246" s="3" t="str">
        <f t="shared" si="3"/>
        <v>Sí</v>
      </c>
    </row>
    <row r="247" spans="1:11" ht="15" customHeight="1" x14ac:dyDescent="0.3">
      <c r="A247" s="3" t="str">
        <f>Hoja1!A247</f>
        <v>C0246</v>
      </c>
      <c r="B247" s="3" t="str">
        <f>Hoja1!B247</f>
        <v>Juan Antonio Benet</v>
      </c>
      <c r="C247" s="3" t="str">
        <f>IF(COUNTA(Hoja1!A247:I247)=0,"Sí","No")</f>
        <v>No</v>
      </c>
      <c r="D247" s="3" t="str">
        <f>IF(COUNTBLANK(Hoja1!A247:I247)&gt;0,"Sí","No")</f>
        <v>No</v>
      </c>
      <c r="E247" s="3" t="str">
        <f>IF(COUNTIF(Hoja1!$A$2:$A$1000,Hoja1!A247)&gt;1,"Sí","No")</f>
        <v>No</v>
      </c>
      <c r="F247" s="3" t="str">
        <f>IF(COUNTIF(Hoja1!$G$2:$G$1000,Hoja1!G247)&gt;1,"Sí","No")</f>
        <v>No</v>
      </c>
      <c r="G247" s="3" t="str">
        <f>IF(OR(ISERROR(FIND("@",Hoja1!G247)),ISERROR(FIND(".",Hoja1!G247,FIND("@",Hoja1!G247)))),"Sí","No")</f>
        <v>No</v>
      </c>
      <c r="H247" s="3" t="str">
        <f>IF(LEN(Hoja1!F247)&lt;&gt;14,"Sí","No")</f>
        <v>No</v>
      </c>
      <c r="I247" s="3" t="str">
        <f>IF(Hoja1!C247&gt;Hoja1!H247,"Sí","No")</f>
        <v>No</v>
      </c>
      <c r="J247" s="3" t="str">
        <f>IF(SUMPRODUCT(--ISNUMBER(SEARCH({"0";"1";"2";"3";"4";"5";"6";"7";"8";"9"},Hoja1!D247)))=0,"Sí","No")</f>
        <v>No</v>
      </c>
      <c r="K247" s="3" t="str">
        <f t="shared" si="3"/>
        <v>No</v>
      </c>
    </row>
    <row r="248" spans="1:11" ht="15" customHeight="1" x14ac:dyDescent="0.3">
      <c r="A248" s="3" t="str">
        <f>Hoja1!A248</f>
        <v>C0247</v>
      </c>
      <c r="B248" s="3" t="str">
        <f>Hoja1!B248</f>
        <v>Gustavo Barberá Frías</v>
      </c>
      <c r="C248" s="3" t="str">
        <f>IF(COUNTA(Hoja1!A248:I248)=0,"Sí","No")</f>
        <v>No</v>
      </c>
      <c r="D248" s="3" t="str">
        <f>IF(COUNTBLANK(Hoja1!A248:I248)&gt;0,"Sí","No")</f>
        <v>No</v>
      </c>
      <c r="E248" s="3" t="str">
        <f>IF(COUNTIF(Hoja1!$A$2:$A$1000,Hoja1!A248)&gt;1,"Sí","No")</f>
        <v>No</v>
      </c>
      <c r="F248" s="3" t="str">
        <f>IF(COUNTIF(Hoja1!$G$2:$G$1000,Hoja1!G248)&gt;1,"Sí","No")</f>
        <v>No</v>
      </c>
      <c r="G248" s="3" t="str">
        <f>IF(OR(ISERROR(FIND("@",Hoja1!G248)),ISERROR(FIND(".",Hoja1!G248,FIND("@",Hoja1!G248)))),"Sí","No")</f>
        <v>No</v>
      </c>
      <c r="H248" s="3" t="str">
        <f>IF(LEN(Hoja1!F248)&lt;&gt;14,"Sí","No")</f>
        <v>No</v>
      </c>
      <c r="I248" s="3" t="str">
        <f>IF(Hoja1!C248&gt;Hoja1!H248,"Sí","No")</f>
        <v>No</v>
      </c>
      <c r="J248" s="3" t="str">
        <f>IF(SUMPRODUCT(--ISNUMBER(SEARCH({"0";"1";"2";"3";"4";"5";"6";"7";"8";"9"},Hoja1!D248)))=0,"Sí","No")</f>
        <v>No</v>
      </c>
      <c r="K248" s="3" t="str">
        <f t="shared" si="3"/>
        <v>No</v>
      </c>
    </row>
    <row r="249" spans="1:11" ht="15" customHeight="1" x14ac:dyDescent="0.3">
      <c r="A249" s="3" t="str">
        <f>Hoja1!A249</f>
        <v>C0248</v>
      </c>
      <c r="B249" s="3" t="str">
        <f>Hoja1!B249</f>
        <v>Eliana Pacheco Ponce</v>
      </c>
      <c r="C249" s="3" t="str">
        <f>IF(COUNTA(Hoja1!A249:I249)=0,"Sí","No")</f>
        <v>No</v>
      </c>
      <c r="D249" s="3" t="str">
        <f>IF(COUNTBLANK(Hoja1!A249:I249)&gt;0,"Sí","No")</f>
        <v>No</v>
      </c>
      <c r="E249" s="3" t="str">
        <f>IF(COUNTIF(Hoja1!$A$2:$A$1000,Hoja1!A249)&gt;1,"Sí","No")</f>
        <v>No</v>
      </c>
      <c r="F249" s="3" t="str">
        <f>IF(COUNTIF(Hoja1!$G$2:$G$1000,Hoja1!G249)&gt;1,"Sí","No")</f>
        <v>No</v>
      </c>
      <c r="G249" s="3" t="str">
        <f>IF(OR(ISERROR(FIND("@",Hoja1!G249)),ISERROR(FIND(".",Hoja1!G249,FIND("@",Hoja1!G249)))),"Sí","No")</f>
        <v>No</v>
      </c>
      <c r="H249" s="3" t="str">
        <f>IF(LEN(Hoja1!F249)&lt;&gt;14,"Sí","No")</f>
        <v>No</v>
      </c>
      <c r="I249" s="3" t="str">
        <f>IF(Hoja1!C249&gt;Hoja1!H249,"Sí","No")</f>
        <v>No</v>
      </c>
      <c r="J249" s="3" t="str">
        <f>IF(SUMPRODUCT(--ISNUMBER(SEARCH({"0";"1";"2";"3";"4";"5";"6";"7";"8";"9"},Hoja1!D249)))=0,"Sí","No")</f>
        <v>No</v>
      </c>
      <c r="K249" s="3" t="str">
        <f t="shared" si="3"/>
        <v>No</v>
      </c>
    </row>
    <row r="250" spans="1:11" ht="15" customHeight="1" x14ac:dyDescent="0.3">
      <c r="A250" s="3" t="str">
        <f>Hoja1!A250</f>
        <v>C0249</v>
      </c>
      <c r="B250" s="3" t="str">
        <f>Hoja1!B250</f>
        <v>Dalila Pino Verdú</v>
      </c>
      <c r="C250" s="3" t="str">
        <f>IF(COUNTA(Hoja1!A250:I250)=0,"Sí","No")</f>
        <v>No</v>
      </c>
      <c r="D250" s="3" t="str">
        <f>IF(COUNTBLANK(Hoja1!A250:I250)&gt;0,"Sí","No")</f>
        <v>No</v>
      </c>
      <c r="E250" s="3" t="str">
        <f>IF(COUNTIF(Hoja1!$A$2:$A$1000,Hoja1!A250)&gt;1,"Sí","No")</f>
        <v>No</v>
      </c>
      <c r="F250" s="3" t="str">
        <f>IF(COUNTIF(Hoja1!$G$2:$G$1000,Hoja1!G250)&gt;1,"Sí","No")</f>
        <v>No</v>
      </c>
      <c r="G250" s="3" t="str">
        <f>IF(OR(ISERROR(FIND("@",Hoja1!G250)),ISERROR(FIND(".",Hoja1!G250,FIND("@",Hoja1!G250)))),"Sí","No")</f>
        <v>No</v>
      </c>
      <c r="H250" s="3" t="str">
        <f>IF(LEN(Hoja1!F250)&lt;&gt;14,"Sí","No")</f>
        <v>No</v>
      </c>
      <c r="I250" s="3" t="str">
        <f>IF(Hoja1!C250&gt;Hoja1!H250,"Sí","No")</f>
        <v>No</v>
      </c>
      <c r="J250" s="3" t="str">
        <f>IF(SUMPRODUCT(--ISNUMBER(SEARCH({"0";"1";"2";"3";"4";"5";"6";"7";"8";"9"},Hoja1!D250)))=0,"Sí","No")</f>
        <v>No</v>
      </c>
      <c r="K250" s="3" t="str">
        <f t="shared" si="3"/>
        <v>No</v>
      </c>
    </row>
    <row r="251" spans="1:11" ht="15" customHeight="1" x14ac:dyDescent="0.3">
      <c r="A251" s="3" t="str">
        <f>Hoja1!A251</f>
        <v>C0250</v>
      </c>
      <c r="B251" s="3" t="str">
        <f>Hoja1!B251</f>
        <v>Marciano Díaz</v>
      </c>
      <c r="C251" s="3" t="str">
        <f>IF(COUNTA(Hoja1!A251:I251)=0,"Sí","No")</f>
        <v>No</v>
      </c>
      <c r="D251" s="3" t="str">
        <f>IF(COUNTBLANK(Hoja1!A251:I251)&gt;0,"Sí","No")</f>
        <v>No</v>
      </c>
      <c r="E251" s="3" t="str">
        <f>IF(COUNTIF(Hoja1!$A$2:$A$1000,Hoja1!A251)&gt;1,"Sí","No")</f>
        <v>No</v>
      </c>
      <c r="F251" s="3" t="str">
        <f>IF(COUNTIF(Hoja1!$G$2:$G$1000,Hoja1!G251)&gt;1,"Sí","No")</f>
        <v>No</v>
      </c>
      <c r="G251" s="3" t="str">
        <f>IF(OR(ISERROR(FIND("@",Hoja1!G251)),ISERROR(FIND(".",Hoja1!G251,FIND("@",Hoja1!G251)))),"Sí","No")</f>
        <v>No</v>
      </c>
      <c r="H251" s="3" t="str">
        <f>IF(LEN(Hoja1!F251)&lt;&gt;14,"Sí","No")</f>
        <v>No</v>
      </c>
      <c r="I251" s="3" t="str">
        <f>IF(Hoja1!C251&gt;Hoja1!H251,"Sí","No")</f>
        <v>No</v>
      </c>
      <c r="J251" s="3" t="str">
        <f>IF(SUMPRODUCT(--ISNUMBER(SEARCH({"0";"1";"2";"3";"4";"5";"6";"7";"8";"9"},Hoja1!D251)))=0,"Sí","No")</f>
        <v>No</v>
      </c>
      <c r="K251" s="3" t="str">
        <f t="shared" si="3"/>
        <v>No</v>
      </c>
    </row>
    <row r="252" spans="1:11" ht="15" customHeight="1" x14ac:dyDescent="0.3">
      <c r="A252" s="3" t="str">
        <f>Hoja1!A252</f>
        <v>C0251</v>
      </c>
      <c r="B252" s="3" t="str">
        <f>Hoja1!B252</f>
        <v>Timoteo Pinilla Calderón</v>
      </c>
      <c r="C252" s="3" t="str">
        <f>IF(COUNTA(Hoja1!A252:I252)=0,"Sí","No")</f>
        <v>No</v>
      </c>
      <c r="D252" s="3" t="str">
        <f>IF(COUNTBLANK(Hoja1!A252:I252)&gt;0,"Sí","No")</f>
        <v>No</v>
      </c>
      <c r="E252" s="3" t="str">
        <f>IF(COUNTIF(Hoja1!$A$2:$A$1000,Hoja1!A252)&gt;1,"Sí","No")</f>
        <v>No</v>
      </c>
      <c r="F252" s="3" t="str">
        <f>IF(COUNTIF(Hoja1!$G$2:$G$1000,Hoja1!G252)&gt;1,"Sí","No")</f>
        <v>No</v>
      </c>
      <c r="G252" s="3" t="str">
        <f>IF(OR(ISERROR(FIND("@",Hoja1!G252)),ISERROR(FIND(".",Hoja1!G252,FIND("@",Hoja1!G252)))),"Sí","No")</f>
        <v>No</v>
      </c>
      <c r="H252" s="3" t="str">
        <f>IF(LEN(Hoja1!F252)&lt;&gt;14,"Sí","No")</f>
        <v>No</v>
      </c>
      <c r="I252" s="3" t="str">
        <f>IF(Hoja1!C252&gt;Hoja1!H252,"Sí","No")</f>
        <v>No</v>
      </c>
      <c r="J252" s="3" t="str">
        <f>IF(SUMPRODUCT(--ISNUMBER(SEARCH({"0";"1";"2";"3";"4";"5";"6";"7";"8";"9"},Hoja1!D252)))=0,"Sí","No")</f>
        <v>No</v>
      </c>
      <c r="K252" s="3" t="str">
        <f t="shared" si="3"/>
        <v>No</v>
      </c>
    </row>
    <row r="253" spans="1:11" ht="15" customHeight="1" x14ac:dyDescent="0.3">
      <c r="A253" s="3" t="str">
        <f>Hoja1!A253</f>
        <v>C0252</v>
      </c>
      <c r="B253" s="3" t="str">
        <f>Hoja1!B253</f>
        <v>Malena Roma Barrena</v>
      </c>
      <c r="C253" s="3" t="str">
        <f>IF(COUNTA(Hoja1!A253:I253)=0,"Sí","No")</f>
        <v>No</v>
      </c>
      <c r="D253" s="3" t="str">
        <f>IF(COUNTBLANK(Hoja1!A253:I253)&gt;0,"Sí","No")</f>
        <v>No</v>
      </c>
      <c r="E253" s="3" t="str">
        <f>IF(COUNTIF(Hoja1!$A$2:$A$1000,Hoja1!A253)&gt;1,"Sí","No")</f>
        <v>No</v>
      </c>
      <c r="F253" s="3" t="str">
        <f>IF(COUNTIF(Hoja1!$G$2:$G$1000,Hoja1!G253)&gt;1,"Sí","No")</f>
        <v>No</v>
      </c>
      <c r="G253" s="3" t="str">
        <f>IF(OR(ISERROR(FIND("@",Hoja1!G253)),ISERROR(FIND(".",Hoja1!G253,FIND("@",Hoja1!G253)))),"Sí","No")</f>
        <v>No</v>
      </c>
      <c r="H253" s="3" t="str">
        <f>IF(LEN(Hoja1!F253)&lt;&gt;14,"Sí","No")</f>
        <v>No</v>
      </c>
      <c r="I253" s="3" t="str">
        <f>IF(Hoja1!C253&gt;Hoja1!H253,"Sí","No")</f>
        <v>No</v>
      </c>
      <c r="J253" s="3" t="str">
        <f>IF(SUMPRODUCT(--ISNUMBER(SEARCH({"0";"1";"2";"3";"4";"5";"6";"7";"8";"9"},Hoja1!D253)))=0,"Sí","No")</f>
        <v>No</v>
      </c>
      <c r="K253" s="3" t="str">
        <f t="shared" si="3"/>
        <v>No</v>
      </c>
    </row>
    <row r="254" spans="1:11" ht="15" customHeight="1" x14ac:dyDescent="0.3">
      <c r="A254" s="3" t="str">
        <f>Hoja1!A254</f>
        <v>C0253</v>
      </c>
      <c r="B254" s="3" t="str">
        <f>Hoja1!B254</f>
        <v>Silvia León Duque</v>
      </c>
      <c r="C254" s="3" t="str">
        <f>IF(COUNTA(Hoja1!A254:I254)=0,"Sí","No")</f>
        <v>No</v>
      </c>
      <c r="D254" s="3" t="str">
        <f>IF(COUNTBLANK(Hoja1!A254:I254)&gt;0,"Sí","No")</f>
        <v>No</v>
      </c>
      <c r="E254" s="3" t="str">
        <f>IF(COUNTIF(Hoja1!$A$2:$A$1000,Hoja1!A254)&gt;1,"Sí","No")</f>
        <v>No</v>
      </c>
      <c r="F254" s="3" t="str">
        <f>IF(COUNTIF(Hoja1!$G$2:$G$1000,Hoja1!G254)&gt;1,"Sí","No")</f>
        <v>No</v>
      </c>
      <c r="G254" s="3" t="str">
        <f>IF(OR(ISERROR(FIND("@",Hoja1!G254)),ISERROR(FIND(".",Hoja1!G254,FIND("@",Hoja1!G254)))),"Sí","No")</f>
        <v>No</v>
      </c>
      <c r="H254" s="3" t="str">
        <f>IF(LEN(Hoja1!F254)&lt;&gt;14,"Sí","No")</f>
        <v>No</v>
      </c>
      <c r="I254" s="3" t="str">
        <f>IF(Hoja1!C254&gt;Hoja1!H254,"Sí","No")</f>
        <v>No</v>
      </c>
      <c r="J254" s="3" t="str">
        <f>IF(SUMPRODUCT(--ISNUMBER(SEARCH({"0";"1";"2";"3";"4";"5";"6";"7";"8";"9"},Hoja1!D254)))=0,"Sí","No")</f>
        <v>No</v>
      </c>
      <c r="K254" s="3" t="str">
        <f t="shared" si="3"/>
        <v>No</v>
      </c>
    </row>
    <row r="255" spans="1:11" ht="15" customHeight="1" x14ac:dyDescent="0.3">
      <c r="A255" s="3" t="str">
        <f>Hoja1!A255</f>
        <v>C0254</v>
      </c>
      <c r="B255" s="3" t="str">
        <f>Hoja1!B255</f>
        <v>Ema del Garrido</v>
      </c>
      <c r="C255" s="3" t="str">
        <f>IF(COUNTA(Hoja1!A255:I255)=0,"Sí","No")</f>
        <v>No</v>
      </c>
      <c r="D255" s="3" t="str">
        <f>IF(COUNTBLANK(Hoja1!A255:I255)&gt;0,"Sí","No")</f>
        <v>No</v>
      </c>
      <c r="E255" s="3" t="str">
        <f>IF(COUNTIF(Hoja1!$A$2:$A$1000,Hoja1!A255)&gt;1,"Sí","No")</f>
        <v>No</v>
      </c>
      <c r="F255" s="3" t="str">
        <f>IF(COUNTIF(Hoja1!$G$2:$G$1000,Hoja1!G255)&gt;1,"Sí","No")</f>
        <v>No</v>
      </c>
      <c r="G255" s="3" t="str">
        <f>IF(OR(ISERROR(FIND("@",Hoja1!G255)),ISERROR(FIND(".",Hoja1!G255,FIND("@",Hoja1!G255)))),"Sí","No")</f>
        <v>No</v>
      </c>
      <c r="H255" s="3" t="str">
        <f>IF(LEN(Hoja1!F255)&lt;&gt;14,"Sí","No")</f>
        <v>No</v>
      </c>
      <c r="I255" s="3" t="str">
        <f>IF(Hoja1!C255&gt;Hoja1!H255,"Sí","No")</f>
        <v>No</v>
      </c>
      <c r="J255" s="3" t="str">
        <f>IF(SUMPRODUCT(--ISNUMBER(SEARCH({"0";"1";"2";"3";"4";"5";"6";"7";"8";"9"},Hoja1!D255)))=0,"Sí","No")</f>
        <v>No</v>
      </c>
      <c r="K255" s="3" t="str">
        <f t="shared" si="3"/>
        <v>No</v>
      </c>
    </row>
    <row r="256" spans="1:11" ht="15" customHeight="1" x14ac:dyDescent="0.3">
      <c r="A256" s="3" t="str">
        <f>Hoja1!A256</f>
        <v>C0255</v>
      </c>
      <c r="B256" s="3" t="str">
        <f>Hoja1!B256</f>
        <v>Eva González Cano</v>
      </c>
      <c r="C256" s="3" t="str">
        <f>IF(COUNTA(Hoja1!A256:I256)=0,"Sí","No")</f>
        <v>No</v>
      </c>
      <c r="D256" s="3" t="str">
        <f>IF(COUNTBLANK(Hoja1!A256:I256)&gt;0,"Sí","No")</f>
        <v>No</v>
      </c>
      <c r="E256" s="3" t="str">
        <f>IF(COUNTIF(Hoja1!$A$2:$A$1000,Hoja1!A256)&gt;1,"Sí","No")</f>
        <v>No</v>
      </c>
      <c r="F256" s="3" t="str">
        <f>IF(COUNTIF(Hoja1!$G$2:$G$1000,Hoja1!G256)&gt;1,"Sí","No")</f>
        <v>No</v>
      </c>
      <c r="G256" s="3" t="str">
        <f>IF(OR(ISERROR(FIND("@",Hoja1!G256)),ISERROR(FIND(".",Hoja1!G256,FIND("@",Hoja1!G256)))),"Sí","No")</f>
        <v>No</v>
      </c>
      <c r="H256" s="3" t="str">
        <f>IF(LEN(Hoja1!F256)&lt;&gt;14,"Sí","No")</f>
        <v>No</v>
      </c>
      <c r="I256" s="3" t="str">
        <f>IF(Hoja1!C256&gt;Hoja1!H256,"Sí","No")</f>
        <v>No</v>
      </c>
      <c r="J256" s="3" t="str">
        <f>IF(SUMPRODUCT(--ISNUMBER(SEARCH({"0";"1";"2";"3";"4";"5";"6";"7";"8";"9"},Hoja1!D256)))=0,"Sí","No")</f>
        <v>No</v>
      </c>
      <c r="K256" s="3" t="str">
        <f t="shared" si="3"/>
        <v>No</v>
      </c>
    </row>
    <row r="257" spans="1:11" ht="15" customHeight="1" x14ac:dyDescent="0.3">
      <c r="A257" s="3" t="str">
        <f>Hoja1!A257</f>
        <v>C0256</v>
      </c>
      <c r="B257" s="3" t="str">
        <f>Hoja1!B257</f>
        <v>Eutropio Sedano Cabanillas</v>
      </c>
      <c r="C257" s="3" t="str">
        <f>IF(COUNTA(Hoja1!A257:I257)=0,"Sí","No")</f>
        <v>No</v>
      </c>
      <c r="D257" s="3" t="str">
        <f>IF(COUNTBLANK(Hoja1!A257:I257)&gt;0,"Sí","No")</f>
        <v>No</v>
      </c>
      <c r="E257" s="3" t="str">
        <f>IF(COUNTIF(Hoja1!$A$2:$A$1000,Hoja1!A257)&gt;1,"Sí","No")</f>
        <v>No</v>
      </c>
      <c r="F257" s="3" t="str">
        <f>IF(COUNTIF(Hoja1!$G$2:$G$1000,Hoja1!G257)&gt;1,"Sí","No")</f>
        <v>No</v>
      </c>
      <c r="G257" s="3" t="str">
        <f>IF(OR(ISERROR(FIND("@",Hoja1!G257)),ISERROR(FIND(".",Hoja1!G257,FIND("@",Hoja1!G257)))),"Sí","No")</f>
        <v>No</v>
      </c>
      <c r="H257" s="3" t="str">
        <f>IF(LEN(Hoja1!F257)&lt;&gt;14,"Sí","No")</f>
        <v>No</v>
      </c>
      <c r="I257" s="3" t="str">
        <f>IF(Hoja1!C257&gt;Hoja1!H257,"Sí","No")</f>
        <v>No</v>
      </c>
      <c r="J257" s="3" t="str">
        <f>IF(SUMPRODUCT(--ISNUMBER(SEARCH({"0";"1";"2";"3";"4";"5";"6";"7";"8";"9"},Hoja1!D257)))=0,"Sí","No")</f>
        <v>No</v>
      </c>
      <c r="K257" s="3" t="str">
        <f t="shared" si="3"/>
        <v>No</v>
      </c>
    </row>
    <row r="258" spans="1:11" ht="15" customHeight="1" x14ac:dyDescent="0.3">
      <c r="A258" s="3" t="str">
        <f>Hoja1!A258</f>
        <v>C0257</v>
      </c>
      <c r="B258" s="3" t="str">
        <f>Hoja1!B258</f>
        <v>Dafne Cerdán Pujol</v>
      </c>
      <c r="C258" s="3" t="str">
        <f>IF(COUNTA(Hoja1!A258:I258)=0,"Sí","No")</f>
        <v>No</v>
      </c>
      <c r="D258" s="3" t="str">
        <f>IF(COUNTBLANK(Hoja1!A258:I258)&gt;0,"Sí","No")</f>
        <v>No</v>
      </c>
      <c r="E258" s="3" t="str">
        <f>IF(COUNTIF(Hoja1!$A$2:$A$1000,Hoja1!A258)&gt;1,"Sí","No")</f>
        <v>No</v>
      </c>
      <c r="F258" s="3" t="str">
        <f>IF(COUNTIF(Hoja1!$G$2:$G$1000,Hoja1!G258)&gt;1,"Sí","No")</f>
        <v>No</v>
      </c>
      <c r="G258" s="3" t="str">
        <f>IF(OR(ISERROR(FIND("@",Hoja1!G258)),ISERROR(FIND(".",Hoja1!G258,FIND("@",Hoja1!G258)))),"Sí","No")</f>
        <v>No</v>
      </c>
      <c r="H258" s="3" t="str">
        <f>IF(LEN(Hoja1!F258)&lt;&gt;14,"Sí","No")</f>
        <v>No</v>
      </c>
      <c r="I258" s="3" t="str">
        <f>IF(Hoja1!C258&gt;Hoja1!H258,"Sí","No")</f>
        <v>No</v>
      </c>
      <c r="J258" s="3" t="str">
        <f>IF(SUMPRODUCT(--ISNUMBER(SEARCH({"0";"1";"2";"3";"4";"5";"6";"7";"8";"9"},Hoja1!D258)))=0,"Sí","No")</f>
        <v>No</v>
      </c>
      <c r="K258" s="3" t="str">
        <f t="shared" ref="K258:K321" si="4">IF(COUNTIF(C258:J258,"Sí")&gt;0,"Sí","No")</f>
        <v>No</v>
      </c>
    </row>
    <row r="259" spans="1:11" ht="15" customHeight="1" x14ac:dyDescent="0.3">
      <c r="A259" s="3" t="str">
        <f>Hoja1!A259</f>
        <v>C0258</v>
      </c>
      <c r="B259" s="3" t="str">
        <f>Hoja1!B259</f>
        <v>Óscar de Mascaró</v>
      </c>
      <c r="C259" s="3" t="str">
        <f>IF(COUNTA(Hoja1!A259:I259)=0,"Sí","No")</f>
        <v>No</v>
      </c>
      <c r="D259" s="3" t="str">
        <f>IF(COUNTBLANK(Hoja1!A259:I259)&gt;0,"Sí","No")</f>
        <v>No</v>
      </c>
      <c r="E259" s="3" t="str">
        <f>IF(COUNTIF(Hoja1!$A$2:$A$1000,Hoja1!A259)&gt;1,"Sí","No")</f>
        <v>No</v>
      </c>
      <c r="F259" s="3" t="str">
        <f>IF(COUNTIF(Hoja1!$G$2:$G$1000,Hoja1!G259)&gt;1,"Sí","No")</f>
        <v>No</v>
      </c>
      <c r="G259" s="3" t="str">
        <f>IF(OR(ISERROR(FIND("@",Hoja1!G259)),ISERROR(FIND(".",Hoja1!G259,FIND("@",Hoja1!G259)))),"Sí","No")</f>
        <v>No</v>
      </c>
      <c r="H259" s="3" t="str">
        <f>IF(LEN(Hoja1!F259)&lt;&gt;14,"Sí","No")</f>
        <v>No</v>
      </c>
      <c r="I259" s="3" t="str">
        <f>IF(Hoja1!C259&gt;Hoja1!H259,"Sí","No")</f>
        <v>No</v>
      </c>
      <c r="J259" s="3" t="str">
        <f>IF(SUMPRODUCT(--ISNUMBER(SEARCH({"0";"1";"2";"3";"4";"5";"6";"7";"8";"9"},Hoja1!D259)))=0,"Sí","No")</f>
        <v>No</v>
      </c>
      <c r="K259" s="3" t="str">
        <f t="shared" si="4"/>
        <v>No</v>
      </c>
    </row>
    <row r="260" spans="1:11" ht="15" customHeight="1" x14ac:dyDescent="0.3">
      <c r="A260" s="3" t="str">
        <f>Hoja1!A260</f>
        <v>C0259</v>
      </c>
      <c r="B260" s="3" t="str">
        <f>Hoja1!B260</f>
        <v>Catalina Peralta Patiño</v>
      </c>
      <c r="C260" s="3" t="str">
        <f>IF(COUNTA(Hoja1!A260:I260)=0,"Sí","No")</f>
        <v>No</v>
      </c>
      <c r="D260" s="3" t="str">
        <f>IF(COUNTBLANK(Hoja1!A260:I260)&gt;0,"Sí","No")</f>
        <v>No</v>
      </c>
      <c r="E260" s="3" t="str">
        <f>IF(COUNTIF(Hoja1!$A$2:$A$1000,Hoja1!A260)&gt;1,"Sí","No")</f>
        <v>No</v>
      </c>
      <c r="F260" s="3" t="str">
        <f>IF(COUNTIF(Hoja1!$G$2:$G$1000,Hoja1!G260)&gt;1,"Sí","No")</f>
        <v>No</v>
      </c>
      <c r="G260" s="3" t="str">
        <f>IF(OR(ISERROR(FIND("@",Hoja1!G260)),ISERROR(FIND(".",Hoja1!G260,FIND("@",Hoja1!G260)))),"Sí","No")</f>
        <v>No</v>
      </c>
      <c r="H260" s="3" t="str">
        <f>IF(LEN(Hoja1!F260)&lt;&gt;14,"Sí","No")</f>
        <v>No</v>
      </c>
      <c r="I260" s="3" t="str">
        <f>IF(Hoja1!C260&gt;Hoja1!H260,"Sí","No")</f>
        <v>No</v>
      </c>
      <c r="J260" s="3" t="str">
        <f>IF(SUMPRODUCT(--ISNUMBER(SEARCH({"0";"1";"2";"3";"4";"5";"6";"7";"8";"9"},Hoja1!D260)))=0,"Sí","No")</f>
        <v>No</v>
      </c>
      <c r="K260" s="3" t="str">
        <f t="shared" si="4"/>
        <v>No</v>
      </c>
    </row>
    <row r="261" spans="1:11" ht="15" customHeight="1" x14ac:dyDescent="0.3">
      <c r="A261" s="3" t="str">
        <f>Hoja1!A261</f>
        <v>C0260</v>
      </c>
      <c r="B261" s="3" t="str">
        <f>Hoja1!B261</f>
        <v>Bárbara Elorza Jordá</v>
      </c>
      <c r="C261" s="3" t="str">
        <f>IF(COUNTA(Hoja1!A261:I261)=0,"Sí","No")</f>
        <v>No</v>
      </c>
      <c r="D261" s="3" t="str">
        <f>IF(COUNTBLANK(Hoja1!A261:I261)&gt;0,"Sí","No")</f>
        <v>No</v>
      </c>
      <c r="E261" s="3" t="str">
        <f>IF(COUNTIF(Hoja1!$A$2:$A$1000,Hoja1!A261)&gt;1,"Sí","No")</f>
        <v>No</v>
      </c>
      <c r="F261" s="3" t="str">
        <f>IF(COUNTIF(Hoja1!$G$2:$G$1000,Hoja1!G261)&gt;1,"Sí","No")</f>
        <v>No</v>
      </c>
      <c r="G261" s="3" t="str">
        <f>IF(OR(ISERROR(FIND("@",Hoja1!G261)),ISERROR(FIND(".",Hoja1!G261,FIND("@",Hoja1!G261)))),"Sí","No")</f>
        <v>No</v>
      </c>
      <c r="H261" s="3" t="str">
        <f>IF(LEN(Hoja1!F261)&lt;&gt;14,"Sí","No")</f>
        <v>No</v>
      </c>
      <c r="I261" s="3" t="str">
        <f>IF(Hoja1!C261&gt;Hoja1!H261,"Sí","No")</f>
        <v>No</v>
      </c>
      <c r="J261" s="3" t="str">
        <f>IF(SUMPRODUCT(--ISNUMBER(SEARCH({"0";"1";"2";"3";"4";"5";"6";"7";"8";"9"},Hoja1!D261)))=0,"Sí","No")</f>
        <v>No</v>
      </c>
      <c r="K261" s="3" t="str">
        <f t="shared" si="4"/>
        <v>No</v>
      </c>
    </row>
    <row r="262" spans="1:11" ht="15" customHeight="1" x14ac:dyDescent="0.3">
      <c r="A262" s="3" t="str">
        <f>Hoja1!A262</f>
        <v>C0261</v>
      </c>
      <c r="B262" s="3" t="str">
        <f>Hoja1!B262</f>
        <v>Loreto Burgos</v>
      </c>
      <c r="C262" s="3" t="str">
        <f>IF(COUNTA(Hoja1!A262:I262)=0,"Sí","No")</f>
        <v>No</v>
      </c>
      <c r="D262" s="3" t="str">
        <f>IF(COUNTBLANK(Hoja1!A262:I262)&gt;0,"Sí","No")</f>
        <v>No</v>
      </c>
      <c r="E262" s="3" t="str">
        <f>IF(COUNTIF(Hoja1!$A$2:$A$1000,Hoja1!A262)&gt;1,"Sí","No")</f>
        <v>No</v>
      </c>
      <c r="F262" s="3" t="str">
        <f>IF(COUNTIF(Hoja1!$G$2:$G$1000,Hoja1!G262)&gt;1,"Sí","No")</f>
        <v>No</v>
      </c>
      <c r="G262" s="3" t="str">
        <f>IF(OR(ISERROR(FIND("@",Hoja1!G262)),ISERROR(FIND(".",Hoja1!G262,FIND("@",Hoja1!G262)))),"Sí","No")</f>
        <v>No</v>
      </c>
      <c r="H262" s="3" t="str">
        <f>IF(LEN(Hoja1!F262)&lt;&gt;14,"Sí","No")</f>
        <v>No</v>
      </c>
      <c r="I262" s="3" t="str">
        <f>IF(Hoja1!C262&gt;Hoja1!H262,"Sí","No")</f>
        <v>No</v>
      </c>
      <c r="J262" s="3" t="str">
        <f>IF(SUMPRODUCT(--ISNUMBER(SEARCH({"0";"1";"2";"3";"4";"5";"6";"7";"8";"9"},Hoja1!D262)))=0,"Sí","No")</f>
        <v>No</v>
      </c>
      <c r="K262" s="3" t="str">
        <f t="shared" si="4"/>
        <v>No</v>
      </c>
    </row>
    <row r="263" spans="1:11" ht="15" customHeight="1" x14ac:dyDescent="0.3">
      <c r="A263" s="3" t="str">
        <f>Hoja1!A263</f>
        <v>C0262</v>
      </c>
      <c r="B263" s="3" t="str">
        <f>Hoja1!B263</f>
        <v>Estela Marquez Arce</v>
      </c>
      <c r="C263" s="3" t="str">
        <f>IF(COUNTA(Hoja1!A263:I263)=0,"Sí","No")</f>
        <v>No</v>
      </c>
      <c r="D263" s="3" t="str">
        <f>IF(COUNTBLANK(Hoja1!A263:I263)&gt;0,"Sí","No")</f>
        <v>No</v>
      </c>
      <c r="E263" s="3" t="str">
        <f>IF(COUNTIF(Hoja1!$A$2:$A$1000,Hoja1!A263)&gt;1,"Sí","No")</f>
        <v>No</v>
      </c>
      <c r="F263" s="3" t="str">
        <f>IF(COUNTIF(Hoja1!$G$2:$G$1000,Hoja1!G263)&gt;1,"Sí","No")</f>
        <v>No</v>
      </c>
      <c r="G263" s="3" t="str">
        <f>IF(OR(ISERROR(FIND("@",Hoja1!G263)),ISERROR(FIND(".",Hoja1!G263,FIND("@",Hoja1!G263)))),"Sí","No")</f>
        <v>No</v>
      </c>
      <c r="H263" s="3" t="str">
        <f>IF(LEN(Hoja1!F263)&lt;&gt;14,"Sí","No")</f>
        <v>No</v>
      </c>
      <c r="I263" s="3" t="str">
        <f>IF(Hoja1!C263&gt;Hoja1!H263,"Sí","No")</f>
        <v>No</v>
      </c>
      <c r="J263" s="3" t="str">
        <f>IF(SUMPRODUCT(--ISNUMBER(SEARCH({"0";"1";"2";"3";"4";"5";"6";"7";"8";"9"},Hoja1!D263)))=0,"Sí","No")</f>
        <v>No</v>
      </c>
      <c r="K263" s="3" t="str">
        <f t="shared" si="4"/>
        <v>No</v>
      </c>
    </row>
    <row r="264" spans="1:11" ht="15" customHeight="1" x14ac:dyDescent="0.3">
      <c r="A264" s="3" t="str">
        <f>Hoja1!A264</f>
        <v>C0263</v>
      </c>
      <c r="B264" s="3" t="str">
        <f>Hoja1!B264</f>
        <v>Paloma Segarra Menéndez</v>
      </c>
      <c r="C264" s="3" t="str">
        <f>IF(COUNTA(Hoja1!A264:I264)=0,"Sí","No")</f>
        <v>No</v>
      </c>
      <c r="D264" s="3" t="str">
        <f>IF(COUNTBLANK(Hoja1!A264:I264)&gt;0,"Sí","No")</f>
        <v>No</v>
      </c>
      <c r="E264" s="3" t="str">
        <f>IF(COUNTIF(Hoja1!$A$2:$A$1000,Hoja1!A264)&gt;1,"Sí","No")</f>
        <v>No</v>
      </c>
      <c r="F264" s="3" t="str">
        <f>IF(COUNTIF(Hoja1!$G$2:$G$1000,Hoja1!G264)&gt;1,"Sí","No")</f>
        <v>No</v>
      </c>
      <c r="G264" s="3" t="str">
        <f>IF(OR(ISERROR(FIND("@",Hoja1!G264)),ISERROR(FIND(".",Hoja1!G264,FIND("@",Hoja1!G264)))),"Sí","No")</f>
        <v>No</v>
      </c>
      <c r="H264" s="3" t="str">
        <f>IF(LEN(Hoja1!F264)&lt;&gt;14,"Sí","No")</f>
        <v>No</v>
      </c>
      <c r="I264" s="3" t="str">
        <f>IF(Hoja1!C264&gt;Hoja1!H264,"Sí","No")</f>
        <v>No</v>
      </c>
      <c r="J264" s="3" t="str">
        <f>IF(SUMPRODUCT(--ISNUMBER(SEARCH({"0";"1";"2";"3";"4";"5";"6";"7";"8";"9"},Hoja1!D264)))=0,"Sí","No")</f>
        <v>No</v>
      </c>
      <c r="K264" s="3" t="str">
        <f t="shared" si="4"/>
        <v>No</v>
      </c>
    </row>
    <row r="265" spans="1:11" ht="15" customHeight="1" x14ac:dyDescent="0.3">
      <c r="A265" s="3" t="str">
        <f>Hoja1!A265</f>
        <v>C0264</v>
      </c>
      <c r="B265" s="3" t="str">
        <f>Hoja1!B265</f>
        <v>Claudio Maximino Cobos Córdoba</v>
      </c>
      <c r="C265" s="3" t="str">
        <f>IF(COUNTA(Hoja1!A265:I265)=0,"Sí","No")</f>
        <v>No</v>
      </c>
      <c r="D265" s="3" t="str">
        <f>IF(COUNTBLANK(Hoja1!A265:I265)&gt;0,"Sí","No")</f>
        <v>No</v>
      </c>
      <c r="E265" s="3" t="str">
        <f>IF(COUNTIF(Hoja1!$A$2:$A$1000,Hoja1!A265)&gt;1,"Sí","No")</f>
        <v>No</v>
      </c>
      <c r="F265" s="3" t="str">
        <f>IF(COUNTIF(Hoja1!$G$2:$G$1000,Hoja1!G265)&gt;1,"Sí","No")</f>
        <v>No</v>
      </c>
      <c r="G265" s="3" t="str">
        <f>IF(OR(ISERROR(FIND("@",Hoja1!G265)),ISERROR(FIND(".",Hoja1!G265,FIND("@",Hoja1!G265)))),"Sí","No")</f>
        <v>No</v>
      </c>
      <c r="H265" s="3" t="str">
        <f>IF(LEN(Hoja1!F265)&lt;&gt;14,"Sí","No")</f>
        <v>No</v>
      </c>
      <c r="I265" s="3" t="str">
        <f>IF(Hoja1!C265&gt;Hoja1!H265,"Sí","No")</f>
        <v>No</v>
      </c>
      <c r="J265" s="3" t="str">
        <f>IF(SUMPRODUCT(--ISNUMBER(SEARCH({"0";"1";"2";"3";"4";"5";"6";"7";"8";"9"},Hoja1!D265)))=0,"Sí","No")</f>
        <v>No</v>
      </c>
      <c r="K265" s="3" t="str">
        <f t="shared" si="4"/>
        <v>No</v>
      </c>
    </row>
    <row r="266" spans="1:11" ht="15" customHeight="1" x14ac:dyDescent="0.3">
      <c r="A266" s="3" t="str">
        <f>Hoja1!A266</f>
        <v>C0265</v>
      </c>
      <c r="B266" s="3" t="str">
        <f>Hoja1!B266</f>
        <v>Josefina Rey Meléndez</v>
      </c>
      <c r="C266" s="3" t="str">
        <f>IF(COUNTA(Hoja1!A266:I266)=0,"Sí","No")</f>
        <v>No</v>
      </c>
      <c r="D266" s="3" t="str">
        <f>IF(COUNTBLANK(Hoja1!A266:I266)&gt;0,"Sí","No")</f>
        <v>No</v>
      </c>
      <c r="E266" s="3" t="str">
        <f>IF(COUNTIF(Hoja1!$A$2:$A$1000,Hoja1!A266)&gt;1,"Sí","No")</f>
        <v>No</v>
      </c>
      <c r="F266" s="3" t="str">
        <f>IF(COUNTIF(Hoja1!$G$2:$G$1000,Hoja1!G266)&gt;1,"Sí","No")</f>
        <v>No</v>
      </c>
      <c r="G266" s="3" t="str">
        <f>IF(OR(ISERROR(FIND("@",Hoja1!G266)),ISERROR(FIND(".",Hoja1!G266,FIND("@",Hoja1!G266)))),"Sí","No")</f>
        <v>No</v>
      </c>
      <c r="H266" s="3" t="str">
        <f>IF(LEN(Hoja1!F266)&lt;&gt;14,"Sí","No")</f>
        <v>No</v>
      </c>
      <c r="I266" s="3" t="str">
        <f>IF(Hoja1!C266&gt;Hoja1!H266,"Sí","No")</f>
        <v>No</v>
      </c>
      <c r="J266" s="3" t="str">
        <f>IF(SUMPRODUCT(--ISNUMBER(SEARCH({"0";"1";"2";"3";"4";"5";"6";"7";"8";"9"},Hoja1!D266)))=0,"Sí","No")</f>
        <v>No</v>
      </c>
      <c r="K266" s="3" t="str">
        <f t="shared" si="4"/>
        <v>No</v>
      </c>
    </row>
    <row r="267" spans="1:11" ht="15" customHeight="1" x14ac:dyDescent="0.3">
      <c r="A267" s="3" t="str">
        <f>Hoja1!A267</f>
        <v>C0266</v>
      </c>
      <c r="B267" s="3" t="str">
        <f>Hoja1!B267</f>
        <v>Nilda de Garrido</v>
      </c>
      <c r="C267" s="3" t="str">
        <f>IF(COUNTA(Hoja1!A267:I267)=0,"Sí","No")</f>
        <v>No</v>
      </c>
      <c r="D267" s="3" t="str">
        <f>IF(COUNTBLANK(Hoja1!A267:I267)&gt;0,"Sí","No")</f>
        <v>No</v>
      </c>
      <c r="E267" s="3" t="str">
        <f>IF(COUNTIF(Hoja1!$A$2:$A$1000,Hoja1!A267)&gt;1,"Sí","No")</f>
        <v>No</v>
      </c>
      <c r="F267" s="3" t="str">
        <f>IF(COUNTIF(Hoja1!$G$2:$G$1000,Hoja1!G267)&gt;1,"Sí","No")</f>
        <v>No</v>
      </c>
      <c r="G267" s="3" t="str">
        <f>IF(OR(ISERROR(FIND("@",Hoja1!G267)),ISERROR(FIND(".",Hoja1!G267,FIND("@",Hoja1!G267)))),"Sí","No")</f>
        <v>No</v>
      </c>
      <c r="H267" s="3" t="str">
        <f>IF(LEN(Hoja1!F267)&lt;&gt;14,"Sí","No")</f>
        <v>No</v>
      </c>
      <c r="I267" s="3" t="str">
        <f>IF(Hoja1!C267&gt;Hoja1!H267,"Sí","No")</f>
        <v>No</v>
      </c>
      <c r="J267" s="3" t="str">
        <f>IF(SUMPRODUCT(--ISNUMBER(SEARCH({"0";"1";"2";"3";"4";"5";"6";"7";"8";"9"},Hoja1!D267)))=0,"Sí","No")</f>
        <v>No</v>
      </c>
      <c r="K267" s="3" t="str">
        <f t="shared" si="4"/>
        <v>No</v>
      </c>
    </row>
    <row r="268" spans="1:11" ht="15" customHeight="1" x14ac:dyDescent="0.3">
      <c r="A268" s="3" t="str">
        <f>Hoja1!A268</f>
        <v>C0267</v>
      </c>
      <c r="B268" s="3" t="str">
        <f>Hoja1!B268</f>
        <v>Gregorio Llabrés-Rebollo</v>
      </c>
      <c r="C268" s="3" t="str">
        <f>IF(COUNTA(Hoja1!A268:I268)=0,"Sí","No")</f>
        <v>No</v>
      </c>
      <c r="D268" s="3" t="str">
        <f>IF(COUNTBLANK(Hoja1!A268:I268)&gt;0,"Sí","No")</f>
        <v>No</v>
      </c>
      <c r="E268" s="3" t="str">
        <f>IF(COUNTIF(Hoja1!$A$2:$A$1000,Hoja1!A268)&gt;1,"Sí","No")</f>
        <v>No</v>
      </c>
      <c r="F268" s="3" t="str">
        <f>IF(COUNTIF(Hoja1!$G$2:$G$1000,Hoja1!G268)&gt;1,"Sí","No")</f>
        <v>No</v>
      </c>
      <c r="G268" s="3" t="str">
        <f>IF(OR(ISERROR(FIND("@",Hoja1!G268)),ISERROR(FIND(".",Hoja1!G268,FIND("@",Hoja1!G268)))),"Sí","No")</f>
        <v>No</v>
      </c>
      <c r="H268" s="3" t="str">
        <f>IF(LEN(Hoja1!F268)&lt;&gt;14,"Sí","No")</f>
        <v>No</v>
      </c>
      <c r="I268" s="3" t="str">
        <f>IF(Hoja1!C268&gt;Hoja1!H268,"Sí","No")</f>
        <v>No</v>
      </c>
      <c r="J268" s="3" t="str">
        <f>IF(SUMPRODUCT(--ISNUMBER(SEARCH({"0";"1";"2";"3";"4";"5";"6";"7";"8";"9"},Hoja1!D268)))=0,"Sí","No")</f>
        <v>No</v>
      </c>
      <c r="K268" s="3" t="str">
        <f t="shared" si="4"/>
        <v>No</v>
      </c>
    </row>
    <row r="269" spans="1:11" ht="15" customHeight="1" x14ac:dyDescent="0.3">
      <c r="A269" s="3" t="str">
        <f>Hoja1!A269</f>
        <v>C0268</v>
      </c>
      <c r="B269" s="3" t="str">
        <f>Hoja1!B269</f>
        <v>Edmundo de Marco</v>
      </c>
      <c r="C269" s="3" t="str">
        <f>IF(COUNTA(Hoja1!A269:I269)=0,"Sí","No")</f>
        <v>No</v>
      </c>
      <c r="D269" s="3" t="str">
        <f>IF(COUNTBLANK(Hoja1!A269:I269)&gt;0,"Sí","No")</f>
        <v>No</v>
      </c>
      <c r="E269" s="3" t="str">
        <f>IF(COUNTIF(Hoja1!$A$2:$A$1000,Hoja1!A269)&gt;1,"Sí","No")</f>
        <v>No</v>
      </c>
      <c r="F269" s="3" t="str">
        <f>IF(COUNTIF(Hoja1!$G$2:$G$1000,Hoja1!G269)&gt;1,"Sí","No")</f>
        <v>No</v>
      </c>
      <c r="G269" s="3" t="str">
        <f>IF(OR(ISERROR(FIND("@",Hoja1!G269)),ISERROR(FIND(".",Hoja1!G269,FIND("@",Hoja1!G269)))),"Sí","No")</f>
        <v>No</v>
      </c>
      <c r="H269" s="3" t="str">
        <f>IF(LEN(Hoja1!F269)&lt;&gt;14,"Sí","No")</f>
        <v>No</v>
      </c>
      <c r="I269" s="3" t="str">
        <f>IF(Hoja1!C269&gt;Hoja1!H269,"Sí","No")</f>
        <v>No</v>
      </c>
      <c r="J269" s="3" t="str">
        <f>IF(SUMPRODUCT(--ISNUMBER(SEARCH({"0";"1";"2";"3";"4";"5";"6";"7";"8";"9"},Hoja1!D269)))=0,"Sí","No")</f>
        <v>No</v>
      </c>
      <c r="K269" s="3" t="str">
        <f t="shared" si="4"/>
        <v>No</v>
      </c>
    </row>
    <row r="270" spans="1:11" ht="15" customHeight="1" x14ac:dyDescent="0.3">
      <c r="A270" s="3" t="str">
        <f>Hoja1!A270</f>
        <v>C0269</v>
      </c>
      <c r="B270" s="3" t="str">
        <f>Hoja1!B270</f>
        <v>Amaya Ruiz Campoy</v>
      </c>
      <c r="C270" s="3" t="str">
        <f>IF(COUNTA(Hoja1!A270:I270)=0,"Sí","No")</f>
        <v>No</v>
      </c>
      <c r="D270" s="3" t="str">
        <f>IF(COUNTBLANK(Hoja1!A270:I270)&gt;0,"Sí","No")</f>
        <v>No</v>
      </c>
      <c r="E270" s="3" t="str">
        <f>IF(COUNTIF(Hoja1!$A$2:$A$1000,Hoja1!A270)&gt;1,"Sí","No")</f>
        <v>No</v>
      </c>
      <c r="F270" s="3" t="str">
        <f>IF(COUNTIF(Hoja1!$G$2:$G$1000,Hoja1!G270)&gt;1,"Sí","No")</f>
        <v>No</v>
      </c>
      <c r="G270" s="3" t="str">
        <f>IF(OR(ISERROR(FIND("@",Hoja1!G270)),ISERROR(FIND(".",Hoja1!G270,FIND("@",Hoja1!G270)))),"Sí","No")</f>
        <v>No</v>
      </c>
      <c r="H270" s="3" t="str">
        <f>IF(LEN(Hoja1!F270)&lt;&gt;14,"Sí","No")</f>
        <v>No</v>
      </c>
      <c r="I270" s="3" t="str">
        <f>IF(Hoja1!C270&gt;Hoja1!H270,"Sí","No")</f>
        <v>No</v>
      </c>
      <c r="J270" s="3" t="str">
        <f>IF(SUMPRODUCT(--ISNUMBER(SEARCH({"0";"1";"2";"3";"4";"5";"6";"7";"8";"9"},Hoja1!D270)))=0,"Sí","No")</f>
        <v>No</v>
      </c>
      <c r="K270" s="3" t="str">
        <f t="shared" si="4"/>
        <v>No</v>
      </c>
    </row>
    <row r="271" spans="1:11" ht="15" customHeight="1" x14ac:dyDescent="0.3">
      <c r="A271" s="3" t="str">
        <f>Hoja1!A271</f>
        <v>C0270</v>
      </c>
      <c r="B271" s="3" t="str">
        <f>Hoja1!B271</f>
        <v>Nacio Perera Lerma</v>
      </c>
      <c r="C271" s="3" t="str">
        <f>IF(COUNTA(Hoja1!A271:I271)=0,"Sí","No")</f>
        <v>No</v>
      </c>
      <c r="D271" s="3" t="str">
        <f>IF(COUNTBLANK(Hoja1!A271:I271)&gt;0,"Sí","No")</f>
        <v>No</v>
      </c>
      <c r="E271" s="3" t="str">
        <f>IF(COUNTIF(Hoja1!$A$2:$A$1000,Hoja1!A271)&gt;1,"Sí","No")</f>
        <v>No</v>
      </c>
      <c r="F271" s="3" t="str">
        <f>IF(COUNTIF(Hoja1!$G$2:$G$1000,Hoja1!G271)&gt;1,"Sí","No")</f>
        <v>No</v>
      </c>
      <c r="G271" s="3" t="str">
        <f>IF(OR(ISERROR(FIND("@",Hoja1!G271)),ISERROR(FIND(".",Hoja1!G271,FIND("@",Hoja1!G271)))),"Sí","No")</f>
        <v>No</v>
      </c>
      <c r="H271" s="3" t="str">
        <f>IF(LEN(Hoja1!F271)&lt;&gt;14,"Sí","No")</f>
        <v>No</v>
      </c>
      <c r="I271" s="3" t="str">
        <f>IF(Hoja1!C271&gt;Hoja1!H271,"Sí","No")</f>
        <v>No</v>
      </c>
      <c r="J271" s="3" t="str">
        <f>IF(SUMPRODUCT(--ISNUMBER(SEARCH({"0";"1";"2";"3";"4";"5";"6";"7";"8";"9"},Hoja1!D271)))=0,"Sí","No")</f>
        <v>No</v>
      </c>
      <c r="K271" s="3" t="str">
        <f t="shared" si="4"/>
        <v>No</v>
      </c>
    </row>
    <row r="272" spans="1:11" ht="15" customHeight="1" x14ac:dyDescent="0.3">
      <c r="A272" s="3" t="str">
        <f>Hoja1!A272</f>
        <v>C0271</v>
      </c>
      <c r="B272" s="3" t="str">
        <f>Hoja1!B272</f>
        <v>Damián Vicens Cabrera</v>
      </c>
      <c r="C272" s="3" t="str">
        <f>IF(COUNTA(Hoja1!A272:I272)=0,"Sí","No")</f>
        <v>No</v>
      </c>
      <c r="D272" s="3" t="str">
        <f>IF(COUNTBLANK(Hoja1!A272:I272)&gt;0,"Sí","No")</f>
        <v>No</v>
      </c>
      <c r="E272" s="3" t="str">
        <f>IF(COUNTIF(Hoja1!$A$2:$A$1000,Hoja1!A272)&gt;1,"Sí","No")</f>
        <v>No</v>
      </c>
      <c r="F272" s="3" t="str">
        <f>IF(COUNTIF(Hoja1!$G$2:$G$1000,Hoja1!G272)&gt;1,"Sí","No")</f>
        <v>No</v>
      </c>
      <c r="G272" s="3" t="str">
        <f>IF(OR(ISERROR(FIND("@",Hoja1!G272)),ISERROR(FIND(".",Hoja1!G272,FIND("@",Hoja1!G272)))),"Sí","No")</f>
        <v>No</v>
      </c>
      <c r="H272" s="3" t="str">
        <f>IF(LEN(Hoja1!F272)&lt;&gt;14,"Sí","No")</f>
        <v>No</v>
      </c>
      <c r="I272" s="3" t="str">
        <f>IF(Hoja1!C272&gt;Hoja1!H272,"Sí","No")</f>
        <v>No</v>
      </c>
      <c r="J272" s="3" t="str">
        <f>IF(SUMPRODUCT(--ISNUMBER(SEARCH({"0";"1";"2";"3";"4";"5";"6";"7";"8";"9"},Hoja1!D272)))=0,"Sí","No")</f>
        <v>No</v>
      </c>
      <c r="K272" s="3" t="str">
        <f t="shared" si="4"/>
        <v>No</v>
      </c>
    </row>
    <row r="273" spans="1:11" ht="15" customHeight="1" x14ac:dyDescent="0.3">
      <c r="A273" s="3" t="str">
        <f>Hoja1!A273</f>
        <v>C0272</v>
      </c>
      <c r="B273" s="3" t="str">
        <f>Hoja1!B273</f>
        <v>Marcela Teófila Arnal Lasa</v>
      </c>
      <c r="C273" s="3" t="str">
        <f>IF(COUNTA(Hoja1!A273:I273)=0,"Sí","No")</f>
        <v>No</v>
      </c>
      <c r="D273" s="3" t="str">
        <f>IF(COUNTBLANK(Hoja1!A273:I273)&gt;0,"Sí","No")</f>
        <v>No</v>
      </c>
      <c r="E273" s="3" t="str">
        <f>IF(COUNTIF(Hoja1!$A$2:$A$1000,Hoja1!A273)&gt;1,"Sí","No")</f>
        <v>No</v>
      </c>
      <c r="F273" s="3" t="str">
        <f>IF(COUNTIF(Hoja1!$G$2:$G$1000,Hoja1!G273)&gt;1,"Sí","No")</f>
        <v>No</v>
      </c>
      <c r="G273" s="3" t="str">
        <f>IF(OR(ISERROR(FIND("@",Hoja1!G273)),ISERROR(FIND(".",Hoja1!G273,FIND("@",Hoja1!G273)))),"Sí","No")</f>
        <v>No</v>
      </c>
      <c r="H273" s="3" t="str">
        <f>IF(LEN(Hoja1!F273)&lt;&gt;14,"Sí","No")</f>
        <v>No</v>
      </c>
      <c r="I273" s="3" t="str">
        <f>IF(Hoja1!C273&gt;Hoja1!H273,"Sí","No")</f>
        <v>No</v>
      </c>
      <c r="J273" s="3" t="str">
        <f>IF(SUMPRODUCT(--ISNUMBER(SEARCH({"0";"1";"2";"3";"4";"5";"6";"7";"8";"9"},Hoja1!D273)))=0,"Sí","No")</f>
        <v>No</v>
      </c>
      <c r="K273" s="3" t="str">
        <f t="shared" si="4"/>
        <v>No</v>
      </c>
    </row>
    <row r="274" spans="1:11" ht="15" customHeight="1" x14ac:dyDescent="0.3">
      <c r="A274" s="3" t="str">
        <f>Hoja1!A274</f>
        <v>C0273</v>
      </c>
      <c r="B274" s="3" t="str">
        <f>Hoja1!B274</f>
        <v>Reina Losada Alfonso</v>
      </c>
      <c r="C274" s="3" t="str">
        <f>IF(COUNTA(Hoja1!A274:I274)=0,"Sí","No")</f>
        <v>No</v>
      </c>
      <c r="D274" s="3" t="str">
        <f>IF(COUNTBLANK(Hoja1!A274:I274)&gt;0,"Sí","No")</f>
        <v>No</v>
      </c>
      <c r="E274" s="3" t="str">
        <f>IF(COUNTIF(Hoja1!$A$2:$A$1000,Hoja1!A274)&gt;1,"Sí","No")</f>
        <v>No</v>
      </c>
      <c r="F274" s="3" t="str">
        <f>IF(COUNTIF(Hoja1!$G$2:$G$1000,Hoja1!G274)&gt;1,"Sí","No")</f>
        <v>No</v>
      </c>
      <c r="G274" s="3" t="str">
        <f>IF(OR(ISERROR(FIND("@",Hoja1!G274)),ISERROR(FIND(".",Hoja1!G274,FIND("@",Hoja1!G274)))),"Sí","No")</f>
        <v>No</v>
      </c>
      <c r="H274" s="3" t="str">
        <f>IF(LEN(Hoja1!F274)&lt;&gt;14,"Sí","No")</f>
        <v>No</v>
      </c>
      <c r="I274" s="3" t="str">
        <f>IF(Hoja1!C274&gt;Hoja1!H274,"Sí","No")</f>
        <v>No</v>
      </c>
      <c r="J274" s="3" t="str">
        <f>IF(SUMPRODUCT(--ISNUMBER(SEARCH({"0";"1";"2";"3";"4";"5";"6";"7";"8";"9"},Hoja1!D274)))=0,"Sí","No")</f>
        <v>No</v>
      </c>
      <c r="K274" s="3" t="str">
        <f t="shared" si="4"/>
        <v>No</v>
      </c>
    </row>
    <row r="275" spans="1:11" ht="15" customHeight="1" x14ac:dyDescent="0.3">
      <c r="A275" s="3" t="str">
        <f>Hoja1!A275</f>
        <v>C0274</v>
      </c>
      <c r="B275" s="3" t="str">
        <f>Hoja1!B275</f>
        <v>Isa Arenas Mariscal</v>
      </c>
      <c r="C275" s="3" t="str">
        <f>IF(COUNTA(Hoja1!A275:I275)=0,"Sí","No")</f>
        <v>No</v>
      </c>
      <c r="D275" s="3" t="str">
        <f>IF(COUNTBLANK(Hoja1!A275:I275)&gt;0,"Sí","No")</f>
        <v>No</v>
      </c>
      <c r="E275" s="3" t="str">
        <f>IF(COUNTIF(Hoja1!$A$2:$A$1000,Hoja1!A275)&gt;1,"Sí","No")</f>
        <v>No</v>
      </c>
      <c r="F275" s="3" t="str">
        <f>IF(COUNTIF(Hoja1!$G$2:$G$1000,Hoja1!G275)&gt;1,"Sí","No")</f>
        <v>No</v>
      </c>
      <c r="G275" s="3" t="str">
        <f>IF(OR(ISERROR(FIND("@",Hoja1!G275)),ISERROR(FIND(".",Hoja1!G275,FIND("@",Hoja1!G275)))),"Sí","No")</f>
        <v>No</v>
      </c>
      <c r="H275" s="3" t="str">
        <f>IF(LEN(Hoja1!F275)&lt;&gt;14,"Sí","No")</f>
        <v>No</v>
      </c>
      <c r="I275" s="3" t="str">
        <f>IF(Hoja1!C275&gt;Hoja1!H275,"Sí","No")</f>
        <v>No</v>
      </c>
      <c r="J275" s="3" t="str">
        <f>IF(SUMPRODUCT(--ISNUMBER(SEARCH({"0";"1";"2";"3";"4";"5";"6";"7";"8";"9"},Hoja1!D275)))=0,"Sí","No")</f>
        <v>No</v>
      </c>
      <c r="K275" s="3" t="str">
        <f t="shared" si="4"/>
        <v>No</v>
      </c>
    </row>
    <row r="276" spans="1:11" ht="15" customHeight="1" x14ac:dyDescent="0.3">
      <c r="A276" s="3" t="str">
        <f>Hoja1!A276</f>
        <v>C0275</v>
      </c>
      <c r="B276" s="3" t="str">
        <f>Hoja1!B276</f>
        <v>Morena Roura</v>
      </c>
      <c r="C276" s="3" t="str">
        <f>IF(COUNTA(Hoja1!A276:I276)=0,"Sí","No")</f>
        <v>No</v>
      </c>
      <c r="D276" s="3" t="str">
        <f>IF(COUNTBLANK(Hoja1!A276:I276)&gt;0,"Sí","No")</f>
        <v>No</v>
      </c>
      <c r="E276" s="3" t="str">
        <f>IF(COUNTIF(Hoja1!$A$2:$A$1000,Hoja1!A276)&gt;1,"Sí","No")</f>
        <v>No</v>
      </c>
      <c r="F276" s="3" t="str">
        <f>IF(COUNTIF(Hoja1!$G$2:$G$1000,Hoja1!G276)&gt;1,"Sí","No")</f>
        <v>No</v>
      </c>
      <c r="G276" s="3" t="str">
        <f>IF(OR(ISERROR(FIND("@",Hoja1!G276)),ISERROR(FIND(".",Hoja1!G276,FIND("@",Hoja1!G276)))),"Sí","No")</f>
        <v>No</v>
      </c>
      <c r="H276" s="3" t="str">
        <f>IF(LEN(Hoja1!F276)&lt;&gt;14,"Sí","No")</f>
        <v>No</v>
      </c>
      <c r="I276" s="3" t="str">
        <f>IF(Hoja1!C276&gt;Hoja1!H276,"Sí","No")</f>
        <v>No</v>
      </c>
      <c r="J276" s="3" t="str">
        <f>IF(SUMPRODUCT(--ISNUMBER(SEARCH({"0";"1";"2";"3";"4";"5";"6";"7";"8";"9"},Hoja1!D276)))=0,"Sí","No")</f>
        <v>No</v>
      </c>
      <c r="K276" s="3" t="str">
        <f t="shared" si="4"/>
        <v>No</v>
      </c>
    </row>
    <row r="277" spans="1:11" ht="15" customHeight="1" x14ac:dyDescent="0.3">
      <c r="A277" s="3" t="str">
        <f>Hoja1!A277</f>
        <v>C0276</v>
      </c>
      <c r="B277" s="3" t="str">
        <f>Hoja1!B277</f>
        <v>Odalys Benítez</v>
      </c>
      <c r="C277" s="3" t="str">
        <f>IF(COUNTA(Hoja1!A277:I277)=0,"Sí","No")</f>
        <v>No</v>
      </c>
      <c r="D277" s="3" t="str">
        <f>IF(COUNTBLANK(Hoja1!A277:I277)&gt;0,"Sí","No")</f>
        <v>No</v>
      </c>
      <c r="E277" s="3" t="str">
        <f>IF(COUNTIF(Hoja1!$A$2:$A$1000,Hoja1!A277)&gt;1,"Sí","No")</f>
        <v>No</v>
      </c>
      <c r="F277" s="3" t="str">
        <f>IF(COUNTIF(Hoja1!$G$2:$G$1000,Hoja1!G277)&gt;1,"Sí","No")</f>
        <v>No</v>
      </c>
      <c r="G277" s="3" t="str">
        <f>IF(OR(ISERROR(FIND("@",Hoja1!G277)),ISERROR(FIND(".",Hoja1!G277,FIND("@",Hoja1!G277)))),"Sí","No")</f>
        <v>No</v>
      </c>
      <c r="H277" s="3" t="str">
        <f>IF(LEN(Hoja1!F277)&lt;&gt;14,"Sí","No")</f>
        <v>No</v>
      </c>
      <c r="I277" s="3" t="str">
        <f>IF(Hoja1!C277&gt;Hoja1!H277,"Sí","No")</f>
        <v>No</v>
      </c>
      <c r="J277" s="3" t="str">
        <f>IF(SUMPRODUCT(--ISNUMBER(SEARCH({"0";"1";"2";"3";"4";"5";"6";"7";"8";"9"},Hoja1!D277)))=0,"Sí","No")</f>
        <v>No</v>
      </c>
      <c r="K277" s="3" t="str">
        <f t="shared" si="4"/>
        <v>No</v>
      </c>
    </row>
    <row r="278" spans="1:11" ht="15" customHeight="1" x14ac:dyDescent="0.3">
      <c r="A278" s="3" t="str">
        <f>Hoja1!A278</f>
        <v>C0277</v>
      </c>
      <c r="B278" s="3" t="str">
        <f>Hoja1!B278</f>
        <v>Emma del Amor</v>
      </c>
      <c r="C278" s="3" t="str">
        <f>IF(COUNTA(Hoja1!A278:I278)=0,"Sí","No")</f>
        <v>No</v>
      </c>
      <c r="D278" s="3" t="str">
        <f>IF(COUNTBLANK(Hoja1!A278:I278)&gt;0,"Sí","No")</f>
        <v>No</v>
      </c>
      <c r="E278" s="3" t="str">
        <f>IF(COUNTIF(Hoja1!$A$2:$A$1000,Hoja1!A278)&gt;1,"Sí","No")</f>
        <v>No</v>
      </c>
      <c r="F278" s="3" t="str">
        <f>IF(COUNTIF(Hoja1!$G$2:$G$1000,Hoja1!G278)&gt;1,"Sí","No")</f>
        <v>Sí</v>
      </c>
      <c r="G278" s="3" t="str">
        <f>IF(OR(ISERROR(FIND("@",Hoja1!G278)),ISERROR(FIND(".",Hoja1!G278,FIND("@",Hoja1!G278)))),"Sí","No")</f>
        <v>No</v>
      </c>
      <c r="H278" s="3" t="str">
        <f>IF(LEN(Hoja1!F278)&lt;&gt;14,"Sí","No")</f>
        <v>No</v>
      </c>
      <c r="I278" s="3" t="str">
        <f>IF(Hoja1!C278&gt;Hoja1!H278,"Sí","No")</f>
        <v>No</v>
      </c>
      <c r="J278" s="3" t="str">
        <f>IF(SUMPRODUCT(--ISNUMBER(SEARCH({"0";"1";"2";"3";"4";"5";"6";"7";"8";"9"},Hoja1!D278)))=0,"Sí","No")</f>
        <v>No</v>
      </c>
      <c r="K278" s="3" t="str">
        <f t="shared" si="4"/>
        <v>Sí</v>
      </c>
    </row>
    <row r="279" spans="1:11" ht="15" customHeight="1" x14ac:dyDescent="0.3">
      <c r="A279" s="3" t="str">
        <f>Hoja1!A279</f>
        <v>C0278</v>
      </c>
      <c r="B279" s="3" t="str">
        <f>Hoja1!B279</f>
        <v>Seve Villanueva Anaya</v>
      </c>
      <c r="C279" s="3" t="str">
        <f>IF(COUNTA(Hoja1!A279:I279)=0,"Sí","No")</f>
        <v>No</v>
      </c>
      <c r="D279" s="3" t="str">
        <f>IF(COUNTBLANK(Hoja1!A279:I279)&gt;0,"Sí","No")</f>
        <v>No</v>
      </c>
      <c r="E279" s="3" t="str">
        <f>IF(COUNTIF(Hoja1!$A$2:$A$1000,Hoja1!A279)&gt;1,"Sí","No")</f>
        <v>No</v>
      </c>
      <c r="F279" s="3" t="str">
        <f>IF(COUNTIF(Hoja1!$G$2:$G$1000,Hoja1!G279)&gt;1,"Sí","No")</f>
        <v>No</v>
      </c>
      <c r="G279" s="3" t="str">
        <f>IF(OR(ISERROR(FIND("@",Hoja1!G279)),ISERROR(FIND(".",Hoja1!G279,FIND("@",Hoja1!G279)))),"Sí","No")</f>
        <v>No</v>
      </c>
      <c r="H279" s="3" t="str">
        <f>IF(LEN(Hoja1!F279)&lt;&gt;14,"Sí","No")</f>
        <v>No</v>
      </c>
      <c r="I279" s="3" t="str">
        <f>IF(Hoja1!C279&gt;Hoja1!H279,"Sí","No")</f>
        <v>No</v>
      </c>
      <c r="J279" s="3" t="str">
        <f>IF(SUMPRODUCT(--ISNUMBER(SEARCH({"0";"1";"2";"3";"4";"5";"6";"7";"8";"9"},Hoja1!D279)))=0,"Sí","No")</f>
        <v>No</v>
      </c>
      <c r="K279" s="3" t="str">
        <f t="shared" si="4"/>
        <v>No</v>
      </c>
    </row>
    <row r="280" spans="1:11" ht="15" customHeight="1" x14ac:dyDescent="0.3">
      <c r="A280" s="3" t="str">
        <f>Hoja1!A280</f>
        <v>C0279</v>
      </c>
      <c r="B280" s="3" t="str">
        <f>Hoja1!B280</f>
        <v>Montserrat Armas Salamanca</v>
      </c>
      <c r="C280" s="3" t="str">
        <f>IF(COUNTA(Hoja1!A280:I280)=0,"Sí","No")</f>
        <v>No</v>
      </c>
      <c r="D280" s="3" t="str">
        <f>IF(COUNTBLANK(Hoja1!A280:I280)&gt;0,"Sí","No")</f>
        <v>No</v>
      </c>
      <c r="E280" s="3" t="str">
        <f>IF(COUNTIF(Hoja1!$A$2:$A$1000,Hoja1!A280)&gt;1,"Sí","No")</f>
        <v>No</v>
      </c>
      <c r="F280" s="3" t="str">
        <f>IF(COUNTIF(Hoja1!$G$2:$G$1000,Hoja1!G280)&gt;1,"Sí","No")</f>
        <v>No</v>
      </c>
      <c r="G280" s="3" t="str">
        <f>IF(OR(ISERROR(FIND("@",Hoja1!G280)),ISERROR(FIND(".",Hoja1!G280,FIND("@",Hoja1!G280)))),"Sí","No")</f>
        <v>No</v>
      </c>
      <c r="H280" s="3" t="str">
        <f>IF(LEN(Hoja1!F280)&lt;&gt;14,"Sí","No")</f>
        <v>No</v>
      </c>
      <c r="I280" s="3" t="str">
        <f>IF(Hoja1!C280&gt;Hoja1!H280,"Sí","No")</f>
        <v>No</v>
      </c>
      <c r="J280" s="3" t="str">
        <f>IF(SUMPRODUCT(--ISNUMBER(SEARCH({"0";"1";"2";"3";"4";"5";"6";"7";"8";"9"},Hoja1!D280)))=0,"Sí","No")</f>
        <v>No</v>
      </c>
      <c r="K280" s="3" t="str">
        <f t="shared" si="4"/>
        <v>No</v>
      </c>
    </row>
    <row r="281" spans="1:11" ht="15" customHeight="1" x14ac:dyDescent="0.3">
      <c r="A281" s="3" t="str">
        <f>Hoja1!A281</f>
        <v>C0280</v>
      </c>
      <c r="B281" s="3" t="str">
        <f>Hoja1!B281</f>
        <v>Ildefonso Feliu Esteban</v>
      </c>
      <c r="C281" s="3" t="str">
        <f>IF(COUNTA(Hoja1!A281:I281)=0,"Sí","No")</f>
        <v>No</v>
      </c>
      <c r="D281" s="3" t="str">
        <f>IF(COUNTBLANK(Hoja1!A281:I281)&gt;0,"Sí","No")</f>
        <v>No</v>
      </c>
      <c r="E281" s="3" t="str">
        <f>IF(COUNTIF(Hoja1!$A$2:$A$1000,Hoja1!A281)&gt;1,"Sí","No")</f>
        <v>No</v>
      </c>
      <c r="F281" s="3" t="str">
        <f>IF(COUNTIF(Hoja1!$G$2:$G$1000,Hoja1!G281)&gt;1,"Sí","No")</f>
        <v>No</v>
      </c>
      <c r="G281" s="3" t="str">
        <f>IF(OR(ISERROR(FIND("@",Hoja1!G281)),ISERROR(FIND(".",Hoja1!G281,FIND("@",Hoja1!G281)))),"Sí","No")</f>
        <v>No</v>
      </c>
      <c r="H281" s="3" t="str">
        <f>IF(LEN(Hoja1!F281)&lt;&gt;14,"Sí","No")</f>
        <v>No</v>
      </c>
      <c r="I281" s="3" t="str">
        <f>IF(Hoja1!C281&gt;Hoja1!H281,"Sí","No")</f>
        <v>No</v>
      </c>
      <c r="J281" s="3" t="str">
        <f>IF(SUMPRODUCT(--ISNUMBER(SEARCH({"0";"1";"2";"3";"4";"5";"6";"7";"8";"9"},Hoja1!D281)))=0,"Sí","No")</f>
        <v>No</v>
      </c>
      <c r="K281" s="3" t="str">
        <f t="shared" si="4"/>
        <v>No</v>
      </c>
    </row>
    <row r="282" spans="1:11" ht="15" customHeight="1" x14ac:dyDescent="0.3">
      <c r="A282" s="3" t="str">
        <f>Hoja1!A282</f>
        <v>C0281</v>
      </c>
      <c r="B282" s="3" t="str">
        <f>Hoja1!B282</f>
        <v>Ligia Ocaña Arregui</v>
      </c>
      <c r="C282" s="3" t="str">
        <f>IF(COUNTA(Hoja1!A282:I282)=0,"Sí","No")</f>
        <v>No</v>
      </c>
      <c r="D282" s="3" t="str">
        <f>IF(COUNTBLANK(Hoja1!A282:I282)&gt;0,"Sí","No")</f>
        <v>No</v>
      </c>
      <c r="E282" s="3" t="str">
        <f>IF(COUNTIF(Hoja1!$A$2:$A$1000,Hoja1!A282)&gt;1,"Sí","No")</f>
        <v>No</v>
      </c>
      <c r="F282" s="3" t="str">
        <f>IF(COUNTIF(Hoja1!$G$2:$G$1000,Hoja1!G282)&gt;1,"Sí","No")</f>
        <v>No</v>
      </c>
      <c r="G282" s="3" t="str">
        <f>IF(OR(ISERROR(FIND("@",Hoja1!G282)),ISERROR(FIND(".",Hoja1!G282,FIND("@",Hoja1!G282)))),"Sí","No")</f>
        <v>No</v>
      </c>
      <c r="H282" s="3" t="str">
        <f>IF(LEN(Hoja1!F282)&lt;&gt;14,"Sí","No")</f>
        <v>No</v>
      </c>
      <c r="I282" s="3" t="str">
        <f>IF(Hoja1!C282&gt;Hoja1!H282,"Sí","No")</f>
        <v>No</v>
      </c>
      <c r="J282" s="3" t="str">
        <f>IF(SUMPRODUCT(--ISNUMBER(SEARCH({"0";"1";"2";"3";"4";"5";"6";"7";"8";"9"},Hoja1!D282)))=0,"Sí","No")</f>
        <v>No</v>
      </c>
      <c r="K282" s="3" t="str">
        <f t="shared" si="4"/>
        <v>No</v>
      </c>
    </row>
    <row r="283" spans="1:11" ht="15" customHeight="1" x14ac:dyDescent="0.3">
      <c r="A283" s="3" t="str">
        <f>Hoja1!A283</f>
        <v>C0282</v>
      </c>
      <c r="B283" s="3" t="str">
        <f>Hoja1!B283</f>
        <v>Sarita Neira Toro</v>
      </c>
      <c r="C283" s="3" t="str">
        <f>IF(COUNTA(Hoja1!A283:I283)=0,"Sí","No")</f>
        <v>No</v>
      </c>
      <c r="D283" s="3" t="str">
        <f>IF(COUNTBLANK(Hoja1!A283:I283)&gt;0,"Sí","No")</f>
        <v>No</v>
      </c>
      <c r="E283" s="3" t="str">
        <f>IF(COUNTIF(Hoja1!$A$2:$A$1000,Hoja1!A283)&gt;1,"Sí","No")</f>
        <v>No</v>
      </c>
      <c r="F283" s="3" t="str">
        <f>IF(COUNTIF(Hoja1!$G$2:$G$1000,Hoja1!G283)&gt;1,"Sí","No")</f>
        <v>No</v>
      </c>
      <c r="G283" s="3" t="str">
        <f>IF(OR(ISERROR(FIND("@",Hoja1!G283)),ISERROR(FIND(".",Hoja1!G283,FIND("@",Hoja1!G283)))),"Sí","No")</f>
        <v>No</v>
      </c>
      <c r="H283" s="3" t="str">
        <f>IF(LEN(Hoja1!F283)&lt;&gt;14,"Sí","No")</f>
        <v>No</v>
      </c>
      <c r="I283" s="3" t="str">
        <f>IF(Hoja1!C283&gt;Hoja1!H283,"Sí","No")</f>
        <v>No</v>
      </c>
      <c r="J283" s="3" t="str">
        <f>IF(SUMPRODUCT(--ISNUMBER(SEARCH({"0";"1";"2";"3";"4";"5";"6";"7";"8";"9"},Hoja1!D283)))=0,"Sí","No")</f>
        <v>No</v>
      </c>
      <c r="K283" s="3" t="str">
        <f t="shared" si="4"/>
        <v>No</v>
      </c>
    </row>
    <row r="284" spans="1:11" ht="15" customHeight="1" x14ac:dyDescent="0.3">
      <c r="A284" s="3" t="str">
        <f>Hoja1!A284</f>
        <v>C0283</v>
      </c>
      <c r="B284" s="3" t="str">
        <f>Hoja1!B284</f>
        <v>Timoteo Pacheco Pozo</v>
      </c>
      <c r="C284" s="3" t="str">
        <f>IF(COUNTA(Hoja1!A284:I284)=0,"Sí","No")</f>
        <v>No</v>
      </c>
      <c r="D284" s="3" t="str">
        <f>IF(COUNTBLANK(Hoja1!A284:I284)&gt;0,"Sí","No")</f>
        <v>No</v>
      </c>
      <c r="E284" s="3" t="str">
        <f>IF(COUNTIF(Hoja1!$A$2:$A$1000,Hoja1!A284)&gt;1,"Sí","No")</f>
        <v>No</v>
      </c>
      <c r="F284" s="3" t="str">
        <f>IF(COUNTIF(Hoja1!$G$2:$G$1000,Hoja1!G284)&gt;1,"Sí","No")</f>
        <v>No</v>
      </c>
      <c r="G284" s="3" t="str">
        <f>IF(OR(ISERROR(FIND("@",Hoja1!G284)),ISERROR(FIND(".",Hoja1!G284,FIND("@",Hoja1!G284)))),"Sí","No")</f>
        <v>No</v>
      </c>
      <c r="H284" s="3" t="str">
        <f>IF(LEN(Hoja1!F284)&lt;&gt;14,"Sí","No")</f>
        <v>No</v>
      </c>
      <c r="I284" s="3" t="str">
        <f>IF(Hoja1!C284&gt;Hoja1!H284,"Sí","No")</f>
        <v>No</v>
      </c>
      <c r="J284" s="3" t="str">
        <f>IF(SUMPRODUCT(--ISNUMBER(SEARCH({"0";"1";"2";"3";"4";"5";"6";"7";"8";"9"},Hoja1!D284)))=0,"Sí","No")</f>
        <v>No</v>
      </c>
      <c r="K284" s="3" t="str">
        <f t="shared" si="4"/>
        <v>No</v>
      </c>
    </row>
    <row r="285" spans="1:11" ht="15" customHeight="1" x14ac:dyDescent="0.3">
      <c r="A285" s="3" t="str">
        <f>Hoja1!A285</f>
        <v>C0284</v>
      </c>
      <c r="B285" s="3" t="str">
        <f>Hoja1!B285</f>
        <v>Ester Anabel Fabregat Nuñez</v>
      </c>
      <c r="C285" s="3" t="str">
        <f>IF(COUNTA(Hoja1!A285:I285)=0,"Sí","No")</f>
        <v>No</v>
      </c>
      <c r="D285" s="3" t="str">
        <f>IF(COUNTBLANK(Hoja1!A285:I285)&gt;0,"Sí","No")</f>
        <v>No</v>
      </c>
      <c r="E285" s="3" t="str">
        <f>IF(COUNTIF(Hoja1!$A$2:$A$1000,Hoja1!A285)&gt;1,"Sí","No")</f>
        <v>No</v>
      </c>
      <c r="F285" s="3" t="str">
        <f>IF(COUNTIF(Hoja1!$G$2:$G$1000,Hoja1!G285)&gt;1,"Sí","No")</f>
        <v>No</v>
      </c>
      <c r="G285" s="3" t="str">
        <f>IF(OR(ISERROR(FIND("@",Hoja1!G285)),ISERROR(FIND(".",Hoja1!G285,FIND("@",Hoja1!G285)))),"Sí","No")</f>
        <v>No</v>
      </c>
      <c r="H285" s="3" t="str">
        <f>IF(LEN(Hoja1!F285)&lt;&gt;14,"Sí","No")</f>
        <v>No</v>
      </c>
      <c r="I285" s="3" t="str">
        <f>IF(Hoja1!C285&gt;Hoja1!H285,"Sí","No")</f>
        <v>No</v>
      </c>
      <c r="J285" s="3" t="str">
        <f>IF(SUMPRODUCT(--ISNUMBER(SEARCH({"0";"1";"2";"3";"4";"5";"6";"7";"8";"9"},Hoja1!D285)))=0,"Sí","No")</f>
        <v>No</v>
      </c>
      <c r="K285" s="3" t="str">
        <f t="shared" si="4"/>
        <v>No</v>
      </c>
    </row>
    <row r="286" spans="1:11" ht="15" customHeight="1" x14ac:dyDescent="0.3">
      <c r="A286" s="3" t="str">
        <f>Hoja1!A286</f>
        <v>C0285</v>
      </c>
      <c r="B286" s="3" t="str">
        <f>Hoja1!B286</f>
        <v>Rosenda Villanueva Herrera</v>
      </c>
      <c r="C286" s="3" t="str">
        <f>IF(COUNTA(Hoja1!A286:I286)=0,"Sí","No")</f>
        <v>No</v>
      </c>
      <c r="D286" s="3" t="str">
        <f>IF(COUNTBLANK(Hoja1!A286:I286)&gt;0,"Sí","No")</f>
        <v>No</v>
      </c>
      <c r="E286" s="3" t="str">
        <f>IF(COUNTIF(Hoja1!$A$2:$A$1000,Hoja1!A286)&gt;1,"Sí","No")</f>
        <v>No</v>
      </c>
      <c r="F286" s="3" t="str">
        <f>IF(COUNTIF(Hoja1!$G$2:$G$1000,Hoja1!G286)&gt;1,"Sí","No")</f>
        <v>No</v>
      </c>
      <c r="G286" s="3" t="str">
        <f>IF(OR(ISERROR(FIND("@",Hoja1!G286)),ISERROR(FIND(".",Hoja1!G286,FIND("@",Hoja1!G286)))),"Sí","No")</f>
        <v>No</v>
      </c>
      <c r="H286" s="3" t="str">
        <f>IF(LEN(Hoja1!F286)&lt;&gt;14,"Sí","No")</f>
        <v>No</v>
      </c>
      <c r="I286" s="3" t="str">
        <f>IF(Hoja1!C286&gt;Hoja1!H286,"Sí","No")</f>
        <v>No</v>
      </c>
      <c r="J286" s="3" t="str">
        <f>IF(SUMPRODUCT(--ISNUMBER(SEARCH({"0";"1";"2";"3";"4";"5";"6";"7";"8";"9"},Hoja1!D286)))=0,"Sí","No")</f>
        <v>No</v>
      </c>
      <c r="K286" s="3" t="str">
        <f t="shared" si="4"/>
        <v>No</v>
      </c>
    </row>
    <row r="287" spans="1:11" ht="15" customHeight="1" x14ac:dyDescent="0.3">
      <c r="A287" s="3" t="str">
        <f>Hoja1!A287</f>
        <v>C0286</v>
      </c>
      <c r="B287" s="3" t="str">
        <f>Hoja1!B287</f>
        <v>Ariel Gallego Diego</v>
      </c>
      <c r="C287" s="3" t="str">
        <f>IF(COUNTA(Hoja1!A287:I287)=0,"Sí","No")</f>
        <v>No</v>
      </c>
      <c r="D287" s="3" t="str">
        <f>IF(COUNTBLANK(Hoja1!A287:I287)&gt;0,"Sí","No")</f>
        <v>No</v>
      </c>
      <c r="E287" s="3" t="str">
        <f>IF(COUNTIF(Hoja1!$A$2:$A$1000,Hoja1!A287)&gt;1,"Sí","No")</f>
        <v>No</v>
      </c>
      <c r="F287" s="3" t="str">
        <f>IF(COUNTIF(Hoja1!$G$2:$G$1000,Hoja1!G287)&gt;1,"Sí","No")</f>
        <v>No</v>
      </c>
      <c r="G287" s="3" t="str">
        <f>IF(OR(ISERROR(FIND("@",Hoja1!G287)),ISERROR(FIND(".",Hoja1!G287,FIND("@",Hoja1!G287)))),"Sí","No")</f>
        <v>No</v>
      </c>
      <c r="H287" s="3" t="str">
        <f>IF(LEN(Hoja1!F287)&lt;&gt;14,"Sí","No")</f>
        <v>No</v>
      </c>
      <c r="I287" s="3" t="str">
        <f>IF(Hoja1!C287&gt;Hoja1!H287,"Sí","No")</f>
        <v>No</v>
      </c>
      <c r="J287" s="3" t="str">
        <f>IF(SUMPRODUCT(--ISNUMBER(SEARCH({"0";"1";"2";"3";"4";"5";"6";"7";"8";"9"},Hoja1!D287)))=0,"Sí","No")</f>
        <v>No</v>
      </c>
      <c r="K287" s="3" t="str">
        <f t="shared" si="4"/>
        <v>No</v>
      </c>
    </row>
    <row r="288" spans="1:11" ht="15" customHeight="1" x14ac:dyDescent="0.3">
      <c r="A288" s="3" t="str">
        <f>Hoja1!A288</f>
        <v>C0287</v>
      </c>
      <c r="B288" s="3" t="str">
        <f>Hoja1!B288</f>
        <v>Juliana Alarcón Molins</v>
      </c>
      <c r="C288" s="3" t="str">
        <f>IF(COUNTA(Hoja1!A288:I288)=0,"Sí","No")</f>
        <v>No</v>
      </c>
      <c r="D288" s="3" t="str">
        <f>IF(COUNTBLANK(Hoja1!A288:I288)&gt;0,"Sí","No")</f>
        <v>No</v>
      </c>
      <c r="E288" s="3" t="str">
        <f>IF(COUNTIF(Hoja1!$A$2:$A$1000,Hoja1!A288)&gt;1,"Sí","No")</f>
        <v>No</v>
      </c>
      <c r="F288" s="3" t="str">
        <f>IF(COUNTIF(Hoja1!$G$2:$G$1000,Hoja1!G288)&gt;1,"Sí","No")</f>
        <v>No</v>
      </c>
      <c r="G288" s="3" t="str">
        <f>IF(OR(ISERROR(FIND("@",Hoja1!G288)),ISERROR(FIND(".",Hoja1!G288,FIND("@",Hoja1!G288)))),"Sí","No")</f>
        <v>No</v>
      </c>
      <c r="H288" s="3" t="str">
        <f>IF(LEN(Hoja1!F288)&lt;&gt;14,"Sí","No")</f>
        <v>No</v>
      </c>
      <c r="I288" s="3" t="str">
        <f>IF(Hoja1!C288&gt;Hoja1!H288,"Sí","No")</f>
        <v>No</v>
      </c>
      <c r="J288" s="3" t="str">
        <f>IF(SUMPRODUCT(--ISNUMBER(SEARCH({"0";"1";"2";"3";"4";"5";"6";"7";"8";"9"},Hoja1!D288)))=0,"Sí","No")</f>
        <v>No</v>
      </c>
      <c r="K288" s="3" t="str">
        <f t="shared" si="4"/>
        <v>No</v>
      </c>
    </row>
    <row r="289" spans="1:11" ht="15" customHeight="1" x14ac:dyDescent="0.3">
      <c r="A289" s="3" t="str">
        <f>Hoja1!A289</f>
        <v>C0288</v>
      </c>
      <c r="B289" s="3" t="str">
        <f>Hoja1!B289</f>
        <v>Catalina Méndez</v>
      </c>
      <c r="C289" s="3" t="str">
        <f>IF(COUNTA(Hoja1!A289:I289)=0,"Sí","No")</f>
        <v>No</v>
      </c>
      <c r="D289" s="3" t="str">
        <f>IF(COUNTBLANK(Hoja1!A289:I289)&gt;0,"Sí","No")</f>
        <v>No</v>
      </c>
      <c r="E289" s="3" t="str">
        <f>IF(COUNTIF(Hoja1!$A$2:$A$1000,Hoja1!A289)&gt;1,"Sí","No")</f>
        <v>No</v>
      </c>
      <c r="F289" s="3" t="str">
        <f>IF(COUNTIF(Hoja1!$G$2:$G$1000,Hoja1!G289)&gt;1,"Sí","No")</f>
        <v>No</v>
      </c>
      <c r="G289" s="3" t="str">
        <f>IF(OR(ISERROR(FIND("@",Hoja1!G289)),ISERROR(FIND(".",Hoja1!G289,FIND("@",Hoja1!G289)))),"Sí","No")</f>
        <v>No</v>
      </c>
      <c r="H289" s="3" t="str">
        <f>IF(LEN(Hoja1!F289)&lt;&gt;14,"Sí","No")</f>
        <v>No</v>
      </c>
      <c r="I289" s="3" t="str">
        <f>IF(Hoja1!C289&gt;Hoja1!H289,"Sí","No")</f>
        <v>No</v>
      </c>
      <c r="J289" s="3" t="str">
        <f>IF(SUMPRODUCT(--ISNUMBER(SEARCH({"0";"1";"2";"3";"4";"5";"6";"7";"8";"9"},Hoja1!D289)))=0,"Sí","No")</f>
        <v>No</v>
      </c>
      <c r="K289" s="3" t="str">
        <f t="shared" si="4"/>
        <v>No</v>
      </c>
    </row>
    <row r="290" spans="1:11" ht="15" customHeight="1" x14ac:dyDescent="0.3">
      <c r="A290" s="3" t="str">
        <f>Hoja1!A290</f>
        <v>C0289</v>
      </c>
      <c r="B290" s="3" t="str">
        <f>Hoja1!B290</f>
        <v>Susanita Pascual Salamanca</v>
      </c>
      <c r="C290" s="3" t="str">
        <f>IF(COUNTA(Hoja1!A290:I290)=0,"Sí","No")</f>
        <v>No</v>
      </c>
      <c r="D290" s="3" t="str">
        <f>IF(COUNTBLANK(Hoja1!A290:I290)&gt;0,"Sí","No")</f>
        <v>No</v>
      </c>
      <c r="E290" s="3" t="str">
        <f>IF(COUNTIF(Hoja1!$A$2:$A$1000,Hoja1!A290)&gt;1,"Sí","No")</f>
        <v>No</v>
      </c>
      <c r="F290" s="3" t="str">
        <f>IF(COUNTIF(Hoja1!$G$2:$G$1000,Hoja1!G290)&gt;1,"Sí","No")</f>
        <v>No</v>
      </c>
      <c r="G290" s="3" t="str">
        <f>IF(OR(ISERROR(FIND("@",Hoja1!G290)),ISERROR(FIND(".",Hoja1!G290,FIND("@",Hoja1!G290)))),"Sí","No")</f>
        <v>No</v>
      </c>
      <c r="H290" s="3" t="str">
        <f>IF(LEN(Hoja1!F290)&lt;&gt;14,"Sí","No")</f>
        <v>No</v>
      </c>
      <c r="I290" s="3" t="str">
        <f>IF(Hoja1!C290&gt;Hoja1!H290,"Sí","No")</f>
        <v>No</v>
      </c>
      <c r="J290" s="3" t="str">
        <f>IF(SUMPRODUCT(--ISNUMBER(SEARCH({"0";"1";"2";"3";"4";"5";"6";"7";"8";"9"},Hoja1!D290)))=0,"Sí","No")</f>
        <v>No</v>
      </c>
      <c r="K290" s="3" t="str">
        <f t="shared" si="4"/>
        <v>No</v>
      </c>
    </row>
    <row r="291" spans="1:11" ht="15" customHeight="1" x14ac:dyDescent="0.3">
      <c r="A291" s="3" t="str">
        <f>Hoja1!A291</f>
        <v>C0290</v>
      </c>
      <c r="B291" s="3" t="str">
        <f>Hoja1!B291</f>
        <v>Dimas Rafael Polo Bravo</v>
      </c>
      <c r="C291" s="3" t="str">
        <f>IF(COUNTA(Hoja1!A291:I291)=0,"Sí","No")</f>
        <v>No</v>
      </c>
      <c r="D291" s="3" t="str">
        <f>IF(COUNTBLANK(Hoja1!A291:I291)&gt;0,"Sí","No")</f>
        <v>No</v>
      </c>
      <c r="E291" s="3" t="str">
        <f>IF(COUNTIF(Hoja1!$A$2:$A$1000,Hoja1!A291)&gt;1,"Sí","No")</f>
        <v>No</v>
      </c>
      <c r="F291" s="3" t="str">
        <f>IF(COUNTIF(Hoja1!$G$2:$G$1000,Hoja1!G291)&gt;1,"Sí","No")</f>
        <v>No</v>
      </c>
      <c r="G291" s="3" t="str">
        <f>IF(OR(ISERROR(FIND("@",Hoja1!G291)),ISERROR(FIND(".",Hoja1!G291,FIND("@",Hoja1!G291)))),"Sí","No")</f>
        <v>No</v>
      </c>
      <c r="H291" s="3" t="str">
        <f>IF(LEN(Hoja1!F291)&lt;&gt;14,"Sí","No")</f>
        <v>No</v>
      </c>
      <c r="I291" s="3" t="str">
        <f>IF(Hoja1!C291&gt;Hoja1!H291,"Sí","No")</f>
        <v>No</v>
      </c>
      <c r="J291" s="3" t="str">
        <f>IF(SUMPRODUCT(--ISNUMBER(SEARCH({"0";"1";"2";"3";"4";"5";"6";"7";"8";"9"},Hoja1!D291)))=0,"Sí","No")</f>
        <v>No</v>
      </c>
      <c r="K291" s="3" t="str">
        <f t="shared" si="4"/>
        <v>No</v>
      </c>
    </row>
    <row r="292" spans="1:11" ht="15" customHeight="1" x14ac:dyDescent="0.3">
      <c r="A292" s="3" t="str">
        <f>Hoja1!A292</f>
        <v>C0291</v>
      </c>
      <c r="B292" s="3" t="str">
        <f>Hoja1!B292</f>
        <v>Anabel Pou Lasa</v>
      </c>
      <c r="C292" s="3" t="str">
        <f>IF(COUNTA(Hoja1!A292:I292)=0,"Sí","No")</f>
        <v>No</v>
      </c>
      <c r="D292" s="3" t="str">
        <f>IF(COUNTBLANK(Hoja1!A292:I292)&gt;0,"Sí","No")</f>
        <v>No</v>
      </c>
      <c r="E292" s="3" t="str">
        <f>IF(COUNTIF(Hoja1!$A$2:$A$1000,Hoja1!A292)&gt;1,"Sí","No")</f>
        <v>No</v>
      </c>
      <c r="F292" s="3" t="str">
        <f>IF(COUNTIF(Hoja1!$G$2:$G$1000,Hoja1!G292)&gt;1,"Sí","No")</f>
        <v>Sí</v>
      </c>
      <c r="G292" s="3" t="str">
        <f>IF(OR(ISERROR(FIND("@",Hoja1!G292)),ISERROR(FIND(".",Hoja1!G292,FIND("@",Hoja1!G292)))),"Sí","No")</f>
        <v>No</v>
      </c>
      <c r="H292" s="3" t="str">
        <f>IF(LEN(Hoja1!F292)&lt;&gt;14,"Sí","No")</f>
        <v>No</v>
      </c>
      <c r="I292" s="3" t="str">
        <f>IF(Hoja1!C292&gt;Hoja1!H292,"Sí","No")</f>
        <v>No</v>
      </c>
      <c r="J292" s="3" t="str">
        <f>IF(SUMPRODUCT(--ISNUMBER(SEARCH({"0";"1";"2";"3";"4";"5";"6";"7";"8";"9"},Hoja1!D292)))=0,"Sí","No")</f>
        <v>No</v>
      </c>
      <c r="K292" s="3" t="str">
        <f t="shared" si="4"/>
        <v>Sí</v>
      </c>
    </row>
    <row r="293" spans="1:11" ht="15" customHeight="1" x14ac:dyDescent="0.3">
      <c r="A293" s="3" t="str">
        <f>Hoja1!A293</f>
        <v>C0292</v>
      </c>
      <c r="B293" s="3" t="str">
        <f>Hoja1!B293</f>
        <v>Nadia Natividad Marco Flores</v>
      </c>
      <c r="C293" s="3" t="str">
        <f>IF(COUNTA(Hoja1!A293:I293)=0,"Sí","No")</f>
        <v>No</v>
      </c>
      <c r="D293" s="3" t="str">
        <f>IF(COUNTBLANK(Hoja1!A293:I293)&gt;0,"Sí","No")</f>
        <v>No</v>
      </c>
      <c r="E293" s="3" t="str">
        <f>IF(COUNTIF(Hoja1!$A$2:$A$1000,Hoja1!A293)&gt;1,"Sí","No")</f>
        <v>No</v>
      </c>
      <c r="F293" s="3" t="str">
        <f>IF(COUNTIF(Hoja1!$G$2:$G$1000,Hoja1!G293)&gt;1,"Sí","No")</f>
        <v>No</v>
      </c>
      <c r="G293" s="3" t="str">
        <f>IF(OR(ISERROR(FIND("@",Hoja1!G293)),ISERROR(FIND(".",Hoja1!G293,FIND("@",Hoja1!G293)))),"Sí","No")</f>
        <v>No</v>
      </c>
      <c r="H293" s="3" t="str">
        <f>IF(LEN(Hoja1!F293)&lt;&gt;14,"Sí","No")</f>
        <v>No</v>
      </c>
      <c r="I293" s="3" t="str">
        <f>IF(Hoja1!C293&gt;Hoja1!H293,"Sí","No")</f>
        <v>No</v>
      </c>
      <c r="J293" s="3" t="str">
        <f>IF(SUMPRODUCT(--ISNUMBER(SEARCH({"0";"1";"2";"3";"4";"5";"6";"7";"8";"9"},Hoja1!D293)))=0,"Sí","No")</f>
        <v>No</v>
      </c>
      <c r="K293" s="3" t="str">
        <f t="shared" si="4"/>
        <v>No</v>
      </c>
    </row>
    <row r="294" spans="1:11" ht="15" customHeight="1" x14ac:dyDescent="0.3">
      <c r="A294" s="3" t="str">
        <f>Hoja1!A294</f>
        <v>C0293</v>
      </c>
      <c r="B294" s="3" t="str">
        <f>Hoja1!B294</f>
        <v>Máximo Téllez Ferrera</v>
      </c>
      <c r="C294" s="3" t="str">
        <f>IF(COUNTA(Hoja1!A294:I294)=0,"Sí","No")</f>
        <v>No</v>
      </c>
      <c r="D294" s="3" t="str">
        <f>IF(COUNTBLANK(Hoja1!A294:I294)&gt;0,"Sí","No")</f>
        <v>No</v>
      </c>
      <c r="E294" s="3" t="str">
        <f>IF(COUNTIF(Hoja1!$A$2:$A$1000,Hoja1!A294)&gt;1,"Sí","No")</f>
        <v>No</v>
      </c>
      <c r="F294" s="3" t="str">
        <f>IF(COUNTIF(Hoja1!$G$2:$G$1000,Hoja1!G294)&gt;1,"Sí","No")</f>
        <v>No</v>
      </c>
      <c r="G294" s="3" t="str">
        <f>IF(OR(ISERROR(FIND("@",Hoja1!G294)),ISERROR(FIND(".",Hoja1!G294,FIND("@",Hoja1!G294)))),"Sí","No")</f>
        <v>No</v>
      </c>
      <c r="H294" s="3" t="str">
        <f>IF(LEN(Hoja1!F294)&lt;&gt;14,"Sí","No")</f>
        <v>No</v>
      </c>
      <c r="I294" s="3" t="str">
        <f>IF(Hoja1!C294&gt;Hoja1!H294,"Sí","No")</f>
        <v>No</v>
      </c>
      <c r="J294" s="3" t="str">
        <f>IF(SUMPRODUCT(--ISNUMBER(SEARCH({"0";"1";"2";"3";"4";"5";"6";"7";"8";"9"},Hoja1!D294)))=0,"Sí","No")</f>
        <v>No</v>
      </c>
      <c r="K294" s="3" t="str">
        <f t="shared" si="4"/>
        <v>No</v>
      </c>
    </row>
    <row r="295" spans="1:11" ht="15" customHeight="1" x14ac:dyDescent="0.3">
      <c r="A295" s="3" t="str">
        <f>Hoja1!A295</f>
        <v>C0294</v>
      </c>
      <c r="B295" s="3" t="str">
        <f>Hoja1!B295</f>
        <v>Gala Clarisa Ballesteros Llopis</v>
      </c>
      <c r="C295" s="3" t="str">
        <f>IF(COUNTA(Hoja1!A295:I295)=0,"Sí","No")</f>
        <v>No</v>
      </c>
      <c r="D295" s="3" t="str">
        <f>IF(COUNTBLANK(Hoja1!A295:I295)&gt;0,"Sí","No")</f>
        <v>No</v>
      </c>
      <c r="E295" s="3" t="str">
        <f>IF(COUNTIF(Hoja1!$A$2:$A$1000,Hoja1!A295)&gt;1,"Sí","No")</f>
        <v>No</v>
      </c>
      <c r="F295" s="3" t="str">
        <f>IF(COUNTIF(Hoja1!$G$2:$G$1000,Hoja1!G295)&gt;1,"Sí","No")</f>
        <v>No</v>
      </c>
      <c r="G295" s="3" t="str">
        <f>IF(OR(ISERROR(FIND("@",Hoja1!G295)),ISERROR(FIND(".",Hoja1!G295,FIND("@",Hoja1!G295)))),"Sí","No")</f>
        <v>No</v>
      </c>
      <c r="H295" s="3" t="str">
        <f>IF(LEN(Hoja1!F295)&lt;&gt;14,"Sí","No")</f>
        <v>No</v>
      </c>
      <c r="I295" s="3" t="str">
        <f>IF(Hoja1!C295&gt;Hoja1!H295,"Sí","No")</f>
        <v>No</v>
      </c>
      <c r="J295" s="3" t="str">
        <f>IF(SUMPRODUCT(--ISNUMBER(SEARCH({"0";"1";"2";"3";"4";"5";"6";"7";"8";"9"},Hoja1!D295)))=0,"Sí","No")</f>
        <v>No</v>
      </c>
      <c r="K295" s="3" t="str">
        <f t="shared" si="4"/>
        <v>No</v>
      </c>
    </row>
    <row r="296" spans="1:11" ht="15" customHeight="1" x14ac:dyDescent="0.3">
      <c r="A296" s="3" t="str">
        <f>Hoja1!A296</f>
        <v>C0295</v>
      </c>
      <c r="B296" s="3" t="str">
        <f>Hoja1!B296</f>
        <v>Amancio Aliaga Sierra</v>
      </c>
      <c r="C296" s="3" t="str">
        <f>IF(COUNTA(Hoja1!A296:I296)=0,"Sí","No")</f>
        <v>No</v>
      </c>
      <c r="D296" s="3" t="str">
        <f>IF(COUNTBLANK(Hoja1!A296:I296)&gt;0,"Sí","No")</f>
        <v>No</v>
      </c>
      <c r="E296" s="3" t="str">
        <f>IF(COUNTIF(Hoja1!$A$2:$A$1000,Hoja1!A296)&gt;1,"Sí","No")</f>
        <v>No</v>
      </c>
      <c r="F296" s="3" t="str">
        <f>IF(COUNTIF(Hoja1!$G$2:$G$1000,Hoja1!G296)&gt;1,"Sí","No")</f>
        <v>No</v>
      </c>
      <c r="G296" s="3" t="str">
        <f>IF(OR(ISERROR(FIND("@",Hoja1!G296)),ISERROR(FIND(".",Hoja1!G296,FIND("@",Hoja1!G296)))),"Sí","No")</f>
        <v>No</v>
      </c>
      <c r="H296" s="3" t="str">
        <f>IF(LEN(Hoja1!F296)&lt;&gt;14,"Sí","No")</f>
        <v>No</v>
      </c>
      <c r="I296" s="3" t="str">
        <f>IF(Hoja1!C296&gt;Hoja1!H296,"Sí","No")</f>
        <v>No</v>
      </c>
      <c r="J296" s="3" t="str">
        <f>IF(SUMPRODUCT(--ISNUMBER(SEARCH({"0";"1";"2";"3";"4";"5";"6";"7";"8";"9"},Hoja1!D296)))=0,"Sí","No")</f>
        <v>No</v>
      </c>
      <c r="K296" s="3" t="str">
        <f t="shared" si="4"/>
        <v>No</v>
      </c>
    </row>
    <row r="297" spans="1:11" ht="15" customHeight="1" x14ac:dyDescent="0.3">
      <c r="A297" s="3" t="str">
        <f>Hoja1!A297</f>
        <v>C0296</v>
      </c>
      <c r="B297" s="3" t="str">
        <f>Hoja1!B297</f>
        <v>César Nogués Tomás</v>
      </c>
      <c r="C297" s="3" t="str">
        <f>IF(COUNTA(Hoja1!A297:I297)=0,"Sí","No")</f>
        <v>No</v>
      </c>
      <c r="D297" s="3" t="str">
        <f>IF(COUNTBLANK(Hoja1!A297:I297)&gt;0,"Sí","No")</f>
        <v>No</v>
      </c>
      <c r="E297" s="3" t="str">
        <f>IF(COUNTIF(Hoja1!$A$2:$A$1000,Hoja1!A297)&gt;1,"Sí","No")</f>
        <v>No</v>
      </c>
      <c r="F297" s="3" t="str">
        <f>IF(COUNTIF(Hoja1!$G$2:$G$1000,Hoja1!G297)&gt;1,"Sí","No")</f>
        <v>No</v>
      </c>
      <c r="G297" s="3" t="str">
        <f>IF(OR(ISERROR(FIND("@",Hoja1!G297)),ISERROR(FIND(".",Hoja1!G297,FIND("@",Hoja1!G297)))),"Sí","No")</f>
        <v>No</v>
      </c>
      <c r="H297" s="3" t="str">
        <f>IF(LEN(Hoja1!F297)&lt;&gt;14,"Sí","No")</f>
        <v>No</v>
      </c>
      <c r="I297" s="3" t="str">
        <f>IF(Hoja1!C297&gt;Hoja1!H297,"Sí","No")</f>
        <v>No</v>
      </c>
      <c r="J297" s="3" t="str">
        <f>IF(SUMPRODUCT(--ISNUMBER(SEARCH({"0";"1";"2";"3";"4";"5";"6";"7";"8";"9"},Hoja1!D297)))=0,"Sí","No")</f>
        <v>No</v>
      </c>
      <c r="K297" s="3" t="str">
        <f t="shared" si="4"/>
        <v>No</v>
      </c>
    </row>
    <row r="298" spans="1:11" ht="15" customHeight="1" x14ac:dyDescent="0.3">
      <c r="A298" s="3" t="str">
        <f>Hoja1!A298</f>
        <v>C0297</v>
      </c>
      <c r="B298" s="3" t="str">
        <f>Hoja1!B298</f>
        <v>Brígida Jove Carretero</v>
      </c>
      <c r="C298" s="3" t="str">
        <f>IF(COUNTA(Hoja1!A298:I298)=0,"Sí","No")</f>
        <v>No</v>
      </c>
      <c r="D298" s="3" t="str">
        <f>IF(COUNTBLANK(Hoja1!A298:I298)&gt;0,"Sí","No")</f>
        <v>No</v>
      </c>
      <c r="E298" s="3" t="str">
        <f>IF(COUNTIF(Hoja1!$A$2:$A$1000,Hoja1!A298)&gt;1,"Sí","No")</f>
        <v>No</v>
      </c>
      <c r="F298" s="3" t="str">
        <f>IF(COUNTIF(Hoja1!$G$2:$G$1000,Hoja1!G298)&gt;1,"Sí","No")</f>
        <v>No</v>
      </c>
      <c r="G298" s="3" t="str">
        <f>IF(OR(ISERROR(FIND("@",Hoja1!G298)),ISERROR(FIND(".",Hoja1!G298,FIND("@",Hoja1!G298)))),"Sí","No")</f>
        <v>No</v>
      </c>
      <c r="H298" s="3" t="str">
        <f>IF(LEN(Hoja1!F298)&lt;&gt;14,"Sí","No")</f>
        <v>No</v>
      </c>
      <c r="I298" s="3" t="str">
        <f>IF(Hoja1!C298&gt;Hoja1!H298,"Sí","No")</f>
        <v>No</v>
      </c>
      <c r="J298" s="3" t="str">
        <f>IF(SUMPRODUCT(--ISNUMBER(SEARCH({"0";"1";"2";"3";"4";"5";"6";"7";"8";"9"},Hoja1!D298)))=0,"Sí","No")</f>
        <v>No</v>
      </c>
      <c r="K298" s="3" t="str">
        <f t="shared" si="4"/>
        <v>No</v>
      </c>
    </row>
    <row r="299" spans="1:11" ht="15" customHeight="1" x14ac:dyDescent="0.3">
      <c r="A299" s="3" t="str">
        <f>Hoja1!A299</f>
        <v>C0298</v>
      </c>
      <c r="B299" s="3" t="str">
        <f>Hoja1!B299</f>
        <v>Vito del Abad</v>
      </c>
      <c r="C299" s="3" t="str">
        <f>IF(COUNTA(Hoja1!A299:I299)=0,"Sí","No")</f>
        <v>No</v>
      </c>
      <c r="D299" s="3" t="str">
        <f>IF(COUNTBLANK(Hoja1!A299:I299)&gt;0,"Sí","No")</f>
        <v>No</v>
      </c>
      <c r="E299" s="3" t="str">
        <f>IF(COUNTIF(Hoja1!$A$2:$A$1000,Hoja1!A299)&gt;1,"Sí","No")</f>
        <v>No</v>
      </c>
      <c r="F299" s="3" t="str">
        <f>IF(COUNTIF(Hoja1!$G$2:$G$1000,Hoja1!G299)&gt;1,"Sí","No")</f>
        <v>No</v>
      </c>
      <c r="G299" s="3" t="str">
        <f>IF(OR(ISERROR(FIND("@",Hoja1!G299)),ISERROR(FIND(".",Hoja1!G299,FIND("@",Hoja1!G299)))),"Sí","No")</f>
        <v>No</v>
      </c>
      <c r="H299" s="3" t="str">
        <f>IF(LEN(Hoja1!F299)&lt;&gt;14,"Sí","No")</f>
        <v>No</v>
      </c>
      <c r="I299" s="3" t="str">
        <f>IF(Hoja1!C299&gt;Hoja1!H299,"Sí","No")</f>
        <v>No</v>
      </c>
      <c r="J299" s="3" t="str">
        <f>IF(SUMPRODUCT(--ISNUMBER(SEARCH({"0";"1";"2";"3";"4";"5";"6";"7";"8";"9"},Hoja1!D299)))=0,"Sí","No")</f>
        <v>No</v>
      </c>
      <c r="K299" s="3" t="str">
        <f t="shared" si="4"/>
        <v>No</v>
      </c>
    </row>
    <row r="300" spans="1:11" ht="15" customHeight="1" x14ac:dyDescent="0.3">
      <c r="A300" s="3" t="str">
        <f>Hoja1!A300</f>
        <v>C0299</v>
      </c>
      <c r="B300" s="3" t="str">
        <f>Hoja1!B300</f>
        <v>Nayara Fanny Juliá Sierra</v>
      </c>
      <c r="C300" s="3" t="str">
        <f>IF(COUNTA(Hoja1!A300:I300)=0,"Sí","No")</f>
        <v>No</v>
      </c>
      <c r="D300" s="3" t="str">
        <f>IF(COUNTBLANK(Hoja1!A300:I300)&gt;0,"Sí","No")</f>
        <v>No</v>
      </c>
      <c r="E300" s="3" t="str">
        <f>IF(COUNTIF(Hoja1!$A$2:$A$1000,Hoja1!A300)&gt;1,"Sí","No")</f>
        <v>No</v>
      </c>
      <c r="F300" s="3" t="str">
        <f>IF(COUNTIF(Hoja1!$G$2:$G$1000,Hoja1!G300)&gt;1,"Sí","No")</f>
        <v>No</v>
      </c>
      <c r="G300" s="3" t="str">
        <f>IF(OR(ISERROR(FIND("@",Hoja1!G300)),ISERROR(FIND(".",Hoja1!G300,FIND("@",Hoja1!G300)))),"Sí","No")</f>
        <v>No</v>
      </c>
      <c r="H300" s="3" t="str">
        <f>IF(LEN(Hoja1!F300)&lt;&gt;14,"Sí","No")</f>
        <v>No</v>
      </c>
      <c r="I300" s="3" t="str">
        <f>IF(Hoja1!C300&gt;Hoja1!H300,"Sí","No")</f>
        <v>No</v>
      </c>
      <c r="J300" s="3" t="str">
        <f>IF(SUMPRODUCT(--ISNUMBER(SEARCH({"0";"1";"2";"3";"4";"5";"6";"7";"8";"9"},Hoja1!D300)))=0,"Sí","No")</f>
        <v>No</v>
      </c>
      <c r="K300" s="3" t="str">
        <f t="shared" si="4"/>
        <v>No</v>
      </c>
    </row>
    <row r="301" spans="1:11" ht="15" customHeight="1" x14ac:dyDescent="0.3">
      <c r="A301" s="3" t="str">
        <f>Hoja1!A301</f>
        <v>C0300</v>
      </c>
      <c r="B301" s="3" t="str">
        <f>Hoja1!B301</f>
        <v>Isidoro Salas Marqués</v>
      </c>
      <c r="C301" s="3" t="str">
        <f>IF(COUNTA(Hoja1!A301:I301)=0,"Sí","No")</f>
        <v>No</v>
      </c>
      <c r="D301" s="3" t="str">
        <f>IF(COUNTBLANK(Hoja1!A301:I301)&gt;0,"Sí","No")</f>
        <v>No</v>
      </c>
      <c r="E301" s="3" t="str">
        <f>IF(COUNTIF(Hoja1!$A$2:$A$1000,Hoja1!A301)&gt;1,"Sí","No")</f>
        <v>No</v>
      </c>
      <c r="F301" s="3" t="str">
        <f>IF(COUNTIF(Hoja1!$G$2:$G$1000,Hoja1!G301)&gt;1,"Sí","No")</f>
        <v>No</v>
      </c>
      <c r="G301" s="3" t="str">
        <f>IF(OR(ISERROR(FIND("@",Hoja1!G301)),ISERROR(FIND(".",Hoja1!G301,FIND("@",Hoja1!G301)))),"Sí","No")</f>
        <v>No</v>
      </c>
      <c r="H301" s="3" t="str">
        <f>IF(LEN(Hoja1!F301)&lt;&gt;14,"Sí","No")</f>
        <v>No</v>
      </c>
      <c r="I301" s="3" t="str">
        <f>IF(Hoja1!C301&gt;Hoja1!H301,"Sí","No")</f>
        <v>No</v>
      </c>
      <c r="J301" s="3" t="str">
        <f>IF(SUMPRODUCT(--ISNUMBER(SEARCH({"0";"1";"2";"3";"4";"5";"6";"7";"8";"9"},Hoja1!D301)))=0,"Sí","No")</f>
        <v>No</v>
      </c>
      <c r="K301" s="3" t="str">
        <f t="shared" si="4"/>
        <v>No</v>
      </c>
    </row>
    <row r="302" spans="1:11" ht="15" customHeight="1" x14ac:dyDescent="0.3">
      <c r="A302" s="3" t="str">
        <f>Hoja1!A302</f>
        <v>C0301</v>
      </c>
      <c r="B302" s="3" t="str">
        <f>Hoja1!B302</f>
        <v>Vicente Palomino Adadia</v>
      </c>
      <c r="C302" s="3" t="str">
        <f>IF(COUNTA(Hoja1!A302:I302)=0,"Sí","No")</f>
        <v>No</v>
      </c>
      <c r="D302" s="3" t="str">
        <f>IF(COUNTBLANK(Hoja1!A302:I302)&gt;0,"Sí","No")</f>
        <v>No</v>
      </c>
      <c r="E302" s="3" t="str">
        <f>IF(COUNTIF(Hoja1!$A$2:$A$1000,Hoja1!A302)&gt;1,"Sí","No")</f>
        <v>No</v>
      </c>
      <c r="F302" s="3" t="str">
        <f>IF(COUNTIF(Hoja1!$G$2:$G$1000,Hoja1!G302)&gt;1,"Sí","No")</f>
        <v>No</v>
      </c>
      <c r="G302" s="3" t="str">
        <f>IF(OR(ISERROR(FIND("@",Hoja1!G302)),ISERROR(FIND(".",Hoja1!G302,FIND("@",Hoja1!G302)))),"Sí","No")</f>
        <v>No</v>
      </c>
      <c r="H302" s="3" t="str">
        <f>IF(LEN(Hoja1!F302)&lt;&gt;14,"Sí","No")</f>
        <v>No</v>
      </c>
      <c r="I302" s="3" t="str">
        <f>IF(Hoja1!C302&gt;Hoja1!H302,"Sí","No")</f>
        <v>No</v>
      </c>
      <c r="J302" s="3" t="str">
        <f>IF(SUMPRODUCT(--ISNUMBER(SEARCH({"0";"1";"2";"3";"4";"5";"6";"7";"8";"9"},Hoja1!D302)))=0,"Sí","No")</f>
        <v>No</v>
      </c>
      <c r="K302" s="3" t="str">
        <f t="shared" si="4"/>
        <v>No</v>
      </c>
    </row>
    <row r="303" spans="1:11" ht="15" customHeight="1" x14ac:dyDescent="0.3">
      <c r="A303" s="3" t="str">
        <f>Hoja1!A303</f>
        <v>C0302</v>
      </c>
      <c r="B303" s="3" t="str">
        <f>Hoja1!B303</f>
        <v>Sandalio de Figueroa</v>
      </c>
      <c r="C303" s="3" t="str">
        <f>IF(COUNTA(Hoja1!A303:I303)=0,"Sí","No")</f>
        <v>No</v>
      </c>
      <c r="D303" s="3" t="str">
        <f>IF(COUNTBLANK(Hoja1!A303:I303)&gt;0,"Sí","No")</f>
        <v>No</v>
      </c>
      <c r="E303" s="3" t="str">
        <f>IF(COUNTIF(Hoja1!$A$2:$A$1000,Hoja1!A303)&gt;1,"Sí","No")</f>
        <v>No</v>
      </c>
      <c r="F303" s="3" t="str">
        <f>IF(COUNTIF(Hoja1!$G$2:$G$1000,Hoja1!G303)&gt;1,"Sí","No")</f>
        <v>No</v>
      </c>
      <c r="G303" s="3" t="str">
        <f>IF(OR(ISERROR(FIND("@",Hoja1!G303)),ISERROR(FIND(".",Hoja1!G303,FIND("@",Hoja1!G303)))),"Sí","No")</f>
        <v>No</v>
      </c>
      <c r="H303" s="3" t="str">
        <f>IF(LEN(Hoja1!F303)&lt;&gt;14,"Sí","No")</f>
        <v>No</v>
      </c>
      <c r="I303" s="3" t="str">
        <f>IF(Hoja1!C303&gt;Hoja1!H303,"Sí","No")</f>
        <v>No</v>
      </c>
      <c r="J303" s="3" t="str">
        <f>IF(SUMPRODUCT(--ISNUMBER(SEARCH({"0";"1";"2";"3";"4";"5";"6";"7";"8";"9"},Hoja1!D303)))=0,"Sí","No")</f>
        <v>No</v>
      </c>
      <c r="K303" s="3" t="str">
        <f t="shared" si="4"/>
        <v>No</v>
      </c>
    </row>
    <row r="304" spans="1:11" ht="15" customHeight="1" x14ac:dyDescent="0.3">
      <c r="A304" s="3" t="str">
        <f>Hoja1!A304</f>
        <v>C0303</v>
      </c>
      <c r="B304" s="3" t="str">
        <f>Hoja1!B304</f>
        <v>Elodia Pinto</v>
      </c>
      <c r="C304" s="3" t="str">
        <f>IF(COUNTA(Hoja1!A304:I304)=0,"Sí","No")</f>
        <v>No</v>
      </c>
      <c r="D304" s="3" t="str">
        <f>IF(COUNTBLANK(Hoja1!A304:I304)&gt;0,"Sí","No")</f>
        <v>No</v>
      </c>
      <c r="E304" s="3" t="str">
        <f>IF(COUNTIF(Hoja1!$A$2:$A$1000,Hoja1!A304)&gt;1,"Sí","No")</f>
        <v>No</v>
      </c>
      <c r="F304" s="3" t="str">
        <f>IF(COUNTIF(Hoja1!$G$2:$G$1000,Hoja1!G304)&gt;1,"Sí","No")</f>
        <v>No</v>
      </c>
      <c r="G304" s="3" t="str">
        <f>IF(OR(ISERROR(FIND("@",Hoja1!G304)),ISERROR(FIND(".",Hoja1!G304,FIND("@",Hoja1!G304)))),"Sí","No")</f>
        <v>No</v>
      </c>
      <c r="H304" s="3" t="str">
        <f>IF(LEN(Hoja1!F304)&lt;&gt;14,"Sí","No")</f>
        <v>No</v>
      </c>
      <c r="I304" s="3" t="str">
        <f>IF(Hoja1!C304&gt;Hoja1!H304,"Sí","No")</f>
        <v>No</v>
      </c>
      <c r="J304" s="3" t="str">
        <f>IF(SUMPRODUCT(--ISNUMBER(SEARCH({"0";"1";"2";"3";"4";"5";"6";"7";"8";"9"},Hoja1!D304)))=0,"Sí","No")</f>
        <v>No</v>
      </c>
      <c r="K304" s="3" t="str">
        <f t="shared" si="4"/>
        <v>No</v>
      </c>
    </row>
    <row r="305" spans="1:11" ht="15" customHeight="1" x14ac:dyDescent="0.3">
      <c r="A305" s="3" t="str">
        <f>Hoja1!A305</f>
        <v>C0304</v>
      </c>
      <c r="B305" s="3" t="str">
        <f>Hoja1!B305</f>
        <v>Felipe Carro Ramis</v>
      </c>
      <c r="C305" s="3" t="str">
        <f>IF(COUNTA(Hoja1!A305:I305)=0,"Sí","No")</f>
        <v>No</v>
      </c>
      <c r="D305" s="3" t="str">
        <f>IF(COUNTBLANK(Hoja1!A305:I305)&gt;0,"Sí","No")</f>
        <v>No</v>
      </c>
      <c r="E305" s="3" t="str">
        <f>IF(COUNTIF(Hoja1!$A$2:$A$1000,Hoja1!A305)&gt;1,"Sí","No")</f>
        <v>No</v>
      </c>
      <c r="F305" s="3" t="str">
        <f>IF(COUNTIF(Hoja1!$G$2:$G$1000,Hoja1!G305)&gt;1,"Sí","No")</f>
        <v>No</v>
      </c>
      <c r="G305" s="3" t="str">
        <f>IF(OR(ISERROR(FIND("@",Hoja1!G305)),ISERROR(FIND(".",Hoja1!G305,FIND("@",Hoja1!G305)))),"Sí","No")</f>
        <v>No</v>
      </c>
      <c r="H305" s="3" t="str">
        <f>IF(LEN(Hoja1!F305)&lt;&gt;14,"Sí","No")</f>
        <v>No</v>
      </c>
      <c r="I305" s="3" t="str">
        <f>IF(Hoja1!C305&gt;Hoja1!H305,"Sí","No")</f>
        <v>No</v>
      </c>
      <c r="J305" s="3" t="str">
        <f>IF(SUMPRODUCT(--ISNUMBER(SEARCH({"0";"1";"2";"3";"4";"5";"6";"7";"8";"9"},Hoja1!D305)))=0,"Sí","No")</f>
        <v>No</v>
      </c>
      <c r="K305" s="3" t="str">
        <f t="shared" si="4"/>
        <v>No</v>
      </c>
    </row>
    <row r="306" spans="1:11" ht="15" customHeight="1" x14ac:dyDescent="0.3">
      <c r="A306" s="3" t="str">
        <f>Hoja1!A306</f>
        <v>C0305</v>
      </c>
      <c r="B306" s="3" t="str">
        <f>Hoja1!B306</f>
        <v>Ana Belén Alvarado Bueno</v>
      </c>
      <c r="C306" s="3" t="str">
        <f>IF(COUNTA(Hoja1!A306:I306)=0,"Sí","No")</f>
        <v>No</v>
      </c>
      <c r="D306" s="3" t="str">
        <f>IF(COUNTBLANK(Hoja1!A306:I306)&gt;0,"Sí","No")</f>
        <v>No</v>
      </c>
      <c r="E306" s="3" t="str">
        <f>IF(COUNTIF(Hoja1!$A$2:$A$1000,Hoja1!A306)&gt;1,"Sí","No")</f>
        <v>No</v>
      </c>
      <c r="F306" s="3" t="str">
        <f>IF(COUNTIF(Hoja1!$G$2:$G$1000,Hoja1!G306)&gt;1,"Sí","No")</f>
        <v>No</v>
      </c>
      <c r="G306" s="3" t="str">
        <f>IF(OR(ISERROR(FIND("@",Hoja1!G306)),ISERROR(FIND(".",Hoja1!G306,FIND("@",Hoja1!G306)))),"Sí","No")</f>
        <v>No</v>
      </c>
      <c r="H306" s="3" t="str">
        <f>IF(LEN(Hoja1!F306)&lt;&gt;14,"Sí","No")</f>
        <v>No</v>
      </c>
      <c r="I306" s="3" t="str">
        <f>IF(Hoja1!C306&gt;Hoja1!H306,"Sí","No")</f>
        <v>No</v>
      </c>
      <c r="J306" s="3" t="str">
        <f>IF(SUMPRODUCT(--ISNUMBER(SEARCH({"0";"1";"2";"3";"4";"5";"6";"7";"8";"9"},Hoja1!D306)))=0,"Sí","No")</f>
        <v>No</v>
      </c>
      <c r="K306" s="3" t="str">
        <f t="shared" si="4"/>
        <v>No</v>
      </c>
    </row>
    <row r="307" spans="1:11" ht="15" customHeight="1" x14ac:dyDescent="0.3">
      <c r="A307" s="3" t="str">
        <f>Hoja1!A307</f>
        <v>C0306</v>
      </c>
      <c r="B307" s="3" t="str">
        <f>Hoja1!B307</f>
        <v>Marisela Sanmiguel Pedraza</v>
      </c>
      <c r="C307" s="3" t="str">
        <f>IF(COUNTA(Hoja1!A307:I307)=0,"Sí","No")</f>
        <v>No</v>
      </c>
      <c r="D307" s="3" t="str">
        <f>IF(COUNTBLANK(Hoja1!A307:I307)&gt;0,"Sí","No")</f>
        <v>No</v>
      </c>
      <c r="E307" s="3" t="str">
        <f>IF(COUNTIF(Hoja1!$A$2:$A$1000,Hoja1!A307)&gt;1,"Sí","No")</f>
        <v>No</v>
      </c>
      <c r="F307" s="3" t="str">
        <f>IF(COUNTIF(Hoja1!$G$2:$G$1000,Hoja1!G307)&gt;1,"Sí","No")</f>
        <v>No</v>
      </c>
      <c r="G307" s="3" t="str">
        <f>IF(OR(ISERROR(FIND("@",Hoja1!G307)),ISERROR(FIND(".",Hoja1!G307,FIND("@",Hoja1!G307)))),"Sí","No")</f>
        <v>No</v>
      </c>
      <c r="H307" s="3" t="str">
        <f>IF(LEN(Hoja1!F307)&lt;&gt;14,"Sí","No")</f>
        <v>No</v>
      </c>
      <c r="I307" s="3" t="str">
        <f>IF(Hoja1!C307&gt;Hoja1!H307,"Sí","No")</f>
        <v>No</v>
      </c>
      <c r="J307" s="3" t="str">
        <f>IF(SUMPRODUCT(--ISNUMBER(SEARCH({"0";"1";"2";"3";"4";"5";"6";"7";"8";"9"},Hoja1!D307)))=0,"Sí","No")</f>
        <v>No</v>
      </c>
      <c r="K307" s="3" t="str">
        <f t="shared" si="4"/>
        <v>No</v>
      </c>
    </row>
    <row r="308" spans="1:11" ht="15" customHeight="1" x14ac:dyDescent="0.3">
      <c r="A308" s="3" t="str">
        <f>Hoja1!A308</f>
        <v>C0307</v>
      </c>
      <c r="B308" s="3" t="str">
        <f>Hoja1!B308</f>
        <v>Jesusa Benavente Ferrández</v>
      </c>
      <c r="C308" s="3" t="str">
        <f>IF(COUNTA(Hoja1!A308:I308)=0,"Sí","No")</f>
        <v>No</v>
      </c>
      <c r="D308" s="3" t="str">
        <f>IF(COUNTBLANK(Hoja1!A308:I308)&gt;0,"Sí","No")</f>
        <v>No</v>
      </c>
      <c r="E308" s="3" t="str">
        <f>IF(COUNTIF(Hoja1!$A$2:$A$1000,Hoja1!A308)&gt;1,"Sí","No")</f>
        <v>No</v>
      </c>
      <c r="F308" s="3" t="str">
        <f>IF(COUNTIF(Hoja1!$G$2:$G$1000,Hoja1!G308)&gt;1,"Sí","No")</f>
        <v>No</v>
      </c>
      <c r="G308" s="3" t="str">
        <f>IF(OR(ISERROR(FIND("@",Hoja1!G308)),ISERROR(FIND(".",Hoja1!G308,FIND("@",Hoja1!G308)))),"Sí","No")</f>
        <v>No</v>
      </c>
      <c r="H308" s="3" t="str">
        <f>IF(LEN(Hoja1!F308)&lt;&gt;14,"Sí","No")</f>
        <v>No</v>
      </c>
      <c r="I308" s="3" t="str">
        <f>IF(Hoja1!C308&gt;Hoja1!H308,"Sí","No")</f>
        <v>No</v>
      </c>
      <c r="J308" s="3" t="str">
        <f>IF(SUMPRODUCT(--ISNUMBER(SEARCH({"0";"1";"2";"3";"4";"5";"6";"7";"8";"9"},Hoja1!D308)))=0,"Sí","No")</f>
        <v>No</v>
      </c>
      <c r="K308" s="3" t="str">
        <f t="shared" si="4"/>
        <v>No</v>
      </c>
    </row>
    <row r="309" spans="1:11" ht="15" customHeight="1" x14ac:dyDescent="0.3">
      <c r="A309" s="3" t="str">
        <f>Hoja1!A309</f>
        <v>C0308</v>
      </c>
      <c r="B309" s="3" t="str">
        <f>Hoja1!B309</f>
        <v>Alonso Díaz Donoso</v>
      </c>
      <c r="C309" s="3" t="str">
        <f>IF(COUNTA(Hoja1!A309:I309)=0,"Sí","No")</f>
        <v>No</v>
      </c>
      <c r="D309" s="3" t="str">
        <f>IF(COUNTBLANK(Hoja1!A309:I309)&gt;0,"Sí","No")</f>
        <v>No</v>
      </c>
      <c r="E309" s="3" t="str">
        <f>IF(COUNTIF(Hoja1!$A$2:$A$1000,Hoja1!A309)&gt;1,"Sí","No")</f>
        <v>No</v>
      </c>
      <c r="F309" s="3" t="str">
        <f>IF(COUNTIF(Hoja1!$G$2:$G$1000,Hoja1!G309)&gt;1,"Sí","No")</f>
        <v>No</v>
      </c>
      <c r="G309" s="3" t="str">
        <f>IF(OR(ISERROR(FIND("@",Hoja1!G309)),ISERROR(FIND(".",Hoja1!G309,FIND("@",Hoja1!G309)))),"Sí","No")</f>
        <v>No</v>
      </c>
      <c r="H309" s="3" t="str">
        <f>IF(LEN(Hoja1!F309)&lt;&gt;14,"Sí","No")</f>
        <v>No</v>
      </c>
      <c r="I309" s="3" t="str">
        <f>IF(Hoja1!C309&gt;Hoja1!H309,"Sí","No")</f>
        <v>No</v>
      </c>
      <c r="J309" s="3" t="str">
        <f>IF(SUMPRODUCT(--ISNUMBER(SEARCH({"0";"1";"2";"3";"4";"5";"6";"7";"8";"9"},Hoja1!D309)))=0,"Sí","No")</f>
        <v>No</v>
      </c>
      <c r="K309" s="3" t="str">
        <f t="shared" si="4"/>
        <v>No</v>
      </c>
    </row>
    <row r="310" spans="1:11" ht="15" customHeight="1" x14ac:dyDescent="0.3">
      <c r="A310" s="3" t="str">
        <f>Hoja1!A310</f>
        <v>C0309</v>
      </c>
      <c r="B310" s="3" t="str">
        <f>Hoja1!B310</f>
        <v>Filomena Pombo Pla</v>
      </c>
      <c r="C310" s="3" t="str">
        <f>IF(COUNTA(Hoja1!A310:I310)=0,"Sí","No")</f>
        <v>No</v>
      </c>
      <c r="D310" s="3" t="str">
        <f>IF(COUNTBLANK(Hoja1!A310:I310)&gt;0,"Sí","No")</f>
        <v>No</v>
      </c>
      <c r="E310" s="3" t="str">
        <f>IF(COUNTIF(Hoja1!$A$2:$A$1000,Hoja1!A310)&gt;1,"Sí","No")</f>
        <v>No</v>
      </c>
      <c r="F310" s="3" t="str">
        <f>IF(COUNTIF(Hoja1!$G$2:$G$1000,Hoja1!G310)&gt;1,"Sí","No")</f>
        <v>No</v>
      </c>
      <c r="G310" s="3" t="str">
        <f>IF(OR(ISERROR(FIND("@",Hoja1!G310)),ISERROR(FIND(".",Hoja1!G310,FIND("@",Hoja1!G310)))),"Sí","No")</f>
        <v>No</v>
      </c>
      <c r="H310" s="3" t="str">
        <f>IF(LEN(Hoja1!F310)&lt;&gt;14,"Sí","No")</f>
        <v>No</v>
      </c>
      <c r="I310" s="3" t="str">
        <f>IF(Hoja1!C310&gt;Hoja1!H310,"Sí","No")</f>
        <v>No</v>
      </c>
      <c r="J310" s="3" t="str">
        <f>IF(SUMPRODUCT(--ISNUMBER(SEARCH({"0";"1";"2";"3";"4";"5";"6";"7";"8";"9"},Hoja1!D310)))=0,"Sí","No")</f>
        <v>No</v>
      </c>
      <c r="K310" s="3" t="str">
        <f t="shared" si="4"/>
        <v>No</v>
      </c>
    </row>
    <row r="311" spans="1:11" ht="15" customHeight="1" x14ac:dyDescent="0.3">
      <c r="A311" s="3" t="str">
        <f>Hoja1!A311</f>
        <v>C0310</v>
      </c>
      <c r="B311" s="3" t="str">
        <f>Hoja1!B311</f>
        <v>Cristóbal Cabello-Pol</v>
      </c>
      <c r="C311" s="3" t="str">
        <f>IF(COUNTA(Hoja1!A311:I311)=0,"Sí","No")</f>
        <v>No</v>
      </c>
      <c r="D311" s="3" t="str">
        <f>IF(COUNTBLANK(Hoja1!A311:I311)&gt;0,"Sí","No")</f>
        <v>No</v>
      </c>
      <c r="E311" s="3" t="str">
        <f>IF(COUNTIF(Hoja1!$A$2:$A$1000,Hoja1!A311)&gt;1,"Sí","No")</f>
        <v>No</v>
      </c>
      <c r="F311" s="3" t="str">
        <f>IF(COUNTIF(Hoja1!$G$2:$G$1000,Hoja1!G311)&gt;1,"Sí","No")</f>
        <v>No</v>
      </c>
      <c r="G311" s="3" t="str">
        <f>IF(OR(ISERROR(FIND("@",Hoja1!G311)),ISERROR(FIND(".",Hoja1!G311,FIND("@",Hoja1!G311)))),"Sí","No")</f>
        <v>No</v>
      </c>
      <c r="H311" s="3" t="str">
        <f>IF(LEN(Hoja1!F311)&lt;&gt;14,"Sí","No")</f>
        <v>No</v>
      </c>
      <c r="I311" s="3" t="str">
        <f>IF(Hoja1!C311&gt;Hoja1!H311,"Sí","No")</f>
        <v>No</v>
      </c>
      <c r="J311" s="3" t="str">
        <f>IF(SUMPRODUCT(--ISNUMBER(SEARCH({"0";"1";"2";"3";"4";"5";"6";"7";"8";"9"},Hoja1!D311)))=0,"Sí","No")</f>
        <v>No</v>
      </c>
      <c r="K311" s="3" t="str">
        <f t="shared" si="4"/>
        <v>No</v>
      </c>
    </row>
    <row r="312" spans="1:11" ht="15" customHeight="1" x14ac:dyDescent="0.3">
      <c r="A312" s="3" t="str">
        <f>Hoja1!A312</f>
        <v>C0311</v>
      </c>
      <c r="B312" s="3" t="str">
        <f>Hoja1!B312</f>
        <v>Maribel Murillo Alcaraz</v>
      </c>
      <c r="C312" s="3" t="str">
        <f>IF(COUNTA(Hoja1!A312:I312)=0,"Sí","No")</f>
        <v>No</v>
      </c>
      <c r="D312" s="3" t="str">
        <f>IF(COUNTBLANK(Hoja1!A312:I312)&gt;0,"Sí","No")</f>
        <v>No</v>
      </c>
      <c r="E312" s="3" t="str">
        <f>IF(COUNTIF(Hoja1!$A$2:$A$1000,Hoja1!A312)&gt;1,"Sí","No")</f>
        <v>No</v>
      </c>
      <c r="F312" s="3" t="str">
        <f>IF(COUNTIF(Hoja1!$G$2:$G$1000,Hoja1!G312)&gt;1,"Sí","No")</f>
        <v>No</v>
      </c>
      <c r="G312" s="3" t="str">
        <f>IF(OR(ISERROR(FIND("@",Hoja1!G312)),ISERROR(FIND(".",Hoja1!G312,FIND("@",Hoja1!G312)))),"Sí","No")</f>
        <v>No</v>
      </c>
      <c r="H312" s="3" t="str">
        <f>IF(LEN(Hoja1!F312)&lt;&gt;14,"Sí","No")</f>
        <v>No</v>
      </c>
      <c r="I312" s="3" t="str">
        <f>IF(Hoja1!C312&gt;Hoja1!H312,"Sí","No")</f>
        <v>No</v>
      </c>
      <c r="J312" s="3" t="str">
        <f>IF(SUMPRODUCT(--ISNUMBER(SEARCH({"0";"1";"2";"3";"4";"5";"6";"7";"8";"9"},Hoja1!D312)))=0,"Sí","No")</f>
        <v>No</v>
      </c>
      <c r="K312" s="3" t="str">
        <f t="shared" si="4"/>
        <v>No</v>
      </c>
    </row>
    <row r="313" spans="1:11" ht="15" customHeight="1" x14ac:dyDescent="0.3">
      <c r="A313" s="3" t="str">
        <f>Hoja1!A313</f>
        <v>C0312</v>
      </c>
      <c r="B313" s="3" t="str">
        <f>Hoja1!B313</f>
        <v>Mayte Cuesta Acosta</v>
      </c>
      <c r="C313" s="3" t="str">
        <f>IF(COUNTA(Hoja1!A313:I313)=0,"Sí","No")</f>
        <v>No</v>
      </c>
      <c r="D313" s="3" t="str">
        <f>IF(COUNTBLANK(Hoja1!A313:I313)&gt;0,"Sí","No")</f>
        <v>No</v>
      </c>
      <c r="E313" s="3" t="str">
        <f>IF(COUNTIF(Hoja1!$A$2:$A$1000,Hoja1!A313)&gt;1,"Sí","No")</f>
        <v>No</v>
      </c>
      <c r="F313" s="3" t="str">
        <f>IF(COUNTIF(Hoja1!$G$2:$G$1000,Hoja1!G313)&gt;1,"Sí","No")</f>
        <v>No</v>
      </c>
      <c r="G313" s="3" t="str">
        <f>IF(OR(ISERROR(FIND("@",Hoja1!G313)),ISERROR(FIND(".",Hoja1!G313,FIND("@",Hoja1!G313)))),"Sí","No")</f>
        <v>No</v>
      </c>
      <c r="H313" s="3" t="str">
        <f>IF(LEN(Hoja1!F313)&lt;&gt;14,"Sí","No")</f>
        <v>No</v>
      </c>
      <c r="I313" s="3" t="str">
        <f>IF(Hoja1!C313&gt;Hoja1!H313,"Sí","No")</f>
        <v>No</v>
      </c>
      <c r="J313" s="3" t="str">
        <f>IF(SUMPRODUCT(--ISNUMBER(SEARCH({"0";"1";"2";"3";"4";"5";"6";"7";"8";"9"},Hoja1!D313)))=0,"Sí","No")</f>
        <v>No</v>
      </c>
      <c r="K313" s="3" t="str">
        <f t="shared" si="4"/>
        <v>No</v>
      </c>
    </row>
    <row r="314" spans="1:11" ht="15" customHeight="1" x14ac:dyDescent="0.3">
      <c r="A314" s="3" t="str">
        <f>Hoja1!A314</f>
        <v>C0313</v>
      </c>
      <c r="B314" s="3" t="str">
        <f>Hoja1!B314</f>
        <v>Remigio Villalonga Roman</v>
      </c>
      <c r="C314" s="3" t="str">
        <f>IF(COUNTA(Hoja1!A314:I314)=0,"Sí","No")</f>
        <v>No</v>
      </c>
      <c r="D314" s="3" t="str">
        <f>IF(COUNTBLANK(Hoja1!A314:I314)&gt;0,"Sí","No")</f>
        <v>No</v>
      </c>
      <c r="E314" s="3" t="str">
        <f>IF(COUNTIF(Hoja1!$A$2:$A$1000,Hoja1!A314)&gt;1,"Sí","No")</f>
        <v>No</v>
      </c>
      <c r="F314" s="3" t="str">
        <f>IF(COUNTIF(Hoja1!$G$2:$G$1000,Hoja1!G314)&gt;1,"Sí","No")</f>
        <v>No</v>
      </c>
      <c r="G314" s="3" t="str">
        <f>IF(OR(ISERROR(FIND("@",Hoja1!G314)),ISERROR(FIND(".",Hoja1!G314,FIND("@",Hoja1!G314)))),"Sí","No")</f>
        <v>No</v>
      </c>
      <c r="H314" s="3" t="str">
        <f>IF(LEN(Hoja1!F314)&lt;&gt;14,"Sí","No")</f>
        <v>No</v>
      </c>
      <c r="I314" s="3" t="str">
        <f>IF(Hoja1!C314&gt;Hoja1!H314,"Sí","No")</f>
        <v>No</v>
      </c>
      <c r="J314" s="3" t="str">
        <f>IF(SUMPRODUCT(--ISNUMBER(SEARCH({"0";"1";"2";"3";"4";"5";"6";"7";"8";"9"},Hoja1!D314)))=0,"Sí","No")</f>
        <v>No</v>
      </c>
      <c r="K314" s="3" t="str">
        <f t="shared" si="4"/>
        <v>No</v>
      </c>
    </row>
    <row r="315" spans="1:11" ht="15" customHeight="1" x14ac:dyDescent="0.3">
      <c r="A315" s="3" t="str">
        <f>Hoja1!A315</f>
        <v>C0314</v>
      </c>
      <c r="B315" s="3" t="str">
        <f>Hoja1!B315</f>
        <v>Vanesa Villaverde</v>
      </c>
      <c r="C315" s="3" t="str">
        <f>IF(COUNTA(Hoja1!A315:I315)=0,"Sí","No")</f>
        <v>No</v>
      </c>
      <c r="D315" s="3" t="str">
        <f>IF(COUNTBLANK(Hoja1!A315:I315)&gt;0,"Sí","No")</f>
        <v>No</v>
      </c>
      <c r="E315" s="3" t="str">
        <f>IF(COUNTIF(Hoja1!$A$2:$A$1000,Hoja1!A315)&gt;1,"Sí","No")</f>
        <v>No</v>
      </c>
      <c r="F315" s="3" t="str">
        <f>IF(COUNTIF(Hoja1!$G$2:$G$1000,Hoja1!G315)&gt;1,"Sí","No")</f>
        <v>No</v>
      </c>
      <c r="G315" s="3" t="str">
        <f>IF(OR(ISERROR(FIND("@",Hoja1!G315)),ISERROR(FIND(".",Hoja1!G315,FIND("@",Hoja1!G315)))),"Sí","No")</f>
        <v>No</v>
      </c>
      <c r="H315" s="3" t="str">
        <f>IF(LEN(Hoja1!F315)&lt;&gt;14,"Sí","No")</f>
        <v>No</v>
      </c>
      <c r="I315" s="3" t="str">
        <f>IF(Hoja1!C315&gt;Hoja1!H315,"Sí","No")</f>
        <v>No</v>
      </c>
      <c r="J315" s="3" t="str">
        <f>IF(SUMPRODUCT(--ISNUMBER(SEARCH({"0";"1";"2";"3";"4";"5";"6";"7";"8";"9"},Hoja1!D315)))=0,"Sí","No")</f>
        <v>No</v>
      </c>
      <c r="K315" s="3" t="str">
        <f t="shared" si="4"/>
        <v>No</v>
      </c>
    </row>
    <row r="316" spans="1:11" ht="15" customHeight="1" x14ac:dyDescent="0.3">
      <c r="A316" s="3" t="str">
        <f>Hoja1!A316</f>
        <v>C0315</v>
      </c>
      <c r="B316" s="3" t="str">
        <f>Hoja1!B316</f>
        <v>Maristela Corbacho Alegria</v>
      </c>
      <c r="C316" s="3" t="str">
        <f>IF(COUNTA(Hoja1!A316:I316)=0,"Sí","No")</f>
        <v>No</v>
      </c>
      <c r="D316" s="3" t="str">
        <f>IF(COUNTBLANK(Hoja1!A316:I316)&gt;0,"Sí","No")</f>
        <v>No</v>
      </c>
      <c r="E316" s="3" t="str">
        <f>IF(COUNTIF(Hoja1!$A$2:$A$1000,Hoja1!A316)&gt;1,"Sí","No")</f>
        <v>No</v>
      </c>
      <c r="F316" s="3" t="str">
        <f>IF(COUNTIF(Hoja1!$G$2:$G$1000,Hoja1!G316)&gt;1,"Sí","No")</f>
        <v>No</v>
      </c>
      <c r="G316" s="3" t="str">
        <f>IF(OR(ISERROR(FIND("@",Hoja1!G316)),ISERROR(FIND(".",Hoja1!G316,FIND("@",Hoja1!G316)))),"Sí","No")</f>
        <v>No</v>
      </c>
      <c r="H316" s="3" t="str">
        <f>IF(LEN(Hoja1!F316)&lt;&gt;14,"Sí","No")</f>
        <v>No</v>
      </c>
      <c r="I316" s="3" t="str">
        <f>IF(Hoja1!C316&gt;Hoja1!H316,"Sí","No")</f>
        <v>No</v>
      </c>
      <c r="J316" s="3" t="str">
        <f>IF(SUMPRODUCT(--ISNUMBER(SEARCH({"0";"1";"2";"3";"4";"5";"6";"7";"8";"9"},Hoja1!D316)))=0,"Sí","No")</f>
        <v>No</v>
      </c>
      <c r="K316" s="3" t="str">
        <f t="shared" si="4"/>
        <v>No</v>
      </c>
    </row>
    <row r="317" spans="1:11" ht="15" customHeight="1" x14ac:dyDescent="0.3">
      <c r="A317" s="3" t="str">
        <f>Hoja1!A317</f>
        <v>C0316</v>
      </c>
      <c r="B317" s="3" t="str">
        <f>Hoja1!B317</f>
        <v>Manuelita Cervera Botella</v>
      </c>
      <c r="C317" s="3" t="str">
        <f>IF(COUNTA(Hoja1!A317:I317)=0,"Sí","No")</f>
        <v>No</v>
      </c>
      <c r="D317" s="3" t="str">
        <f>IF(COUNTBLANK(Hoja1!A317:I317)&gt;0,"Sí","No")</f>
        <v>No</v>
      </c>
      <c r="E317" s="3" t="str">
        <f>IF(COUNTIF(Hoja1!$A$2:$A$1000,Hoja1!A317)&gt;1,"Sí","No")</f>
        <v>No</v>
      </c>
      <c r="F317" s="3" t="str">
        <f>IF(COUNTIF(Hoja1!$G$2:$G$1000,Hoja1!G317)&gt;1,"Sí","No")</f>
        <v>No</v>
      </c>
      <c r="G317" s="3" t="str">
        <f>IF(OR(ISERROR(FIND("@",Hoja1!G317)),ISERROR(FIND(".",Hoja1!G317,FIND("@",Hoja1!G317)))),"Sí","No")</f>
        <v>No</v>
      </c>
      <c r="H317" s="3" t="str">
        <f>IF(LEN(Hoja1!F317)&lt;&gt;14,"Sí","No")</f>
        <v>No</v>
      </c>
      <c r="I317" s="3" t="str">
        <f>IF(Hoja1!C317&gt;Hoja1!H317,"Sí","No")</f>
        <v>No</v>
      </c>
      <c r="J317" s="3" t="str">
        <f>IF(SUMPRODUCT(--ISNUMBER(SEARCH({"0";"1";"2";"3";"4";"5";"6";"7";"8";"9"},Hoja1!D317)))=0,"Sí","No")</f>
        <v>No</v>
      </c>
      <c r="K317" s="3" t="str">
        <f t="shared" si="4"/>
        <v>No</v>
      </c>
    </row>
    <row r="318" spans="1:11" ht="15" customHeight="1" x14ac:dyDescent="0.3">
      <c r="A318" s="3" t="str">
        <f>Hoja1!A318</f>
        <v>C0317</v>
      </c>
      <c r="B318" s="3" t="str">
        <f>Hoja1!B318</f>
        <v>Borja Canet Gallo</v>
      </c>
      <c r="C318" s="3" t="str">
        <f>IF(COUNTA(Hoja1!A318:I318)=0,"Sí","No")</f>
        <v>No</v>
      </c>
      <c r="D318" s="3" t="str">
        <f>IF(COUNTBLANK(Hoja1!A318:I318)&gt;0,"Sí","No")</f>
        <v>No</v>
      </c>
      <c r="E318" s="3" t="str">
        <f>IF(COUNTIF(Hoja1!$A$2:$A$1000,Hoja1!A318)&gt;1,"Sí","No")</f>
        <v>No</v>
      </c>
      <c r="F318" s="3" t="str">
        <f>IF(COUNTIF(Hoja1!$G$2:$G$1000,Hoja1!G318)&gt;1,"Sí","No")</f>
        <v>No</v>
      </c>
      <c r="G318" s="3" t="str">
        <f>IF(OR(ISERROR(FIND("@",Hoja1!G318)),ISERROR(FIND(".",Hoja1!G318,FIND("@",Hoja1!G318)))),"Sí","No")</f>
        <v>No</v>
      </c>
      <c r="H318" s="3" t="str">
        <f>IF(LEN(Hoja1!F318)&lt;&gt;14,"Sí","No")</f>
        <v>No</v>
      </c>
      <c r="I318" s="3" t="str">
        <f>IF(Hoja1!C318&gt;Hoja1!H318,"Sí","No")</f>
        <v>No</v>
      </c>
      <c r="J318" s="3" t="str">
        <f>IF(SUMPRODUCT(--ISNUMBER(SEARCH({"0";"1";"2";"3";"4";"5";"6";"7";"8";"9"},Hoja1!D318)))=0,"Sí","No")</f>
        <v>No</v>
      </c>
      <c r="K318" s="3" t="str">
        <f t="shared" si="4"/>
        <v>No</v>
      </c>
    </row>
    <row r="319" spans="1:11" ht="15" customHeight="1" x14ac:dyDescent="0.3">
      <c r="A319" s="3" t="str">
        <f>Hoja1!A319</f>
        <v>C0318</v>
      </c>
      <c r="B319" s="3" t="str">
        <f>Hoja1!B319</f>
        <v>Clotilde Chita Fábregas Toro</v>
      </c>
      <c r="C319" s="3" t="str">
        <f>IF(COUNTA(Hoja1!A319:I319)=0,"Sí","No")</f>
        <v>No</v>
      </c>
      <c r="D319" s="3" t="str">
        <f>IF(COUNTBLANK(Hoja1!A319:I319)&gt;0,"Sí","No")</f>
        <v>No</v>
      </c>
      <c r="E319" s="3" t="str">
        <f>IF(COUNTIF(Hoja1!$A$2:$A$1000,Hoja1!A319)&gt;1,"Sí","No")</f>
        <v>No</v>
      </c>
      <c r="F319" s="3" t="str">
        <f>IF(COUNTIF(Hoja1!$G$2:$G$1000,Hoja1!G319)&gt;1,"Sí","No")</f>
        <v>No</v>
      </c>
      <c r="G319" s="3" t="str">
        <f>IF(OR(ISERROR(FIND("@",Hoja1!G319)),ISERROR(FIND(".",Hoja1!G319,FIND("@",Hoja1!G319)))),"Sí","No")</f>
        <v>No</v>
      </c>
      <c r="H319" s="3" t="str">
        <f>IF(LEN(Hoja1!F319)&lt;&gt;14,"Sí","No")</f>
        <v>No</v>
      </c>
      <c r="I319" s="3" t="str">
        <f>IF(Hoja1!C319&gt;Hoja1!H319,"Sí","No")</f>
        <v>No</v>
      </c>
      <c r="J319" s="3" t="str">
        <f>IF(SUMPRODUCT(--ISNUMBER(SEARCH({"0";"1";"2";"3";"4";"5";"6";"7";"8";"9"},Hoja1!D319)))=0,"Sí","No")</f>
        <v>No</v>
      </c>
      <c r="K319" s="3" t="str">
        <f t="shared" si="4"/>
        <v>No</v>
      </c>
    </row>
    <row r="320" spans="1:11" ht="15" customHeight="1" x14ac:dyDescent="0.3">
      <c r="A320" s="3" t="str">
        <f>Hoja1!A320</f>
        <v>C0319</v>
      </c>
      <c r="B320" s="3" t="str">
        <f>Hoja1!B320</f>
        <v>Olimpia Girona Paredes</v>
      </c>
      <c r="C320" s="3" t="str">
        <f>IF(COUNTA(Hoja1!A320:I320)=0,"Sí","No")</f>
        <v>No</v>
      </c>
      <c r="D320" s="3" t="str">
        <f>IF(COUNTBLANK(Hoja1!A320:I320)&gt;0,"Sí","No")</f>
        <v>No</v>
      </c>
      <c r="E320" s="3" t="str">
        <f>IF(COUNTIF(Hoja1!$A$2:$A$1000,Hoja1!A320)&gt;1,"Sí","No")</f>
        <v>No</v>
      </c>
      <c r="F320" s="3" t="str">
        <f>IF(COUNTIF(Hoja1!$G$2:$G$1000,Hoja1!G320)&gt;1,"Sí","No")</f>
        <v>No</v>
      </c>
      <c r="G320" s="3" t="str">
        <f>IF(OR(ISERROR(FIND("@",Hoja1!G320)),ISERROR(FIND(".",Hoja1!G320,FIND("@",Hoja1!G320)))),"Sí","No")</f>
        <v>No</v>
      </c>
      <c r="H320" s="3" t="str">
        <f>IF(LEN(Hoja1!F320)&lt;&gt;14,"Sí","No")</f>
        <v>No</v>
      </c>
      <c r="I320" s="3" t="str">
        <f>IF(Hoja1!C320&gt;Hoja1!H320,"Sí","No")</f>
        <v>No</v>
      </c>
      <c r="J320" s="3" t="str">
        <f>IF(SUMPRODUCT(--ISNUMBER(SEARCH({"0";"1";"2";"3";"4";"5";"6";"7";"8";"9"},Hoja1!D320)))=0,"Sí","No")</f>
        <v>No</v>
      </c>
      <c r="K320" s="3" t="str">
        <f t="shared" si="4"/>
        <v>No</v>
      </c>
    </row>
    <row r="321" spans="1:11" ht="15" customHeight="1" x14ac:dyDescent="0.3">
      <c r="A321" s="3" t="str">
        <f>Hoja1!A321</f>
        <v>C0320</v>
      </c>
      <c r="B321" s="3" t="str">
        <f>Hoja1!B321</f>
        <v>Rubén de Arribas</v>
      </c>
      <c r="C321" s="3" t="str">
        <f>IF(COUNTA(Hoja1!A321:I321)=0,"Sí","No")</f>
        <v>No</v>
      </c>
      <c r="D321" s="3" t="str">
        <f>IF(COUNTBLANK(Hoja1!A321:I321)&gt;0,"Sí","No")</f>
        <v>No</v>
      </c>
      <c r="E321" s="3" t="str">
        <f>IF(COUNTIF(Hoja1!$A$2:$A$1000,Hoja1!A321)&gt;1,"Sí","No")</f>
        <v>No</v>
      </c>
      <c r="F321" s="3" t="str">
        <f>IF(COUNTIF(Hoja1!$G$2:$G$1000,Hoja1!G321)&gt;1,"Sí","No")</f>
        <v>No</v>
      </c>
      <c r="G321" s="3" t="str">
        <f>IF(OR(ISERROR(FIND("@",Hoja1!G321)),ISERROR(FIND(".",Hoja1!G321,FIND("@",Hoja1!G321)))),"Sí","No")</f>
        <v>No</v>
      </c>
      <c r="H321" s="3" t="str">
        <f>IF(LEN(Hoja1!F321)&lt;&gt;14,"Sí","No")</f>
        <v>No</v>
      </c>
      <c r="I321" s="3" t="str">
        <f>IF(Hoja1!C321&gt;Hoja1!H321,"Sí","No")</f>
        <v>No</v>
      </c>
      <c r="J321" s="3" t="str">
        <f>IF(SUMPRODUCT(--ISNUMBER(SEARCH({"0";"1";"2";"3";"4";"5";"6";"7";"8";"9"},Hoja1!D321)))=0,"Sí","No")</f>
        <v>No</v>
      </c>
      <c r="K321" s="3" t="str">
        <f t="shared" si="4"/>
        <v>No</v>
      </c>
    </row>
    <row r="322" spans="1:11" ht="15" customHeight="1" x14ac:dyDescent="0.3">
      <c r="A322" s="3" t="str">
        <f>Hoja1!A322</f>
        <v>C0321</v>
      </c>
      <c r="B322" s="3" t="str">
        <f>Hoja1!B322</f>
        <v>Édgar Manu Suárez Anglada</v>
      </c>
      <c r="C322" s="3" t="str">
        <f>IF(COUNTA(Hoja1!A322:I322)=0,"Sí","No")</f>
        <v>No</v>
      </c>
      <c r="D322" s="3" t="str">
        <f>IF(COUNTBLANK(Hoja1!A322:I322)&gt;0,"Sí","No")</f>
        <v>No</v>
      </c>
      <c r="E322" s="3" t="str">
        <f>IF(COUNTIF(Hoja1!$A$2:$A$1000,Hoja1!A322)&gt;1,"Sí","No")</f>
        <v>No</v>
      </c>
      <c r="F322" s="3" t="str">
        <f>IF(COUNTIF(Hoja1!$G$2:$G$1000,Hoja1!G322)&gt;1,"Sí","No")</f>
        <v>No</v>
      </c>
      <c r="G322" s="3" t="str">
        <f>IF(OR(ISERROR(FIND("@",Hoja1!G322)),ISERROR(FIND(".",Hoja1!G322,FIND("@",Hoja1!G322)))),"Sí","No")</f>
        <v>No</v>
      </c>
      <c r="H322" s="3" t="str">
        <f>IF(LEN(Hoja1!F322)&lt;&gt;14,"Sí","No")</f>
        <v>No</v>
      </c>
      <c r="I322" s="3" t="str">
        <f>IF(Hoja1!C322&gt;Hoja1!H322,"Sí","No")</f>
        <v>No</v>
      </c>
      <c r="J322" s="3" t="str">
        <f>IF(SUMPRODUCT(--ISNUMBER(SEARCH({"0";"1";"2";"3";"4";"5";"6";"7";"8";"9"},Hoja1!D322)))=0,"Sí","No")</f>
        <v>No</v>
      </c>
      <c r="K322" s="3" t="str">
        <f t="shared" ref="K322:K385" si="5">IF(COUNTIF(C322:J322,"Sí")&gt;0,"Sí","No")</f>
        <v>No</v>
      </c>
    </row>
    <row r="323" spans="1:11" ht="15" customHeight="1" x14ac:dyDescent="0.3">
      <c r="A323" s="3" t="str">
        <f>Hoja1!A323</f>
        <v>C0322</v>
      </c>
      <c r="B323" s="3" t="str">
        <f>Hoja1!B323</f>
        <v>Luna Morcillo Carretero</v>
      </c>
      <c r="C323" s="3" t="str">
        <f>IF(COUNTA(Hoja1!A323:I323)=0,"Sí","No")</f>
        <v>No</v>
      </c>
      <c r="D323" s="3" t="str">
        <f>IF(COUNTBLANK(Hoja1!A323:I323)&gt;0,"Sí","No")</f>
        <v>No</v>
      </c>
      <c r="E323" s="3" t="str">
        <f>IF(COUNTIF(Hoja1!$A$2:$A$1000,Hoja1!A323)&gt;1,"Sí","No")</f>
        <v>No</v>
      </c>
      <c r="F323" s="3" t="str">
        <f>IF(COUNTIF(Hoja1!$G$2:$G$1000,Hoja1!G323)&gt;1,"Sí","No")</f>
        <v>No</v>
      </c>
      <c r="G323" s="3" t="str">
        <f>IF(OR(ISERROR(FIND("@",Hoja1!G323)),ISERROR(FIND(".",Hoja1!G323,FIND("@",Hoja1!G323)))),"Sí","No")</f>
        <v>No</v>
      </c>
      <c r="H323" s="3" t="str">
        <f>IF(LEN(Hoja1!F323)&lt;&gt;14,"Sí","No")</f>
        <v>No</v>
      </c>
      <c r="I323" s="3" t="str">
        <f>IF(Hoja1!C323&gt;Hoja1!H323,"Sí","No")</f>
        <v>No</v>
      </c>
      <c r="J323" s="3" t="str">
        <f>IF(SUMPRODUCT(--ISNUMBER(SEARCH({"0";"1";"2";"3";"4";"5";"6";"7";"8";"9"},Hoja1!D323)))=0,"Sí","No")</f>
        <v>No</v>
      </c>
      <c r="K323" s="3" t="str">
        <f t="shared" si="5"/>
        <v>No</v>
      </c>
    </row>
    <row r="324" spans="1:11" ht="15" customHeight="1" x14ac:dyDescent="0.3">
      <c r="A324" s="3" t="str">
        <f>Hoja1!A324</f>
        <v>C0323</v>
      </c>
      <c r="B324" s="3" t="str">
        <f>Hoja1!B324</f>
        <v>Eladio Salcedo Cabanillas</v>
      </c>
      <c r="C324" s="3" t="str">
        <f>IF(COUNTA(Hoja1!A324:I324)=0,"Sí","No")</f>
        <v>No</v>
      </c>
      <c r="D324" s="3" t="str">
        <f>IF(COUNTBLANK(Hoja1!A324:I324)&gt;0,"Sí","No")</f>
        <v>No</v>
      </c>
      <c r="E324" s="3" t="str">
        <f>IF(COUNTIF(Hoja1!$A$2:$A$1000,Hoja1!A324)&gt;1,"Sí","No")</f>
        <v>No</v>
      </c>
      <c r="F324" s="3" t="str">
        <f>IF(COUNTIF(Hoja1!$G$2:$G$1000,Hoja1!G324)&gt;1,"Sí","No")</f>
        <v>No</v>
      </c>
      <c r="G324" s="3" t="str">
        <f>IF(OR(ISERROR(FIND("@",Hoja1!G324)),ISERROR(FIND(".",Hoja1!G324,FIND("@",Hoja1!G324)))),"Sí","No")</f>
        <v>No</v>
      </c>
      <c r="H324" s="3" t="str">
        <f>IF(LEN(Hoja1!F324)&lt;&gt;14,"Sí","No")</f>
        <v>No</v>
      </c>
      <c r="I324" s="3" t="str">
        <f>IF(Hoja1!C324&gt;Hoja1!H324,"Sí","No")</f>
        <v>No</v>
      </c>
      <c r="J324" s="3" t="str">
        <f>IF(SUMPRODUCT(--ISNUMBER(SEARCH({"0";"1";"2";"3";"4";"5";"6";"7";"8";"9"},Hoja1!D324)))=0,"Sí","No")</f>
        <v>No</v>
      </c>
      <c r="K324" s="3" t="str">
        <f t="shared" si="5"/>
        <v>No</v>
      </c>
    </row>
    <row r="325" spans="1:11" ht="15" customHeight="1" x14ac:dyDescent="0.3">
      <c r="A325" s="3" t="str">
        <f>Hoja1!A325</f>
        <v>C0324</v>
      </c>
      <c r="B325" s="3" t="str">
        <f>Hoja1!B325</f>
        <v>Gisela Cámara Duarte</v>
      </c>
      <c r="C325" s="3" t="str">
        <f>IF(COUNTA(Hoja1!A325:I325)=0,"Sí","No")</f>
        <v>No</v>
      </c>
      <c r="D325" s="3" t="str">
        <f>IF(COUNTBLANK(Hoja1!A325:I325)&gt;0,"Sí","No")</f>
        <v>No</v>
      </c>
      <c r="E325" s="3" t="str">
        <f>IF(COUNTIF(Hoja1!$A$2:$A$1000,Hoja1!A325)&gt;1,"Sí","No")</f>
        <v>No</v>
      </c>
      <c r="F325" s="3" t="str">
        <f>IF(COUNTIF(Hoja1!$G$2:$G$1000,Hoja1!G325)&gt;1,"Sí","No")</f>
        <v>No</v>
      </c>
      <c r="G325" s="3" t="str">
        <f>IF(OR(ISERROR(FIND("@",Hoja1!G325)),ISERROR(FIND(".",Hoja1!G325,FIND("@",Hoja1!G325)))),"Sí","No")</f>
        <v>No</v>
      </c>
      <c r="H325" s="3" t="str">
        <f>IF(LEN(Hoja1!F325)&lt;&gt;14,"Sí","No")</f>
        <v>No</v>
      </c>
      <c r="I325" s="3" t="str">
        <f>IF(Hoja1!C325&gt;Hoja1!H325,"Sí","No")</f>
        <v>No</v>
      </c>
      <c r="J325" s="3" t="str">
        <f>IF(SUMPRODUCT(--ISNUMBER(SEARCH({"0";"1";"2";"3";"4";"5";"6";"7";"8";"9"},Hoja1!D325)))=0,"Sí","No")</f>
        <v>No</v>
      </c>
      <c r="K325" s="3" t="str">
        <f t="shared" si="5"/>
        <v>No</v>
      </c>
    </row>
    <row r="326" spans="1:11" ht="15" customHeight="1" x14ac:dyDescent="0.3">
      <c r="A326" s="3" t="str">
        <f>Hoja1!A326</f>
        <v>C0325</v>
      </c>
      <c r="B326" s="3" t="str">
        <f>Hoja1!B326</f>
        <v>Nicanor de Moliner</v>
      </c>
      <c r="C326" s="3" t="str">
        <f>IF(COUNTA(Hoja1!A326:I326)=0,"Sí","No")</f>
        <v>No</v>
      </c>
      <c r="D326" s="3" t="str">
        <f>IF(COUNTBLANK(Hoja1!A326:I326)&gt;0,"Sí","No")</f>
        <v>No</v>
      </c>
      <c r="E326" s="3" t="str">
        <f>IF(COUNTIF(Hoja1!$A$2:$A$1000,Hoja1!A326)&gt;1,"Sí","No")</f>
        <v>No</v>
      </c>
      <c r="F326" s="3" t="str">
        <f>IF(COUNTIF(Hoja1!$G$2:$G$1000,Hoja1!G326)&gt;1,"Sí","No")</f>
        <v>Sí</v>
      </c>
      <c r="G326" s="3" t="str">
        <f>IF(OR(ISERROR(FIND("@",Hoja1!G326)),ISERROR(FIND(".",Hoja1!G326,FIND("@",Hoja1!G326)))),"Sí","No")</f>
        <v>No</v>
      </c>
      <c r="H326" s="3" t="str">
        <f>IF(LEN(Hoja1!F326)&lt;&gt;14,"Sí","No")</f>
        <v>No</v>
      </c>
      <c r="I326" s="3" t="str">
        <f>IF(Hoja1!C326&gt;Hoja1!H326,"Sí","No")</f>
        <v>No</v>
      </c>
      <c r="J326" s="3" t="str">
        <f>IF(SUMPRODUCT(--ISNUMBER(SEARCH({"0";"1";"2";"3";"4";"5";"6";"7";"8";"9"},Hoja1!D326)))=0,"Sí","No")</f>
        <v>No</v>
      </c>
      <c r="K326" s="3" t="str">
        <f t="shared" si="5"/>
        <v>Sí</v>
      </c>
    </row>
    <row r="327" spans="1:11" ht="15" customHeight="1" x14ac:dyDescent="0.3">
      <c r="A327" s="3" t="str">
        <f>Hoja1!A327</f>
        <v>C0326</v>
      </c>
      <c r="B327" s="3" t="str">
        <f>Hoja1!B327</f>
        <v>Rosario Paz Figueroa</v>
      </c>
      <c r="C327" s="3" t="str">
        <f>IF(COUNTA(Hoja1!A327:I327)=0,"Sí","No")</f>
        <v>No</v>
      </c>
      <c r="D327" s="3" t="str">
        <f>IF(COUNTBLANK(Hoja1!A327:I327)&gt;0,"Sí","No")</f>
        <v>No</v>
      </c>
      <c r="E327" s="3" t="str">
        <f>IF(COUNTIF(Hoja1!$A$2:$A$1000,Hoja1!A327)&gt;1,"Sí","No")</f>
        <v>No</v>
      </c>
      <c r="F327" s="3" t="str">
        <f>IF(COUNTIF(Hoja1!$G$2:$G$1000,Hoja1!G327)&gt;1,"Sí","No")</f>
        <v>No</v>
      </c>
      <c r="G327" s="3" t="str">
        <f>IF(OR(ISERROR(FIND("@",Hoja1!G327)),ISERROR(FIND(".",Hoja1!G327,FIND("@",Hoja1!G327)))),"Sí","No")</f>
        <v>No</v>
      </c>
      <c r="H327" s="3" t="str">
        <f>IF(LEN(Hoja1!F327)&lt;&gt;14,"Sí","No")</f>
        <v>No</v>
      </c>
      <c r="I327" s="3" t="str">
        <f>IF(Hoja1!C327&gt;Hoja1!H327,"Sí","No")</f>
        <v>No</v>
      </c>
      <c r="J327" s="3" t="str">
        <f>IF(SUMPRODUCT(--ISNUMBER(SEARCH({"0";"1";"2";"3";"4";"5";"6";"7";"8";"9"},Hoja1!D327)))=0,"Sí","No")</f>
        <v>No</v>
      </c>
      <c r="K327" s="3" t="str">
        <f t="shared" si="5"/>
        <v>No</v>
      </c>
    </row>
    <row r="328" spans="1:11" ht="15" customHeight="1" x14ac:dyDescent="0.3">
      <c r="A328" s="3" t="str">
        <f>Hoja1!A328</f>
        <v>C0327</v>
      </c>
      <c r="B328" s="3" t="str">
        <f>Hoja1!B328</f>
        <v>Gloria Esteve Perez</v>
      </c>
      <c r="C328" s="3" t="str">
        <f>IF(COUNTA(Hoja1!A328:I328)=0,"Sí","No")</f>
        <v>No</v>
      </c>
      <c r="D328" s="3" t="str">
        <f>IF(COUNTBLANK(Hoja1!A328:I328)&gt;0,"Sí","No")</f>
        <v>No</v>
      </c>
      <c r="E328" s="3" t="str">
        <f>IF(COUNTIF(Hoja1!$A$2:$A$1000,Hoja1!A328)&gt;1,"Sí","No")</f>
        <v>No</v>
      </c>
      <c r="F328" s="3" t="str">
        <f>IF(COUNTIF(Hoja1!$G$2:$G$1000,Hoja1!G328)&gt;1,"Sí","No")</f>
        <v>No</v>
      </c>
      <c r="G328" s="3" t="str">
        <f>IF(OR(ISERROR(FIND("@",Hoja1!G328)),ISERROR(FIND(".",Hoja1!G328,FIND("@",Hoja1!G328)))),"Sí","No")</f>
        <v>No</v>
      </c>
      <c r="H328" s="3" t="str">
        <f>IF(LEN(Hoja1!F328)&lt;&gt;14,"Sí","No")</f>
        <v>No</v>
      </c>
      <c r="I328" s="3" t="str">
        <f>IF(Hoja1!C328&gt;Hoja1!H328,"Sí","No")</f>
        <v>No</v>
      </c>
      <c r="J328" s="3" t="str">
        <f>IF(SUMPRODUCT(--ISNUMBER(SEARCH({"0";"1";"2";"3";"4";"5";"6";"7";"8";"9"},Hoja1!D328)))=0,"Sí","No")</f>
        <v>No</v>
      </c>
      <c r="K328" s="3" t="str">
        <f t="shared" si="5"/>
        <v>No</v>
      </c>
    </row>
    <row r="329" spans="1:11" ht="15" customHeight="1" x14ac:dyDescent="0.3">
      <c r="A329" s="3" t="str">
        <f>Hoja1!A329</f>
        <v>C0328</v>
      </c>
      <c r="B329" s="3" t="str">
        <f>Hoja1!B329</f>
        <v>Alexandra Pedrosa Asensio</v>
      </c>
      <c r="C329" s="3" t="str">
        <f>IF(COUNTA(Hoja1!A329:I329)=0,"Sí","No")</f>
        <v>No</v>
      </c>
      <c r="D329" s="3" t="str">
        <f>IF(COUNTBLANK(Hoja1!A329:I329)&gt;0,"Sí","No")</f>
        <v>No</v>
      </c>
      <c r="E329" s="3" t="str">
        <f>IF(COUNTIF(Hoja1!$A$2:$A$1000,Hoja1!A329)&gt;1,"Sí","No")</f>
        <v>No</v>
      </c>
      <c r="F329" s="3" t="str">
        <f>IF(COUNTIF(Hoja1!$G$2:$G$1000,Hoja1!G329)&gt;1,"Sí","No")</f>
        <v>No</v>
      </c>
      <c r="G329" s="3" t="str">
        <f>IF(OR(ISERROR(FIND("@",Hoja1!G329)),ISERROR(FIND(".",Hoja1!G329,FIND("@",Hoja1!G329)))),"Sí","No")</f>
        <v>No</v>
      </c>
      <c r="H329" s="3" t="str">
        <f>IF(LEN(Hoja1!F329)&lt;&gt;14,"Sí","No")</f>
        <v>No</v>
      </c>
      <c r="I329" s="3" t="str">
        <f>IF(Hoja1!C329&gt;Hoja1!H329,"Sí","No")</f>
        <v>No</v>
      </c>
      <c r="J329" s="3" t="str">
        <f>IF(SUMPRODUCT(--ISNUMBER(SEARCH({"0";"1";"2";"3";"4";"5";"6";"7";"8";"9"},Hoja1!D329)))=0,"Sí","No")</f>
        <v>No</v>
      </c>
      <c r="K329" s="3" t="str">
        <f t="shared" si="5"/>
        <v>No</v>
      </c>
    </row>
    <row r="330" spans="1:11" ht="15" customHeight="1" x14ac:dyDescent="0.3">
      <c r="A330" s="3" t="str">
        <f>Hoja1!A330</f>
        <v>C0329</v>
      </c>
      <c r="B330" s="3" t="str">
        <f>Hoja1!B330</f>
        <v>Lucho Lucio Gallart Bartolomé</v>
      </c>
      <c r="C330" s="3" t="str">
        <f>IF(COUNTA(Hoja1!A330:I330)=0,"Sí","No")</f>
        <v>No</v>
      </c>
      <c r="D330" s="3" t="str">
        <f>IF(COUNTBLANK(Hoja1!A330:I330)&gt;0,"Sí","No")</f>
        <v>No</v>
      </c>
      <c r="E330" s="3" t="str">
        <f>IF(COUNTIF(Hoja1!$A$2:$A$1000,Hoja1!A330)&gt;1,"Sí","No")</f>
        <v>No</v>
      </c>
      <c r="F330" s="3" t="str">
        <f>IF(COUNTIF(Hoja1!$G$2:$G$1000,Hoja1!G330)&gt;1,"Sí","No")</f>
        <v>No</v>
      </c>
      <c r="G330" s="3" t="str">
        <f>IF(OR(ISERROR(FIND("@",Hoja1!G330)),ISERROR(FIND(".",Hoja1!G330,FIND("@",Hoja1!G330)))),"Sí","No")</f>
        <v>No</v>
      </c>
      <c r="H330" s="3" t="str">
        <f>IF(LEN(Hoja1!F330)&lt;&gt;14,"Sí","No")</f>
        <v>No</v>
      </c>
      <c r="I330" s="3" t="str">
        <f>IF(Hoja1!C330&gt;Hoja1!H330,"Sí","No")</f>
        <v>No</v>
      </c>
      <c r="J330" s="3" t="str">
        <f>IF(SUMPRODUCT(--ISNUMBER(SEARCH({"0";"1";"2";"3";"4";"5";"6";"7";"8";"9"},Hoja1!D330)))=0,"Sí","No")</f>
        <v>No</v>
      </c>
      <c r="K330" s="3" t="str">
        <f t="shared" si="5"/>
        <v>No</v>
      </c>
    </row>
    <row r="331" spans="1:11" ht="15" customHeight="1" x14ac:dyDescent="0.3">
      <c r="A331" s="3" t="str">
        <f>Hoja1!A331</f>
        <v>C0330</v>
      </c>
      <c r="B331" s="3" t="str">
        <f>Hoja1!B331</f>
        <v>Lola Vanesa Roda Verdejo</v>
      </c>
      <c r="C331" s="3" t="str">
        <f>IF(COUNTA(Hoja1!A331:I331)=0,"Sí","No")</f>
        <v>No</v>
      </c>
      <c r="D331" s="3" t="str">
        <f>IF(COUNTBLANK(Hoja1!A331:I331)&gt;0,"Sí","No")</f>
        <v>No</v>
      </c>
      <c r="E331" s="3" t="str">
        <f>IF(COUNTIF(Hoja1!$A$2:$A$1000,Hoja1!A331)&gt;1,"Sí","No")</f>
        <v>No</v>
      </c>
      <c r="F331" s="3" t="str">
        <f>IF(COUNTIF(Hoja1!$G$2:$G$1000,Hoja1!G331)&gt;1,"Sí","No")</f>
        <v>No</v>
      </c>
      <c r="G331" s="3" t="str">
        <f>IF(OR(ISERROR(FIND("@",Hoja1!G331)),ISERROR(FIND(".",Hoja1!G331,FIND("@",Hoja1!G331)))),"Sí","No")</f>
        <v>No</v>
      </c>
      <c r="H331" s="3" t="str">
        <f>IF(LEN(Hoja1!F331)&lt;&gt;14,"Sí","No")</f>
        <v>No</v>
      </c>
      <c r="I331" s="3" t="str">
        <f>IF(Hoja1!C331&gt;Hoja1!H331,"Sí","No")</f>
        <v>No</v>
      </c>
      <c r="J331" s="3" t="str">
        <f>IF(SUMPRODUCT(--ISNUMBER(SEARCH({"0";"1";"2";"3";"4";"5";"6";"7";"8";"9"},Hoja1!D331)))=0,"Sí","No")</f>
        <v>No</v>
      </c>
      <c r="K331" s="3" t="str">
        <f t="shared" si="5"/>
        <v>No</v>
      </c>
    </row>
    <row r="332" spans="1:11" ht="15" customHeight="1" x14ac:dyDescent="0.3">
      <c r="A332" s="3" t="str">
        <f>Hoja1!A332</f>
        <v>C0331</v>
      </c>
      <c r="B332" s="3" t="str">
        <f>Hoja1!B332</f>
        <v>Alejandra Alvarado-Rocamora</v>
      </c>
      <c r="C332" s="3" t="str">
        <f>IF(COUNTA(Hoja1!A332:I332)=0,"Sí","No")</f>
        <v>No</v>
      </c>
      <c r="D332" s="3" t="str">
        <f>IF(COUNTBLANK(Hoja1!A332:I332)&gt;0,"Sí","No")</f>
        <v>No</v>
      </c>
      <c r="E332" s="3" t="str">
        <f>IF(COUNTIF(Hoja1!$A$2:$A$1000,Hoja1!A332)&gt;1,"Sí","No")</f>
        <v>No</v>
      </c>
      <c r="F332" s="3" t="str">
        <f>IF(COUNTIF(Hoja1!$G$2:$G$1000,Hoja1!G332)&gt;1,"Sí","No")</f>
        <v>No</v>
      </c>
      <c r="G332" s="3" t="str">
        <f>IF(OR(ISERROR(FIND("@",Hoja1!G332)),ISERROR(FIND(".",Hoja1!G332,FIND("@",Hoja1!G332)))),"Sí","No")</f>
        <v>No</v>
      </c>
      <c r="H332" s="3" t="str">
        <f>IF(LEN(Hoja1!F332)&lt;&gt;14,"Sí","No")</f>
        <v>No</v>
      </c>
      <c r="I332" s="3" t="str">
        <f>IF(Hoja1!C332&gt;Hoja1!H332,"Sí","No")</f>
        <v>No</v>
      </c>
      <c r="J332" s="3" t="str">
        <f>IF(SUMPRODUCT(--ISNUMBER(SEARCH({"0";"1";"2";"3";"4";"5";"6";"7";"8";"9"},Hoja1!D332)))=0,"Sí","No")</f>
        <v>No</v>
      </c>
      <c r="K332" s="3" t="str">
        <f t="shared" si="5"/>
        <v>No</v>
      </c>
    </row>
    <row r="333" spans="1:11" ht="15" customHeight="1" x14ac:dyDescent="0.3">
      <c r="A333" s="3" t="str">
        <f>Hoja1!A333</f>
        <v>C0332</v>
      </c>
      <c r="B333" s="3" t="str">
        <f>Hoja1!B333</f>
        <v>Cristina Navas Sanz</v>
      </c>
      <c r="C333" s="3" t="str">
        <f>IF(COUNTA(Hoja1!A333:I333)=0,"Sí","No")</f>
        <v>No</v>
      </c>
      <c r="D333" s="3" t="str">
        <f>IF(COUNTBLANK(Hoja1!A333:I333)&gt;0,"Sí","No")</f>
        <v>No</v>
      </c>
      <c r="E333" s="3" t="str">
        <f>IF(COUNTIF(Hoja1!$A$2:$A$1000,Hoja1!A333)&gt;1,"Sí","No")</f>
        <v>No</v>
      </c>
      <c r="F333" s="3" t="str">
        <f>IF(COUNTIF(Hoja1!$G$2:$G$1000,Hoja1!G333)&gt;1,"Sí","No")</f>
        <v>No</v>
      </c>
      <c r="G333" s="3" t="str">
        <f>IF(OR(ISERROR(FIND("@",Hoja1!G333)),ISERROR(FIND(".",Hoja1!G333,FIND("@",Hoja1!G333)))),"Sí","No")</f>
        <v>No</v>
      </c>
      <c r="H333" s="3" t="str">
        <f>IF(LEN(Hoja1!F333)&lt;&gt;14,"Sí","No")</f>
        <v>No</v>
      </c>
      <c r="I333" s="3" t="str">
        <f>IF(Hoja1!C333&gt;Hoja1!H333,"Sí","No")</f>
        <v>No</v>
      </c>
      <c r="J333" s="3" t="str">
        <f>IF(SUMPRODUCT(--ISNUMBER(SEARCH({"0";"1";"2";"3";"4";"5";"6";"7";"8";"9"},Hoja1!D333)))=0,"Sí","No")</f>
        <v>No</v>
      </c>
      <c r="K333" s="3" t="str">
        <f t="shared" si="5"/>
        <v>No</v>
      </c>
    </row>
    <row r="334" spans="1:11" ht="15" customHeight="1" x14ac:dyDescent="0.3">
      <c r="A334" s="3" t="str">
        <f>Hoja1!A334</f>
        <v>C0333</v>
      </c>
      <c r="B334" s="3" t="str">
        <f>Hoja1!B334</f>
        <v>Desiderio Vizcaíno Seguí</v>
      </c>
      <c r="C334" s="3" t="str">
        <f>IF(COUNTA(Hoja1!A334:I334)=0,"Sí","No")</f>
        <v>No</v>
      </c>
      <c r="D334" s="3" t="str">
        <f>IF(COUNTBLANK(Hoja1!A334:I334)&gt;0,"Sí","No")</f>
        <v>No</v>
      </c>
      <c r="E334" s="3" t="str">
        <f>IF(COUNTIF(Hoja1!$A$2:$A$1000,Hoja1!A334)&gt;1,"Sí","No")</f>
        <v>No</v>
      </c>
      <c r="F334" s="3" t="str">
        <f>IF(COUNTIF(Hoja1!$G$2:$G$1000,Hoja1!G334)&gt;1,"Sí","No")</f>
        <v>No</v>
      </c>
      <c r="G334" s="3" t="str">
        <f>IF(OR(ISERROR(FIND("@",Hoja1!G334)),ISERROR(FIND(".",Hoja1!G334,FIND("@",Hoja1!G334)))),"Sí","No")</f>
        <v>No</v>
      </c>
      <c r="H334" s="3" t="str">
        <f>IF(LEN(Hoja1!F334)&lt;&gt;14,"Sí","No")</f>
        <v>No</v>
      </c>
      <c r="I334" s="3" t="str">
        <f>IF(Hoja1!C334&gt;Hoja1!H334,"Sí","No")</f>
        <v>No</v>
      </c>
      <c r="J334" s="3" t="str">
        <f>IF(SUMPRODUCT(--ISNUMBER(SEARCH({"0";"1";"2";"3";"4";"5";"6";"7";"8";"9"},Hoja1!D334)))=0,"Sí","No")</f>
        <v>No</v>
      </c>
      <c r="K334" s="3" t="str">
        <f t="shared" si="5"/>
        <v>No</v>
      </c>
    </row>
    <row r="335" spans="1:11" ht="15" customHeight="1" x14ac:dyDescent="0.3">
      <c r="A335" s="3" t="str">
        <f>Hoja1!A335</f>
        <v>C0334</v>
      </c>
      <c r="B335" s="3" t="str">
        <f>Hoja1!B335</f>
        <v>Nélida Gallart Ochoa</v>
      </c>
      <c r="C335" s="3" t="str">
        <f>IF(COUNTA(Hoja1!A335:I335)=0,"Sí","No")</f>
        <v>No</v>
      </c>
      <c r="D335" s="3" t="str">
        <f>IF(COUNTBLANK(Hoja1!A335:I335)&gt;0,"Sí","No")</f>
        <v>No</v>
      </c>
      <c r="E335" s="3" t="str">
        <f>IF(COUNTIF(Hoja1!$A$2:$A$1000,Hoja1!A335)&gt;1,"Sí","No")</f>
        <v>No</v>
      </c>
      <c r="F335" s="3" t="str">
        <f>IF(COUNTIF(Hoja1!$G$2:$G$1000,Hoja1!G335)&gt;1,"Sí","No")</f>
        <v>No</v>
      </c>
      <c r="G335" s="3" t="str">
        <f>IF(OR(ISERROR(FIND("@",Hoja1!G335)),ISERROR(FIND(".",Hoja1!G335,FIND("@",Hoja1!G335)))),"Sí","No")</f>
        <v>No</v>
      </c>
      <c r="H335" s="3" t="str">
        <f>IF(LEN(Hoja1!F335)&lt;&gt;14,"Sí","No")</f>
        <v>No</v>
      </c>
      <c r="I335" s="3" t="str">
        <f>IF(Hoja1!C335&gt;Hoja1!H335,"Sí","No")</f>
        <v>No</v>
      </c>
      <c r="J335" s="3" t="str">
        <f>IF(SUMPRODUCT(--ISNUMBER(SEARCH({"0";"1";"2";"3";"4";"5";"6";"7";"8";"9"},Hoja1!D335)))=0,"Sí","No")</f>
        <v>No</v>
      </c>
      <c r="K335" s="3" t="str">
        <f t="shared" si="5"/>
        <v>No</v>
      </c>
    </row>
    <row r="336" spans="1:11" ht="15" customHeight="1" x14ac:dyDescent="0.3">
      <c r="A336" s="3" t="str">
        <f>Hoja1!A336</f>
        <v>C0335</v>
      </c>
      <c r="B336" s="3" t="str">
        <f>Hoja1!B336</f>
        <v>Áurea Sandoval Robles</v>
      </c>
      <c r="C336" s="3" t="str">
        <f>IF(COUNTA(Hoja1!A336:I336)=0,"Sí","No")</f>
        <v>No</v>
      </c>
      <c r="D336" s="3" t="str">
        <f>IF(COUNTBLANK(Hoja1!A336:I336)&gt;0,"Sí","No")</f>
        <v>No</v>
      </c>
      <c r="E336" s="3" t="str">
        <f>IF(COUNTIF(Hoja1!$A$2:$A$1000,Hoja1!A336)&gt;1,"Sí","No")</f>
        <v>No</v>
      </c>
      <c r="F336" s="3" t="str">
        <f>IF(COUNTIF(Hoja1!$G$2:$G$1000,Hoja1!G336)&gt;1,"Sí","No")</f>
        <v>No</v>
      </c>
      <c r="G336" s="3" t="str">
        <f>IF(OR(ISERROR(FIND("@",Hoja1!G336)),ISERROR(FIND(".",Hoja1!G336,FIND("@",Hoja1!G336)))),"Sí","No")</f>
        <v>No</v>
      </c>
      <c r="H336" s="3" t="str">
        <f>IF(LEN(Hoja1!F336)&lt;&gt;14,"Sí","No")</f>
        <v>No</v>
      </c>
      <c r="I336" s="3" t="str">
        <f>IF(Hoja1!C336&gt;Hoja1!H336,"Sí","No")</f>
        <v>No</v>
      </c>
      <c r="J336" s="3" t="str">
        <f>IF(SUMPRODUCT(--ISNUMBER(SEARCH({"0";"1";"2";"3";"4";"5";"6";"7";"8";"9"},Hoja1!D336)))=0,"Sí","No")</f>
        <v>No</v>
      </c>
      <c r="K336" s="3" t="str">
        <f t="shared" si="5"/>
        <v>No</v>
      </c>
    </row>
    <row r="337" spans="1:11" ht="15" customHeight="1" x14ac:dyDescent="0.3">
      <c r="A337" s="3" t="str">
        <f>Hoja1!A337</f>
        <v>C0336</v>
      </c>
      <c r="B337" s="3" t="str">
        <f>Hoja1!B337</f>
        <v>Bibiana Azcona</v>
      </c>
      <c r="C337" s="3" t="str">
        <f>IF(COUNTA(Hoja1!A337:I337)=0,"Sí","No")</f>
        <v>No</v>
      </c>
      <c r="D337" s="3" t="str">
        <f>IF(COUNTBLANK(Hoja1!A337:I337)&gt;0,"Sí","No")</f>
        <v>No</v>
      </c>
      <c r="E337" s="3" t="str">
        <f>IF(COUNTIF(Hoja1!$A$2:$A$1000,Hoja1!A337)&gt;1,"Sí","No")</f>
        <v>No</v>
      </c>
      <c r="F337" s="3" t="str">
        <f>IF(COUNTIF(Hoja1!$G$2:$G$1000,Hoja1!G337)&gt;1,"Sí","No")</f>
        <v>No</v>
      </c>
      <c r="G337" s="3" t="str">
        <f>IF(OR(ISERROR(FIND("@",Hoja1!G337)),ISERROR(FIND(".",Hoja1!G337,FIND("@",Hoja1!G337)))),"Sí","No")</f>
        <v>No</v>
      </c>
      <c r="H337" s="3" t="str">
        <f>IF(LEN(Hoja1!F337)&lt;&gt;14,"Sí","No")</f>
        <v>No</v>
      </c>
      <c r="I337" s="3" t="str">
        <f>IF(Hoja1!C337&gt;Hoja1!H337,"Sí","No")</f>
        <v>No</v>
      </c>
      <c r="J337" s="3" t="str">
        <f>IF(SUMPRODUCT(--ISNUMBER(SEARCH({"0";"1";"2";"3";"4";"5";"6";"7";"8";"9"},Hoja1!D337)))=0,"Sí","No")</f>
        <v>No</v>
      </c>
      <c r="K337" s="3" t="str">
        <f t="shared" si="5"/>
        <v>No</v>
      </c>
    </row>
    <row r="338" spans="1:11" ht="15" customHeight="1" x14ac:dyDescent="0.3">
      <c r="A338" s="3" t="str">
        <f>Hoja1!A338</f>
        <v>C0337</v>
      </c>
      <c r="B338" s="3" t="str">
        <f>Hoja1!B338</f>
        <v>Marcos Arnal Sola</v>
      </c>
      <c r="C338" s="3" t="str">
        <f>IF(COUNTA(Hoja1!A338:I338)=0,"Sí","No")</f>
        <v>No</v>
      </c>
      <c r="D338" s="3" t="str">
        <f>IF(COUNTBLANK(Hoja1!A338:I338)&gt;0,"Sí","No")</f>
        <v>No</v>
      </c>
      <c r="E338" s="3" t="str">
        <f>IF(COUNTIF(Hoja1!$A$2:$A$1000,Hoja1!A338)&gt;1,"Sí","No")</f>
        <v>No</v>
      </c>
      <c r="F338" s="3" t="str">
        <f>IF(COUNTIF(Hoja1!$G$2:$G$1000,Hoja1!G338)&gt;1,"Sí","No")</f>
        <v>Sí</v>
      </c>
      <c r="G338" s="3" t="str">
        <f>IF(OR(ISERROR(FIND("@",Hoja1!G338)),ISERROR(FIND(".",Hoja1!G338,FIND("@",Hoja1!G338)))),"Sí","No")</f>
        <v>No</v>
      </c>
      <c r="H338" s="3" t="str">
        <f>IF(LEN(Hoja1!F338)&lt;&gt;14,"Sí","No")</f>
        <v>No</v>
      </c>
      <c r="I338" s="3" t="str">
        <f>IF(Hoja1!C338&gt;Hoja1!H338,"Sí","No")</f>
        <v>No</v>
      </c>
      <c r="J338" s="3" t="str">
        <f>IF(SUMPRODUCT(--ISNUMBER(SEARCH({"0";"1";"2";"3";"4";"5";"6";"7";"8";"9"},Hoja1!D338)))=0,"Sí","No")</f>
        <v>No</v>
      </c>
      <c r="K338" s="3" t="str">
        <f t="shared" si="5"/>
        <v>Sí</v>
      </c>
    </row>
    <row r="339" spans="1:11" ht="15" customHeight="1" x14ac:dyDescent="0.3">
      <c r="A339" s="3" t="str">
        <f>Hoja1!A339</f>
        <v>C0338</v>
      </c>
      <c r="B339" s="3" t="str">
        <f>Hoja1!B339</f>
        <v>Soledad Ani Garrido Duran</v>
      </c>
      <c r="C339" s="3" t="str">
        <f>IF(COUNTA(Hoja1!A339:I339)=0,"Sí","No")</f>
        <v>No</v>
      </c>
      <c r="D339" s="3" t="str">
        <f>IF(COUNTBLANK(Hoja1!A339:I339)&gt;0,"Sí","No")</f>
        <v>No</v>
      </c>
      <c r="E339" s="3" t="str">
        <f>IF(COUNTIF(Hoja1!$A$2:$A$1000,Hoja1!A339)&gt;1,"Sí","No")</f>
        <v>No</v>
      </c>
      <c r="F339" s="3" t="str">
        <f>IF(COUNTIF(Hoja1!$G$2:$G$1000,Hoja1!G339)&gt;1,"Sí","No")</f>
        <v>No</v>
      </c>
      <c r="G339" s="3" t="str">
        <f>IF(OR(ISERROR(FIND("@",Hoja1!G339)),ISERROR(FIND(".",Hoja1!G339,FIND("@",Hoja1!G339)))),"Sí","No")</f>
        <v>No</v>
      </c>
      <c r="H339" s="3" t="str">
        <f>IF(LEN(Hoja1!F339)&lt;&gt;14,"Sí","No")</f>
        <v>No</v>
      </c>
      <c r="I339" s="3" t="str">
        <f>IF(Hoja1!C339&gt;Hoja1!H339,"Sí","No")</f>
        <v>No</v>
      </c>
      <c r="J339" s="3" t="str">
        <f>IF(SUMPRODUCT(--ISNUMBER(SEARCH({"0";"1";"2";"3";"4";"5";"6";"7";"8";"9"},Hoja1!D339)))=0,"Sí","No")</f>
        <v>No</v>
      </c>
      <c r="K339" s="3" t="str">
        <f t="shared" si="5"/>
        <v>No</v>
      </c>
    </row>
    <row r="340" spans="1:11" ht="15" customHeight="1" x14ac:dyDescent="0.3">
      <c r="A340" s="3" t="str">
        <f>Hoja1!A340</f>
        <v>C0339</v>
      </c>
      <c r="B340" s="3" t="str">
        <f>Hoja1!B340</f>
        <v>Rodolfo Duilio Terrón Serrano</v>
      </c>
      <c r="C340" s="3" t="str">
        <f>IF(COUNTA(Hoja1!A340:I340)=0,"Sí","No")</f>
        <v>No</v>
      </c>
      <c r="D340" s="3" t="str">
        <f>IF(COUNTBLANK(Hoja1!A340:I340)&gt;0,"Sí","No")</f>
        <v>No</v>
      </c>
      <c r="E340" s="3" t="str">
        <f>IF(COUNTIF(Hoja1!$A$2:$A$1000,Hoja1!A340)&gt;1,"Sí","No")</f>
        <v>No</v>
      </c>
      <c r="F340" s="3" t="str">
        <f>IF(COUNTIF(Hoja1!$G$2:$G$1000,Hoja1!G340)&gt;1,"Sí","No")</f>
        <v>No</v>
      </c>
      <c r="G340" s="3" t="str">
        <f>IF(OR(ISERROR(FIND("@",Hoja1!G340)),ISERROR(FIND(".",Hoja1!G340,FIND("@",Hoja1!G340)))),"Sí","No")</f>
        <v>No</v>
      </c>
      <c r="H340" s="3" t="str">
        <f>IF(LEN(Hoja1!F340)&lt;&gt;14,"Sí","No")</f>
        <v>No</v>
      </c>
      <c r="I340" s="3" t="str">
        <f>IF(Hoja1!C340&gt;Hoja1!H340,"Sí","No")</f>
        <v>No</v>
      </c>
      <c r="J340" s="3" t="str">
        <f>IF(SUMPRODUCT(--ISNUMBER(SEARCH({"0";"1";"2";"3";"4";"5";"6";"7";"8";"9"},Hoja1!D340)))=0,"Sí","No")</f>
        <v>No</v>
      </c>
      <c r="K340" s="3" t="str">
        <f t="shared" si="5"/>
        <v>No</v>
      </c>
    </row>
    <row r="341" spans="1:11" ht="15" customHeight="1" x14ac:dyDescent="0.3">
      <c r="A341" s="3" t="str">
        <f>Hoja1!A341</f>
        <v>C0340</v>
      </c>
      <c r="B341" s="3" t="str">
        <f>Hoja1!B341</f>
        <v>Carolina Ferreras Bolaños</v>
      </c>
      <c r="C341" s="3" t="str">
        <f>IF(COUNTA(Hoja1!A341:I341)=0,"Sí","No")</f>
        <v>No</v>
      </c>
      <c r="D341" s="3" t="str">
        <f>IF(COUNTBLANK(Hoja1!A341:I341)&gt;0,"Sí","No")</f>
        <v>No</v>
      </c>
      <c r="E341" s="3" t="str">
        <f>IF(COUNTIF(Hoja1!$A$2:$A$1000,Hoja1!A341)&gt;1,"Sí","No")</f>
        <v>No</v>
      </c>
      <c r="F341" s="3" t="str">
        <f>IF(COUNTIF(Hoja1!$G$2:$G$1000,Hoja1!G341)&gt;1,"Sí","No")</f>
        <v>No</v>
      </c>
      <c r="G341" s="3" t="str">
        <f>IF(OR(ISERROR(FIND("@",Hoja1!G341)),ISERROR(FIND(".",Hoja1!G341,FIND("@",Hoja1!G341)))),"Sí","No")</f>
        <v>No</v>
      </c>
      <c r="H341" s="3" t="str">
        <f>IF(LEN(Hoja1!F341)&lt;&gt;14,"Sí","No")</f>
        <v>No</v>
      </c>
      <c r="I341" s="3" t="str">
        <f>IF(Hoja1!C341&gt;Hoja1!H341,"Sí","No")</f>
        <v>No</v>
      </c>
      <c r="J341" s="3" t="str">
        <f>IF(SUMPRODUCT(--ISNUMBER(SEARCH({"0";"1";"2";"3";"4";"5";"6";"7";"8";"9"},Hoja1!D341)))=0,"Sí","No")</f>
        <v>No</v>
      </c>
      <c r="K341" s="3" t="str">
        <f t="shared" si="5"/>
        <v>No</v>
      </c>
    </row>
    <row r="342" spans="1:11" ht="15" customHeight="1" x14ac:dyDescent="0.3">
      <c r="A342" s="3" t="str">
        <f>Hoja1!A342</f>
        <v>C0341</v>
      </c>
      <c r="B342" s="3" t="str">
        <f>Hoja1!B342</f>
        <v>Eladio Querol</v>
      </c>
      <c r="C342" s="3" t="str">
        <f>IF(COUNTA(Hoja1!A342:I342)=0,"Sí","No")</f>
        <v>No</v>
      </c>
      <c r="D342" s="3" t="str">
        <f>IF(COUNTBLANK(Hoja1!A342:I342)&gt;0,"Sí","No")</f>
        <v>No</v>
      </c>
      <c r="E342" s="3" t="str">
        <f>IF(COUNTIF(Hoja1!$A$2:$A$1000,Hoja1!A342)&gt;1,"Sí","No")</f>
        <v>No</v>
      </c>
      <c r="F342" s="3" t="str">
        <f>IF(COUNTIF(Hoja1!$G$2:$G$1000,Hoja1!G342)&gt;1,"Sí","No")</f>
        <v>No</v>
      </c>
      <c r="G342" s="3" t="str">
        <f>IF(OR(ISERROR(FIND("@",Hoja1!G342)),ISERROR(FIND(".",Hoja1!G342,FIND("@",Hoja1!G342)))),"Sí","No")</f>
        <v>No</v>
      </c>
      <c r="H342" s="3" t="str">
        <f>IF(LEN(Hoja1!F342)&lt;&gt;14,"Sí","No")</f>
        <v>No</v>
      </c>
      <c r="I342" s="3" t="str">
        <f>IF(Hoja1!C342&gt;Hoja1!H342,"Sí","No")</f>
        <v>No</v>
      </c>
      <c r="J342" s="3" t="str">
        <f>IF(SUMPRODUCT(--ISNUMBER(SEARCH({"0";"1";"2";"3";"4";"5";"6";"7";"8";"9"},Hoja1!D342)))=0,"Sí","No")</f>
        <v>No</v>
      </c>
      <c r="K342" s="3" t="str">
        <f t="shared" si="5"/>
        <v>No</v>
      </c>
    </row>
    <row r="343" spans="1:11" ht="15" customHeight="1" x14ac:dyDescent="0.3">
      <c r="A343" s="3" t="str">
        <f>Hoja1!A343</f>
        <v>C0342</v>
      </c>
      <c r="B343" s="3" t="str">
        <f>Hoja1!B343</f>
        <v>Irene Orozco Millán</v>
      </c>
      <c r="C343" s="3" t="str">
        <f>IF(COUNTA(Hoja1!A343:I343)=0,"Sí","No")</f>
        <v>No</v>
      </c>
      <c r="D343" s="3" t="str">
        <f>IF(COUNTBLANK(Hoja1!A343:I343)&gt;0,"Sí","No")</f>
        <v>No</v>
      </c>
      <c r="E343" s="3" t="str">
        <f>IF(COUNTIF(Hoja1!$A$2:$A$1000,Hoja1!A343)&gt;1,"Sí","No")</f>
        <v>No</v>
      </c>
      <c r="F343" s="3" t="str">
        <f>IF(COUNTIF(Hoja1!$G$2:$G$1000,Hoja1!G343)&gt;1,"Sí","No")</f>
        <v>No</v>
      </c>
      <c r="G343" s="3" t="str">
        <f>IF(OR(ISERROR(FIND("@",Hoja1!G343)),ISERROR(FIND(".",Hoja1!G343,FIND("@",Hoja1!G343)))),"Sí","No")</f>
        <v>No</v>
      </c>
      <c r="H343" s="3" t="str">
        <f>IF(LEN(Hoja1!F343)&lt;&gt;14,"Sí","No")</f>
        <v>No</v>
      </c>
      <c r="I343" s="3" t="str">
        <f>IF(Hoja1!C343&gt;Hoja1!H343,"Sí","No")</f>
        <v>No</v>
      </c>
      <c r="J343" s="3" t="str">
        <f>IF(SUMPRODUCT(--ISNUMBER(SEARCH({"0";"1";"2";"3";"4";"5";"6";"7";"8";"9"},Hoja1!D343)))=0,"Sí","No")</f>
        <v>No</v>
      </c>
      <c r="K343" s="3" t="str">
        <f t="shared" si="5"/>
        <v>No</v>
      </c>
    </row>
    <row r="344" spans="1:11" ht="15" customHeight="1" x14ac:dyDescent="0.3">
      <c r="A344" s="3" t="str">
        <f>Hoja1!A344</f>
        <v>C0343</v>
      </c>
      <c r="B344" s="3" t="str">
        <f>Hoja1!B344</f>
        <v>Yago Heredia Francisco</v>
      </c>
      <c r="C344" s="3" t="str">
        <f>IF(COUNTA(Hoja1!A344:I344)=0,"Sí","No")</f>
        <v>No</v>
      </c>
      <c r="D344" s="3" t="str">
        <f>IF(COUNTBLANK(Hoja1!A344:I344)&gt;0,"Sí","No")</f>
        <v>No</v>
      </c>
      <c r="E344" s="3" t="str">
        <f>IF(COUNTIF(Hoja1!$A$2:$A$1000,Hoja1!A344)&gt;1,"Sí","No")</f>
        <v>No</v>
      </c>
      <c r="F344" s="3" t="str">
        <f>IF(COUNTIF(Hoja1!$G$2:$G$1000,Hoja1!G344)&gt;1,"Sí","No")</f>
        <v>No</v>
      </c>
      <c r="G344" s="3" t="str">
        <f>IF(OR(ISERROR(FIND("@",Hoja1!G344)),ISERROR(FIND(".",Hoja1!G344,FIND("@",Hoja1!G344)))),"Sí","No")</f>
        <v>No</v>
      </c>
      <c r="H344" s="3" t="str">
        <f>IF(LEN(Hoja1!F344)&lt;&gt;14,"Sí","No")</f>
        <v>No</v>
      </c>
      <c r="I344" s="3" t="str">
        <f>IF(Hoja1!C344&gt;Hoja1!H344,"Sí","No")</f>
        <v>No</v>
      </c>
      <c r="J344" s="3" t="str">
        <f>IF(SUMPRODUCT(--ISNUMBER(SEARCH({"0";"1";"2";"3";"4";"5";"6";"7";"8";"9"},Hoja1!D344)))=0,"Sí","No")</f>
        <v>No</v>
      </c>
      <c r="K344" s="3" t="str">
        <f t="shared" si="5"/>
        <v>No</v>
      </c>
    </row>
    <row r="345" spans="1:11" ht="15" customHeight="1" x14ac:dyDescent="0.3">
      <c r="A345" s="3" t="str">
        <f>Hoja1!A345</f>
        <v>C0344</v>
      </c>
      <c r="B345" s="3" t="str">
        <f>Hoja1!B345</f>
        <v>Hernán Diego Ferreras</v>
      </c>
      <c r="C345" s="3" t="str">
        <f>IF(COUNTA(Hoja1!A345:I345)=0,"Sí","No")</f>
        <v>No</v>
      </c>
      <c r="D345" s="3" t="str">
        <f>IF(COUNTBLANK(Hoja1!A345:I345)&gt;0,"Sí","No")</f>
        <v>No</v>
      </c>
      <c r="E345" s="3" t="str">
        <f>IF(COUNTIF(Hoja1!$A$2:$A$1000,Hoja1!A345)&gt;1,"Sí","No")</f>
        <v>No</v>
      </c>
      <c r="F345" s="3" t="str">
        <f>IF(COUNTIF(Hoja1!$G$2:$G$1000,Hoja1!G345)&gt;1,"Sí","No")</f>
        <v>No</v>
      </c>
      <c r="G345" s="3" t="str">
        <f>IF(OR(ISERROR(FIND("@",Hoja1!G345)),ISERROR(FIND(".",Hoja1!G345,FIND("@",Hoja1!G345)))),"Sí","No")</f>
        <v>No</v>
      </c>
      <c r="H345" s="3" t="str">
        <f>IF(LEN(Hoja1!F345)&lt;&gt;14,"Sí","No")</f>
        <v>No</v>
      </c>
      <c r="I345" s="3" t="str">
        <f>IF(Hoja1!C345&gt;Hoja1!H345,"Sí","No")</f>
        <v>No</v>
      </c>
      <c r="J345" s="3" t="str">
        <f>IF(SUMPRODUCT(--ISNUMBER(SEARCH({"0";"1";"2";"3";"4";"5";"6";"7";"8";"9"},Hoja1!D345)))=0,"Sí","No")</f>
        <v>No</v>
      </c>
      <c r="K345" s="3" t="str">
        <f t="shared" si="5"/>
        <v>No</v>
      </c>
    </row>
    <row r="346" spans="1:11" ht="15" customHeight="1" x14ac:dyDescent="0.3">
      <c r="A346" s="3" t="str">
        <f>Hoja1!A346</f>
        <v>C0345</v>
      </c>
      <c r="B346" s="3" t="str">
        <f>Hoja1!B346</f>
        <v>Darío Severino Falcón Rodríguez</v>
      </c>
      <c r="C346" s="3" t="str">
        <f>IF(COUNTA(Hoja1!A346:I346)=0,"Sí","No")</f>
        <v>No</v>
      </c>
      <c r="D346" s="3" t="str">
        <f>IF(COUNTBLANK(Hoja1!A346:I346)&gt;0,"Sí","No")</f>
        <v>No</v>
      </c>
      <c r="E346" s="3" t="str">
        <f>IF(COUNTIF(Hoja1!$A$2:$A$1000,Hoja1!A346)&gt;1,"Sí","No")</f>
        <v>No</v>
      </c>
      <c r="F346" s="3" t="str">
        <f>IF(COUNTIF(Hoja1!$G$2:$G$1000,Hoja1!G346)&gt;1,"Sí","No")</f>
        <v>No</v>
      </c>
      <c r="G346" s="3" t="str">
        <f>IF(OR(ISERROR(FIND("@",Hoja1!G346)),ISERROR(FIND(".",Hoja1!G346,FIND("@",Hoja1!G346)))),"Sí","No")</f>
        <v>No</v>
      </c>
      <c r="H346" s="3" t="str">
        <f>IF(LEN(Hoja1!F346)&lt;&gt;14,"Sí","No")</f>
        <v>No</v>
      </c>
      <c r="I346" s="3" t="str">
        <f>IF(Hoja1!C346&gt;Hoja1!H346,"Sí","No")</f>
        <v>No</v>
      </c>
      <c r="J346" s="3" t="str">
        <f>IF(SUMPRODUCT(--ISNUMBER(SEARCH({"0";"1";"2";"3";"4";"5";"6";"7";"8";"9"},Hoja1!D346)))=0,"Sí","No")</f>
        <v>No</v>
      </c>
      <c r="K346" s="3" t="str">
        <f t="shared" si="5"/>
        <v>No</v>
      </c>
    </row>
    <row r="347" spans="1:11" ht="15" customHeight="1" x14ac:dyDescent="0.3">
      <c r="A347" s="3" t="str">
        <f>Hoja1!A347</f>
        <v>C0346</v>
      </c>
      <c r="B347" s="3" t="str">
        <f>Hoja1!B347</f>
        <v>Eli Rovira Busquets</v>
      </c>
      <c r="C347" s="3" t="str">
        <f>IF(COUNTA(Hoja1!A347:I347)=0,"Sí","No")</f>
        <v>No</v>
      </c>
      <c r="D347" s="3" t="str">
        <f>IF(COUNTBLANK(Hoja1!A347:I347)&gt;0,"Sí","No")</f>
        <v>No</v>
      </c>
      <c r="E347" s="3" t="str">
        <f>IF(COUNTIF(Hoja1!$A$2:$A$1000,Hoja1!A347)&gt;1,"Sí","No")</f>
        <v>No</v>
      </c>
      <c r="F347" s="3" t="str">
        <f>IF(COUNTIF(Hoja1!$G$2:$G$1000,Hoja1!G347)&gt;1,"Sí","No")</f>
        <v>No</v>
      </c>
      <c r="G347" s="3" t="str">
        <f>IF(OR(ISERROR(FIND("@",Hoja1!G347)),ISERROR(FIND(".",Hoja1!G347,FIND("@",Hoja1!G347)))),"Sí","No")</f>
        <v>No</v>
      </c>
      <c r="H347" s="3" t="str">
        <f>IF(LEN(Hoja1!F347)&lt;&gt;14,"Sí","No")</f>
        <v>No</v>
      </c>
      <c r="I347" s="3" t="str">
        <f>IF(Hoja1!C347&gt;Hoja1!H347,"Sí","No")</f>
        <v>No</v>
      </c>
      <c r="J347" s="3" t="str">
        <f>IF(SUMPRODUCT(--ISNUMBER(SEARCH({"0";"1";"2";"3";"4";"5";"6";"7";"8";"9"},Hoja1!D347)))=0,"Sí","No")</f>
        <v>No</v>
      </c>
      <c r="K347" s="3" t="str">
        <f t="shared" si="5"/>
        <v>No</v>
      </c>
    </row>
    <row r="348" spans="1:11" ht="15" customHeight="1" x14ac:dyDescent="0.3">
      <c r="A348" s="3" t="str">
        <f>Hoja1!A348</f>
        <v>C0347</v>
      </c>
      <c r="B348" s="3" t="str">
        <f>Hoja1!B348</f>
        <v>Remedios Barbero Calderón</v>
      </c>
      <c r="C348" s="3" t="str">
        <f>IF(COUNTA(Hoja1!A348:I348)=0,"Sí","No")</f>
        <v>No</v>
      </c>
      <c r="D348" s="3" t="str">
        <f>IF(COUNTBLANK(Hoja1!A348:I348)&gt;0,"Sí","No")</f>
        <v>No</v>
      </c>
      <c r="E348" s="3" t="str">
        <f>IF(COUNTIF(Hoja1!$A$2:$A$1000,Hoja1!A348)&gt;1,"Sí","No")</f>
        <v>No</v>
      </c>
      <c r="F348" s="3" t="str">
        <f>IF(COUNTIF(Hoja1!$G$2:$G$1000,Hoja1!G348)&gt;1,"Sí","No")</f>
        <v>No</v>
      </c>
      <c r="G348" s="3" t="str">
        <f>IF(OR(ISERROR(FIND("@",Hoja1!G348)),ISERROR(FIND(".",Hoja1!G348,FIND("@",Hoja1!G348)))),"Sí","No")</f>
        <v>No</v>
      </c>
      <c r="H348" s="3" t="str">
        <f>IF(LEN(Hoja1!F348)&lt;&gt;14,"Sí","No")</f>
        <v>No</v>
      </c>
      <c r="I348" s="3" t="str">
        <f>IF(Hoja1!C348&gt;Hoja1!H348,"Sí","No")</f>
        <v>No</v>
      </c>
      <c r="J348" s="3" t="str">
        <f>IF(SUMPRODUCT(--ISNUMBER(SEARCH({"0";"1";"2";"3";"4";"5";"6";"7";"8";"9"},Hoja1!D348)))=0,"Sí","No")</f>
        <v>No</v>
      </c>
      <c r="K348" s="3" t="str">
        <f t="shared" si="5"/>
        <v>No</v>
      </c>
    </row>
    <row r="349" spans="1:11" ht="15" customHeight="1" x14ac:dyDescent="0.3">
      <c r="A349" s="3" t="str">
        <f>Hoja1!A349</f>
        <v>C0348</v>
      </c>
      <c r="B349" s="3" t="str">
        <f>Hoja1!B349</f>
        <v>Telmo Azcona Huerta</v>
      </c>
      <c r="C349" s="3" t="str">
        <f>IF(COUNTA(Hoja1!A349:I349)=0,"Sí","No")</f>
        <v>No</v>
      </c>
      <c r="D349" s="3" t="str">
        <f>IF(COUNTBLANK(Hoja1!A349:I349)&gt;0,"Sí","No")</f>
        <v>No</v>
      </c>
      <c r="E349" s="3" t="str">
        <f>IF(COUNTIF(Hoja1!$A$2:$A$1000,Hoja1!A349)&gt;1,"Sí","No")</f>
        <v>No</v>
      </c>
      <c r="F349" s="3" t="str">
        <f>IF(COUNTIF(Hoja1!$G$2:$G$1000,Hoja1!G349)&gt;1,"Sí","No")</f>
        <v>No</v>
      </c>
      <c r="G349" s="3" t="str">
        <f>IF(OR(ISERROR(FIND("@",Hoja1!G349)),ISERROR(FIND(".",Hoja1!G349,FIND("@",Hoja1!G349)))),"Sí","No")</f>
        <v>No</v>
      </c>
      <c r="H349" s="3" t="str">
        <f>IF(LEN(Hoja1!F349)&lt;&gt;14,"Sí","No")</f>
        <v>No</v>
      </c>
      <c r="I349" s="3" t="str">
        <f>IF(Hoja1!C349&gt;Hoja1!H349,"Sí","No")</f>
        <v>No</v>
      </c>
      <c r="J349" s="3" t="str">
        <f>IF(SUMPRODUCT(--ISNUMBER(SEARCH({"0";"1";"2";"3";"4";"5";"6";"7";"8";"9"},Hoja1!D349)))=0,"Sí","No")</f>
        <v>No</v>
      </c>
      <c r="K349" s="3" t="str">
        <f t="shared" si="5"/>
        <v>No</v>
      </c>
    </row>
    <row r="350" spans="1:11" ht="15" customHeight="1" x14ac:dyDescent="0.3">
      <c r="A350" s="3" t="str">
        <f>Hoja1!A350</f>
        <v>C0349</v>
      </c>
      <c r="B350" s="3" t="str">
        <f>Hoja1!B350</f>
        <v>Jose Luis Salgado Monreal</v>
      </c>
      <c r="C350" s="3" t="str">
        <f>IF(COUNTA(Hoja1!A350:I350)=0,"Sí","No")</f>
        <v>No</v>
      </c>
      <c r="D350" s="3" t="str">
        <f>IF(COUNTBLANK(Hoja1!A350:I350)&gt;0,"Sí","No")</f>
        <v>No</v>
      </c>
      <c r="E350" s="3" t="str">
        <f>IF(COUNTIF(Hoja1!$A$2:$A$1000,Hoja1!A350)&gt;1,"Sí","No")</f>
        <v>No</v>
      </c>
      <c r="F350" s="3" t="str">
        <f>IF(COUNTIF(Hoja1!$G$2:$G$1000,Hoja1!G350)&gt;1,"Sí","No")</f>
        <v>Sí</v>
      </c>
      <c r="G350" s="3" t="str">
        <f>IF(OR(ISERROR(FIND("@",Hoja1!G350)),ISERROR(FIND(".",Hoja1!G350,FIND("@",Hoja1!G350)))),"Sí","No")</f>
        <v>No</v>
      </c>
      <c r="H350" s="3" t="str">
        <f>IF(LEN(Hoja1!F350)&lt;&gt;14,"Sí","No")</f>
        <v>No</v>
      </c>
      <c r="I350" s="3" t="str">
        <f>IF(Hoja1!C350&gt;Hoja1!H350,"Sí","No")</f>
        <v>No</v>
      </c>
      <c r="J350" s="3" t="str">
        <f>IF(SUMPRODUCT(--ISNUMBER(SEARCH({"0";"1";"2";"3";"4";"5";"6";"7";"8";"9"},Hoja1!D350)))=0,"Sí","No")</f>
        <v>No</v>
      </c>
      <c r="K350" s="3" t="str">
        <f t="shared" si="5"/>
        <v>Sí</v>
      </c>
    </row>
    <row r="351" spans="1:11" ht="15" customHeight="1" x14ac:dyDescent="0.3">
      <c r="A351" s="3" t="str">
        <f>Hoja1!A351</f>
        <v>C0350</v>
      </c>
      <c r="B351" s="3" t="str">
        <f>Hoja1!B351</f>
        <v>Maximiliano Ferrer Solé</v>
      </c>
      <c r="C351" s="3" t="str">
        <f>IF(COUNTA(Hoja1!A351:I351)=0,"Sí","No")</f>
        <v>No</v>
      </c>
      <c r="D351" s="3" t="str">
        <f>IF(COUNTBLANK(Hoja1!A351:I351)&gt;0,"Sí","No")</f>
        <v>No</v>
      </c>
      <c r="E351" s="3" t="str">
        <f>IF(COUNTIF(Hoja1!$A$2:$A$1000,Hoja1!A351)&gt;1,"Sí","No")</f>
        <v>No</v>
      </c>
      <c r="F351" s="3" t="str">
        <f>IF(COUNTIF(Hoja1!$G$2:$G$1000,Hoja1!G351)&gt;1,"Sí","No")</f>
        <v>No</v>
      </c>
      <c r="G351" s="3" t="str">
        <f>IF(OR(ISERROR(FIND("@",Hoja1!G351)),ISERROR(FIND(".",Hoja1!G351,FIND("@",Hoja1!G351)))),"Sí","No")</f>
        <v>No</v>
      </c>
      <c r="H351" s="3" t="str">
        <f>IF(LEN(Hoja1!F351)&lt;&gt;14,"Sí","No")</f>
        <v>No</v>
      </c>
      <c r="I351" s="3" t="str">
        <f>IF(Hoja1!C351&gt;Hoja1!H351,"Sí","No")</f>
        <v>No</v>
      </c>
      <c r="J351" s="3" t="str">
        <f>IF(SUMPRODUCT(--ISNUMBER(SEARCH({"0";"1";"2";"3";"4";"5";"6";"7";"8";"9"},Hoja1!D351)))=0,"Sí","No")</f>
        <v>No</v>
      </c>
      <c r="K351" s="3" t="str">
        <f t="shared" si="5"/>
        <v>No</v>
      </c>
    </row>
    <row r="352" spans="1:11" ht="15" customHeight="1" x14ac:dyDescent="0.3">
      <c r="A352" s="3" t="str">
        <f>Hoja1!A352</f>
        <v>C0351</v>
      </c>
      <c r="B352" s="3" t="str">
        <f>Hoja1!B352</f>
        <v>Seve Pellicer Arévalo</v>
      </c>
      <c r="C352" s="3" t="str">
        <f>IF(COUNTA(Hoja1!A352:I352)=0,"Sí","No")</f>
        <v>No</v>
      </c>
      <c r="D352" s="3" t="str">
        <f>IF(COUNTBLANK(Hoja1!A352:I352)&gt;0,"Sí","No")</f>
        <v>No</v>
      </c>
      <c r="E352" s="3" t="str">
        <f>IF(COUNTIF(Hoja1!$A$2:$A$1000,Hoja1!A352)&gt;1,"Sí","No")</f>
        <v>No</v>
      </c>
      <c r="F352" s="3" t="str">
        <f>IF(COUNTIF(Hoja1!$G$2:$G$1000,Hoja1!G352)&gt;1,"Sí","No")</f>
        <v>No</v>
      </c>
      <c r="G352" s="3" t="str">
        <f>IF(OR(ISERROR(FIND("@",Hoja1!G352)),ISERROR(FIND(".",Hoja1!G352,FIND("@",Hoja1!G352)))),"Sí","No")</f>
        <v>No</v>
      </c>
      <c r="H352" s="3" t="str">
        <f>IF(LEN(Hoja1!F352)&lt;&gt;14,"Sí","No")</f>
        <v>No</v>
      </c>
      <c r="I352" s="3" t="str">
        <f>IF(Hoja1!C352&gt;Hoja1!H352,"Sí","No")</f>
        <v>No</v>
      </c>
      <c r="J352" s="3" t="str">
        <f>IF(SUMPRODUCT(--ISNUMBER(SEARCH({"0";"1";"2";"3";"4";"5";"6";"7";"8";"9"},Hoja1!D352)))=0,"Sí","No")</f>
        <v>No</v>
      </c>
      <c r="K352" s="3" t="str">
        <f t="shared" si="5"/>
        <v>No</v>
      </c>
    </row>
    <row r="353" spans="1:11" ht="15" customHeight="1" x14ac:dyDescent="0.3">
      <c r="A353" s="3" t="str">
        <f>Hoja1!A353</f>
        <v>C0352</v>
      </c>
      <c r="B353" s="3" t="str">
        <f>Hoja1!B353</f>
        <v>Poncio Gallart Cano</v>
      </c>
      <c r="C353" s="3" t="str">
        <f>IF(COUNTA(Hoja1!A353:I353)=0,"Sí","No")</f>
        <v>No</v>
      </c>
      <c r="D353" s="3" t="str">
        <f>IF(COUNTBLANK(Hoja1!A353:I353)&gt;0,"Sí","No")</f>
        <v>No</v>
      </c>
      <c r="E353" s="3" t="str">
        <f>IF(COUNTIF(Hoja1!$A$2:$A$1000,Hoja1!A353)&gt;1,"Sí","No")</f>
        <v>No</v>
      </c>
      <c r="F353" s="3" t="str">
        <f>IF(COUNTIF(Hoja1!$G$2:$G$1000,Hoja1!G353)&gt;1,"Sí","No")</f>
        <v>No</v>
      </c>
      <c r="G353" s="3" t="str">
        <f>IF(OR(ISERROR(FIND("@",Hoja1!G353)),ISERROR(FIND(".",Hoja1!G353,FIND("@",Hoja1!G353)))),"Sí","No")</f>
        <v>No</v>
      </c>
      <c r="H353" s="3" t="str">
        <f>IF(LEN(Hoja1!F353)&lt;&gt;14,"Sí","No")</f>
        <v>No</v>
      </c>
      <c r="I353" s="3" t="str">
        <f>IF(Hoja1!C353&gt;Hoja1!H353,"Sí","No")</f>
        <v>No</v>
      </c>
      <c r="J353" s="3" t="str">
        <f>IF(SUMPRODUCT(--ISNUMBER(SEARCH({"0";"1";"2";"3";"4";"5";"6";"7";"8";"9"},Hoja1!D353)))=0,"Sí","No")</f>
        <v>No</v>
      </c>
      <c r="K353" s="3" t="str">
        <f t="shared" si="5"/>
        <v>No</v>
      </c>
    </row>
    <row r="354" spans="1:11" ht="15" customHeight="1" x14ac:dyDescent="0.3">
      <c r="A354" s="3" t="str">
        <f>Hoja1!A354</f>
        <v>C0353</v>
      </c>
      <c r="B354" s="3" t="str">
        <f>Hoja1!B354</f>
        <v>Abril Morante-Portero</v>
      </c>
      <c r="C354" s="3" t="str">
        <f>IF(COUNTA(Hoja1!A354:I354)=0,"Sí","No")</f>
        <v>No</v>
      </c>
      <c r="D354" s="3" t="str">
        <f>IF(COUNTBLANK(Hoja1!A354:I354)&gt;0,"Sí","No")</f>
        <v>No</v>
      </c>
      <c r="E354" s="3" t="str">
        <f>IF(COUNTIF(Hoja1!$A$2:$A$1000,Hoja1!A354)&gt;1,"Sí","No")</f>
        <v>No</v>
      </c>
      <c r="F354" s="3" t="str">
        <f>IF(COUNTIF(Hoja1!$G$2:$G$1000,Hoja1!G354)&gt;1,"Sí","No")</f>
        <v>No</v>
      </c>
      <c r="G354" s="3" t="str">
        <f>IF(OR(ISERROR(FIND("@",Hoja1!G354)),ISERROR(FIND(".",Hoja1!G354,FIND("@",Hoja1!G354)))),"Sí","No")</f>
        <v>No</v>
      </c>
      <c r="H354" s="3" t="str">
        <f>IF(LEN(Hoja1!F354)&lt;&gt;14,"Sí","No")</f>
        <v>No</v>
      </c>
      <c r="I354" s="3" t="str">
        <f>IF(Hoja1!C354&gt;Hoja1!H354,"Sí","No")</f>
        <v>No</v>
      </c>
      <c r="J354" s="3" t="str">
        <f>IF(SUMPRODUCT(--ISNUMBER(SEARCH({"0";"1";"2";"3";"4";"5";"6";"7";"8";"9"},Hoja1!D354)))=0,"Sí","No")</f>
        <v>No</v>
      </c>
      <c r="K354" s="3" t="str">
        <f t="shared" si="5"/>
        <v>No</v>
      </c>
    </row>
    <row r="355" spans="1:11" ht="15" customHeight="1" x14ac:dyDescent="0.3">
      <c r="A355" s="3" t="str">
        <f>Hoja1!A355</f>
        <v>C0354</v>
      </c>
      <c r="B355" s="3" t="str">
        <f>Hoja1!B355</f>
        <v>Alondra Arroyo Moraleda</v>
      </c>
      <c r="C355" s="3" t="str">
        <f>IF(COUNTA(Hoja1!A355:I355)=0,"Sí","No")</f>
        <v>No</v>
      </c>
      <c r="D355" s="3" t="str">
        <f>IF(COUNTBLANK(Hoja1!A355:I355)&gt;0,"Sí","No")</f>
        <v>No</v>
      </c>
      <c r="E355" s="3" t="str">
        <f>IF(COUNTIF(Hoja1!$A$2:$A$1000,Hoja1!A355)&gt;1,"Sí","No")</f>
        <v>No</v>
      </c>
      <c r="F355" s="3" t="str">
        <f>IF(COUNTIF(Hoja1!$G$2:$G$1000,Hoja1!G355)&gt;1,"Sí","No")</f>
        <v>No</v>
      </c>
      <c r="G355" s="3" t="str">
        <f>IF(OR(ISERROR(FIND("@",Hoja1!G355)),ISERROR(FIND(".",Hoja1!G355,FIND("@",Hoja1!G355)))),"Sí","No")</f>
        <v>No</v>
      </c>
      <c r="H355" s="3" t="str">
        <f>IF(LEN(Hoja1!F355)&lt;&gt;14,"Sí","No")</f>
        <v>No</v>
      </c>
      <c r="I355" s="3" t="str">
        <f>IF(Hoja1!C355&gt;Hoja1!H355,"Sí","No")</f>
        <v>No</v>
      </c>
      <c r="J355" s="3" t="str">
        <f>IF(SUMPRODUCT(--ISNUMBER(SEARCH({"0";"1";"2";"3";"4";"5";"6";"7";"8";"9"},Hoja1!D355)))=0,"Sí","No")</f>
        <v>No</v>
      </c>
      <c r="K355" s="3" t="str">
        <f t="shared" si="5"/>
        <v>No</v>
      </c>
    </row>
    <row r="356" spans="1:11" ht="15" customHeight="1" x14ac:dyDescent="0.3">
      <c r="A356" s="3" t="str">
        <f>Hoja1!A356</f>
        <v>C0355</v>
      </c>
      <c r="B356" s="3" t="str">
        <f>Hoja1!B356</f>
        <v>Nando Neira Garcia</v>
      </c>
      <c r="C356" s="3" t="str">
        <f>IF(COUNTA(Hoja1!A356:I356)=0,"Sí","No")</f>
        <v>No</v>
      </c>
      <c r="D356" s="3" t="str">
        <f>IF(COUNTBLANK(Hoja1!A356:I356)&gt;0,"Sí","No")</f>
        <v>No</v>
      </c>
      <c r="E356" s="3" t="str">
        <f>IF(COUNTIF(Hoja1!$A$2:$A$1000,Hoja1!A356)&gt;1,"Sí","No")</f>
        <v>No</v>
      </c>
      <c r="F356" s="3" t="str">
        <f>IF(COUNTIF(Hoja1!$G$2:$G$1000,Hoja1!G356)&gt;1,"Sí","No")</f>
        <v>No</v>
      </c>
      <c r="G356" s="3" t="str">
        <f>IF(OR(ISERROR(FIND("@",Hoja1!G356)),ISERROR(FIND(".",Hoja1!G356,FIND("@",Hoja1!G356)))),"Sí","No")</f>
        <v>No</v>
      </c>
      <c r="H356" s="3" t="str">
        <f>IF(LEN(Hoja1!F356)&lt;&gt;14,"Sí","No")</f>
        <v>No</v>
      </c>
      <c r="I356" s="3" t="str">
        <f>IF(Hoja1!C356&gt;Hoja1!H356,"Sí","No")</f>
        <v>No</v>
      </c>
      <c r="J356" s="3" t="str">
        <f>IF(SUMPRODUCT(--ISNUMBER(SEARCH({"0";"1";"2";"3";"4";"5";"6";"7";"8";"9"},Hoja1!D356)))=0,"Sí","No")</f>
        <v>No</v>
      </c>
      <c r="K356" s="3" t="str">
        <f t="shared" si="5"/>
        <v>No</v>
      </c>
    </row>
    <row r="357" spans="1:11" ht="15" customHeight="1" x14ac:dyDescent="0.3">
      <c r="A357" s="3" t="str">
        <f>Hoja1!A357</f>
        <v>C0356</v>
      </c>
      <c r="B357" s="3" t="str">
        <f>Hoja1!B357</f>
        <v>Soraya Puig Estrada</v>
      </c>
      <c r="C357" s="3" t="str">
        <f>IF(COUNTA(Hoja1!A357:I357)=0,"Sí","No")</f>
        <v>No</v>
      </c>
      <c r="D357" s="3" t="str">
        <f>IF(COUNTBLANK(Hoja1!A357:I357)&gt;0,"Sí","No")</f>
        <v>No</v>
      </c>
      <c r="E357" s="3" t="str">
        <f>IF(COUNTIF(Hoja1!$A$2:$A$1000,Hoja1!A357)&gt;1,"Sí","No")</f>
        <v>No</v>
      </c>
      <c r="F357" s="3" t="str">
        <f>IF(COUNTIF(Hoja1!$G$2:$G$1000,Hoja1!G357)&gt;1,"Sí","No")</f>
        <v>No</v>
      </c>
      <c r="G357" s="3" t="str">
        <f>IF(OR(ISERROR(FIND("@",Hoja1!G357)),ISERROR(FIND(".",Hoja1!G357,FIND("@",Hoja1!G357)))),"Sí","No")</f>
        <v>No</v>
      </c>
      <c r="H357" s="3" t="str">
        <f>IF(LEN(Hoja1!F357)&lt;&gt;14,"Sí","No")</f>
        <v>No</v>
      </c>
      <c r="I357" s="3" t="str">
        <f>IF(Hoja1!C357&gt;Hoja1!H357,"Sí","No")</f>
        <v>No</v>
      </c>
      <c r="J357" s="3" t="str">
        <f>IF(SUMPRODUCT(--ISNUMBER(SEARCH({"0";"1";"2";"3";"4";"5";"6";"7";"8";"9"},Hoja1!D357)))=0,"Sí","No")</f>
        <v>No</v>
      </c>
      <c r="K357" s="3" t="str">
        <f t="shared" si="5"/>
        <v>No</v>
      </c>
    </row>
    <row r="358" spans="1:11" ht="15" customHeight="1" x14ac:dyDescent="0.3">
      <c r="A358" s="3" t="str">
        <f>Hoja1!A358</f>
        <v>C0357</v>
      </c>
      <c r="B358" s="3" t="str">
        <f>Hoja1!B358</f>
        <v>Teresita Ferrera Bernat</v>
      </c>
      <c r="C358" s="3" t="str">
        <f>IF(COUNTA(Hoja1!A358:I358)=0,"Sí","No")</f>
        <v>No</v>
      </c>
      <c r="D358" s="3" t="str">
        <f>IF(COUNTBLANK(Hoja1!A358:I358)&gt;0,"Sí","No")</f>
        <v>No</v>
      </c>
      <c r="E358" s="3" t="str">
        <f>IF(COUNTIF(Hoja1!$A$2:$A$1000,Hoja1!A358)&gt;1,"Sí","No")</f>
        <v>No</v>
      </c>
      <c r="F358" s="3" t="str">
        <f>IF(COUNTIF(Hoja1!$G$2:$G$1000,Hoja1!G358)&gt;1,"Sí","No")</f>
        <v>No</v>
      </c>
      <c r="G358" s="3" t="str">
        <f>IF(OR(ISERROR(FIND("@",Hoja1!G358)),ISERROR(FIND(".",Hoja1!G358,FIND("@",Hoja1!G358)))),"Sí","No")</f>
        <v>No</v>
      </c>
      <c r="H358" s="3" t="str">
        <f>IF(LEN(Hoja1!F358)&lt;&gt;14,"Sí","No")</f>
        <v>No</v>
      </c>
      <c r="I358" s="3" t="str">
        <f>IF(Hoja1!C358&gt;Hoja1!H358,"Sí","No")</f>
        <v>No</v>
      </c>
      <c r="J358" s="3" t="str">
        <f>IF(SUMPRODUCT(--ISNUMBER(SEARCH({"0";"1";"2";"3";"4";"5";"6";"7";"8";"9"},Hoja1!D358)))=0,"Sí","No")</f>
        <v>No</v>
      </c>
      <c r="K358" s="3" t="str">
        <f t="shared" si="5"/>
        <v>No</v>
      </c>
    </row>
    <row r="359" spans="1:11" ht="15" customHeight="1" x14ac:dyDescent="0.3">
      <c r="A359" s="3" t="str">
        <f>Hoja1!A359</f>
        <v>C0358</v>
      </c>
      <c r="B359" s="3" t="str">
        <f>Hoja1!B359</f>
        <v>Ignacio Mendez Casanovas</v>
      </c>
      <c r="C359" s="3" t="str">
        <f>IF(COUNTA(Hoja1!A359:I359)=0,"Sí","No")</f>
        <v>No</v>
      </c>
      <c r="D359" s="3" t="str">
        <f>IF(COUNTBLANK(Hoja1!A359:I359)&gt;0,"Sí","No")</f>
        <v>No</v>
      </c>
      <c r="E359" s="3" t="str">
        <f>IF(COUNTIF(Hoja1!$A$2:$A$1000,Hoja1!A359)&gt;1,"Sí","No")</f>
        <v>No</v>
      </c>
      <c r="F359" s="3" t="str">
        <f>IF(COUNTIF(Hoja1!$G$2:$G$1000,Hoja1!G359)&gt;1,"Sí","No")</f>
        <v>No</v>
      </c>
      <c r="G359" s="3" t="str">
        <f>IF(OR(ISERROR(FIND("@",Hoja1!G359)),ISERROR(FIND(".",Hoja1!G359,FIND("@",Hoja1!G359)))),"Sí","No")</f>
        <v>No</v>
      </c>
      <c r="H359" s="3" t="str">
        <f>IF(LEN(Hoja1!F359)&lt;&gt;14,"Sí","No")</f>
        <v>No</v>
      </c>
      <c r="I359" s="3" t="str">
        <f>IF(Hoja1!C359&gt;Hoja1!H359,"Sí","No")</f>
        <v>No</v>
      </c>
      <c r="J359" s="3" t="str">
        <f>IF(SUMPRODUCT(--ISNUMBER(SEARCH({"0";"1";"2";"3";"4";"5";"6";"7";"8";"9"},Hoja1!D359)))=0,"Sí","No")</f>
        <v>No</v>
      </c>
      <c r="K359" s="3" t="str">
        <f t="shared" si="5"/>
        <v>No</v>
      </c>
    </row>
    <row r="360" spans="1:11" ht="15" customHeight="1" x14ac:dyDescent="0.3">
      <c r="A360" s="3" t="str">
        <f>Hoja1!A360</f>
        <v>C0359</v>
      </c>
      <c r="B360" s="3" t="str">
        <f>Hoja1!B360</f>
        <v>Isabel Bayo Sanchez</v>
      </c>
      <c r="C360" s="3" t="str">
        <f>IF(COUNTA(Hoja1!A360:I360)=0,"Sí","No")</f>
        <v>No</v>
      </c>
      <c r="D360" s="3" t="str">
        <f>IF(COUNTBLANK(Hoja1!A360:I360)&gt;0,"Sí","No")</f>
        <v>No</v>
      </c>
      <c r="E360" s="3" t="str">
        <f>IF(COUNTIF(Hoja1!$A$2:$A$1000,Hoja1!A360)&gt;1,"Sí","No")</f>
        <v>No</v>
      </c>
      <c r="F360" s="3" t="str">
        <f>IF(COUNTIF(Hoja1!$G$2:$G$1000,Hoja1!G360)&gt;1,"Sí","No")</f>
        <v>No</v>
      </c>
      <c r="G360" s="3" t="str">
        <f>IF(OR(ISERROR(FIND("@",Hoja1!G360)),ISERROR(FIND(".",Hoja1!G360,FIND("@",Hoja1!G360)))),"Sí","No")</f>
        <v>No</v>
      </c>
      <c r="H360" s="3" t="str">
        <f>IF(LEN(Hoja1!F360)&lt;&gt;14,"Sí","No")</f>
        <v>No</v>
      </c>
      <c r="I360" s="3" t="str">
        <f>IF(Hoja1!C360&gt;Hoja1!H360,"Sí","No")</f>
        <v>No</v>
      </c>
      <c r="J360" s="3" t="str">
        <f>IF(SUMPRODUCT(--ISNUMBER(SEARCH({"0";"1";"2";"3";"4";"5";"6";"7";"8";"9"},Hoja1!D360)))=0,"Sí","No")</f>
        <v>No</v>
      </c>
      <c r="K360" s="3" t="str">
        <f t="shared" si="5"/>
        <v>No</v>
      </c>
    </row>
    <row r="361" spans="1:11" ht="15" customHeight="1" x14ac:dyDescent="0.3">
      <c r="A361" s="3" t="str">
        <f>Hoja1!A361</f>
        <v>C0360</v>
      </c>
      <c r="B361" s="3" t="str">
        <f>Hoja1!B361</f>
        <v>Ligia Linares Isern</v>
      </c>
      <c r="C361" s="3" t="str">
        <f>IF(COUNTA(Hoja1!A361:I361)=0,"Sí","No")</f>
        <v>No</v>
      </c>
      <c r="D361" s="3" t="str">
        <f>IF(COUNTBLANK(Hoja1!A361:I361)&gt;0,"Sí","No")</f>
        <v>No</v>
      </c>
      <c r="E361" s="3" t="str">
        <f>IF(COUNTIF(Hoja1!$A$2:$A$1000,Hoja1!A361)&gt;1,"Sí","No")</f>
        <v>No</v>
      </c>
      <c r="F361" s="3" t="str">
        <f>IF(COUNTIF(Hoja1!$G$2:$G$1000,Hoja1!G361)&gt;1,"Sí","No")</f>
        <v>No</v>
      </c>
      <c r="G361" s="3" t="str">
        <f>IF(OR(ISERROR(FIND("@",Hoja1!G361)),ISERROR(FIND(".",Hoja1!G361,FIND("@",Hoja1!G361)))),"Sí","No")</f>
        <v>No</v>
      </c>
      <c r="H361" s="3" t="str">
        <f>IF(LEN(Hoja1!F361)&lt;&gt;14,"Sí","No")</f>
        <v>No</v>
      </c>
      <c r="I361" s="3" t="str">
        <f>IF(Hoja1!C361&gt;Hoja1!H361,"Sí","No")</f>
        <v>No</v>
      </c>
      <c r="J361" s="3" t="str">
        <f>IF(SUMPRODUCT(--ISNUMBER(SEARCH({"0";"1";"2";"3";"4";"5";"6";"7";"8";"9"},Hoja1!D361)))=0,"Sí","No")</f>
        <v>No</v>
      </c>
      <c r="K361" s="3" t="str">
        <f t="shared" si="5"/>
        <v>No</v>
      </c>
    </row>
    <row r="362" spans="1:11" ht="15" customHeight="1" x14ac:dyDescent="0.3">
      <c r="A362" s="3" t="str">
        <f>Hoja1!A362</f>
        <v>C0361</v>
      </c>
      <c r="B362" s="3" t="str">
        <f>Hoja1!B362</f>
        <v>Simón Gaya Vallejo</v>
      </c>
      <c r="C362" s="3" t="str">
        <f>IF(COUNTA(Hoja1!A362:I362)=0,"Sí","No")</f>
        <v>No</v>
      </c>
      <c r="D362" s="3" t="str">
        <f>IF(COUNTBLANK(Hoja1!A362:I362)&gt;0,"Sí","No")</f>
        <v>No</v>
      </c>
      <c r="E362" s="3" t="str">
        <f>IF(COUNTIF(Hoja1!$A$2:$A$1000,Hoja1!A362)&gt;1,"Sí","No")</f>
        <v>No</v>
      </c>
      <c r="F362" s="3" t="str">
        <f>IF(COUNTIF(Hoja1!$G$2:$G$1000,Hoja1!G362)&gt;1,"Sí","No")</f>
        <v>No</v>
      </c>
      <c r="G362" s="3" t="str">
        <f>IF(OR(ISERROR(FIND("@",Hoja1!G362)),ISERROR(FIND(".",Hoja1!G362,FIND("@",Hoja1!G362)))),"Sí","No")</f>
        <v>No</v>
      </c>
      <c r="H362" s="3" t="str">
        <f>IF(LEN(Hoja1!F362)&lt;&gt;14,"Sí","No")</f>
        <v>No</v>
      </c>
      <c r="I362" s="3" t="str">
        <f>IF(Hoja1!C362&gt;Hoja1!H362,"Sí","No")</f>
        <v>No</v>
      </c>
      <c r="J362" s="3" t="str">
        <f>IF(SUMPRODUCT(--ISNUMBER(SEARCH({"0";"1";"2";"3";"4";"5";"6";"7";"8";"9"},Hoja1!D362)))=0,"Sí","No")</f>
        <v>No</v>
      </c>
      <c r="K362" s="3" t="str">
        <f t="shared" si="5"/>
        <v>No</v>
      </c>
    </row>
    <row r="363" spans="1:11" ht="15" customHeight="1" x14ac:dyDescent="0.3">
      <c r="A363" s="3" t="str">
        <f>Hoja1!A363</f>
        <v>C0362</v>
      </c>
      <c r="B363" s="3" t="str">
        <f>Hoja1!B363</f>
        <v>Chus Larrañaga Hernando</v>
      </c>
      <c r="C363" s="3" t="str">
        <f>IF(COUNTA(Hoja1!A363:I363)=0,"Sí","No")</f>
        <v>No</v>
      </c>
      <c r="D363" s="3" t="str">
        <f>IF(COUNTBLANK(Hoja1!A363:I363)&gt;0,"Sí","No")</f>
        <v>No</v>
      </c>
      <c r="E363" s="3" t="str">
        <f>IF(COUNTIF(Hoja1!$A$2:$A$1000,Hoja1!A363)&gt;1,"Sí","No")</f>
        <v>No</v>
      </c>
      <c r="F363" s="3" t="str">
        <f>IF(COUNTIF(Hoja1!$G$2:$G$1000,Hoja1!G363)&gt;1,"Sí","No")</f>
        <v>No</v>
      </c>
      <c r="G363" s="3" t="str">
        <f>IF(OR(ISERROR(FIND("@",Hoja1!G363)),ISERROR(FIND(".",Hoja1!G363,FIND("@",Hoja1!G363)))),"Sí","No")</f>
        <v>No</v>
      </c>
      <c r="H363" s="3" t="str">
        <f>IF(LEN(Hoja1!F363)&lt;&gt;14,"Sí","No")</f>
        <v>No</v>
      </c>
      <c r="I363" s="3" t="str">
        <f>IF(Hoja1!C363&gt;Hoja1!H363,"Sí","No")</f>
        <v>No</v>
      </c>
      <c r="J363" s="3" t="str">
        <f>IF(SUMPRODUCT(--ISNUMBER(SEARCH({"0";"1";"2";"3";"4";"5";"6";"7";"8";"9"},Hoja1!D363)))=0,"Sí","No")</f>
        <v>No</v>
      </c>
      <c r="K363" s="3" t="str">
        <f t="shared" si="5"/>
        <v>No</v>
      </c>
    </row>
    <row r="364" spans="1:11" ht="15" customHeight="1" x14ac:dyDescent="0.3">
      <c r="A364" s="3" t="str">
        <f>Hoja1!A364</f>
        <v>C0363</v>
      </c>
      <c r="B364" s="3" t="str">
        <f>Hoja1!B364</f>
        <v>Ángeles Arévalo Balaguer</v>
      </c>
      <c r="C364" s="3" t="str">
        <f>IF(COUNTA(Hoja1!A364:I364)=0,"Sí","No")</f>
        <v>No</v>
      </c>
      <c r="D364" s="3" t="str">
        <f>IF(COUNTBLANK(Hoja1!A364:I364)&gt;0,"Sí","No")</f>
        <v>No</v>
      </c>
      <c r="E364" s="3" t="str">
        <f>IF(COUNTIF(Hoja1!$A$2:$A$1000,Hoja1!A364)&gt;1,"Sí","No")</f>
        <v>No</v>
      </c>
      <c r="F364" s="3" t="str">
        <f>IF(COUNTIF(Hoja1!$G$2:$G$1000,Hoja1!G364)&gt;1,"Sí","No")</f>
        <v>No</v>
      </c>
      <c r="G364" s="3" t="str">
        <f>IF(OR(ISERROR(FIND("@",Hoja1!G364)),ISERROR(FIND(".",Hoja1!G364,FIND("@",Hoja1!G364)))),"Sí","No")</f>
        <v>No</v>
      </c>
      <c r="H364" s="3" t="str">
        <f>IF(LEN(Hoja1!F364)&lt;&gt;14,"Sí","No")</f>
        <v>No</v>
      </c>
      <c r="I364" s="3" t="str">
        <f>IF(Hoja1!C364&gt;Hoja1!H364,"Sí","No")</f>
        <v>No</v>
      </c>
      <c r="J364" s="3" t="str">
        <f>IF(SUMPRODUCT(--ISNUMBER(SEARCH({"0";"1";"2";"3";"4";"5";"6";"7";"8";"9"},Hoja1!D364)))=0,"Sí","No")</f>
        <v>No</v>
      </c>
      <c r="K364" s="3" t="str">
        <f t="shared" si="5"/>
        <v>No</v>
      </c>
    </row>
    <row r="365" spans="1:11" ht="15" customHeight="1" x14ac:dyDescent="0.3">
      <c r="A365" s="3" t="str">
        <f>Hoja1!A365</f>
        <v>C0364</v>
      </c>
      <c r="B365" s="3" t="str">
        <f>Hoja1!B365</f>
        <v>Benito Juan Francisco Aramburu Fiol</v>
      </c>
      <c r="C365" s="3" t="str">
        <f>IF(COUNTA(Hoja1!A365:I365)=0,"Sí","No")</f>
        <v>No</v>
      </c>
      <c r="D365" s="3" t="str">
        <f>IF(COUNTBLANK(Hoja1!A365:I365)&gt;0,"Sí","No")</f>
        <v>No</v>
      </c>
      <c r="E365" s="3" t="str">
        <f>IF(COUNTIF(Hoja1!$A$2:$A$1000,Hoja1!A365)&gt;1,"Sí","No")</f>
        <v>No</v>
      </c>
      <c r="F365" s="3" t="str">
        <f>IF(COUNTIF(Hoja1!$G$2:$G$1000,Hoja1!G365)&gt;1,"Sí","No")</f>
        <v>No</v>
      </c>
      <c r="G365" s="3" t="str">
        <f>IF(OR(ISERROR(FIND("@",Hoja1!G365)),ISERROR(FIND(".",Hoja1!G365,FIND("@",Hoja1!G365)))),"Sí","No")</f>
        <v>No</v>
      </c>
      <c r="H365" s="3" t="str">
        <f>IF(LEN(Hoja1!F365)&lt;&gt;14,"Sí","No")</f>
        <v>No</v>
      </c>
      <c r="I365" s="3" t="str">
        <f>IF(Hoja1!C365&gt;Hoja1!H365,"Sí","No")</f>
        <v>No</v>
      </c>
      <c r="J365" s="3" t="str">
        <f>IF(SUMPRODUCT(--ISNUMBER(SEARCH({"0";"1";"2";"3";"4";"5";"6";"7";"8";"9"},Hoja1!D365)))=0,"Sí","No")</f>
        <v>No</v>
      </c>
      <c r="K365" s="3" t="str">
        <f t="shared" si="5"/>
        <v>No</v>
      </c>
    </row>
    <row r="366" spans="1:11" ht="15" customHeight="1" x14ac:dyDescent="0.3">
      <c r="A366" s="3" t="str">
        <f>Hoja1!A366</f>
        <v>C0365</v>
      </c>
      <c r="B366" s="3" t="str">
        <f>Hoja1!B366</f>
        <v>Amaya Valderrama Gomis</v>
      </c>
      <c r="C366" s="3" t="str">
        <f>IF(COUNTA(Hoja1!A366:I366)=0,"Sí","No")</f>
        <v>No</v>
      </c>
      <c r="D366" s="3" t="str">
        <f>IF(COUNTBLANK(Hoja1!A366:I366)&gt;0,"Sí","No")</f>
        <v>No</v>
      </c>
      <c r="E366" s="3" t="str">
        <f>IF(COUNTIF(Hoja1!$A$2:$A$1000,Hoja1!A366)&gt;1,"Sí","No")</f>
        <v>No</v>
      </c>
      <c r="F366" s="3" t="str">
        <f>IF(COUNTIF(Hoja1!$G$2:$G$1000,Hoja1!G366)&gt;1,"Sí","No")</f>
        <v>No</v>
      </c>
      <c r="G366" s="3" t="str">
        <f>IF(OR(ISERROR(FIND("@",Hoja1!G366)),ISERROR(FIND(".",Hoja1!G366,FIND("@",Hoja1!G366)))),"Sí","No")</f>
        <v>No</v>
      </c>
      <c r="H366" s="3" t="str">
        <f>IF(LEN(Hoja1!F366)&lt;&gt;14,"Sí","No")</f>
        <v>No</v>
      </c>
      <c r="I366" s="3" t="str">
        <f>IF(Hoja1!C366&gt;Hoja1!H366,"Sí","No")</f>
        <v>No</v>
      </c>
      <c r="J366" s="3" t="str">
        <f>IF(SUMPRODUCT(--ISNUMBER(SEARCH({"0";"1";"2";"3";"4";"5";"6";"7";"8";"9"},Hoja1!D366)))=0,"Sí","No")</f>
        <v>No</v>
      </c>
      <c r="K366" s="3" t="str">
        <f t="shared" si="5"/>
        <v>No</v>
      </c>
    </row>
    <row r="367" spans="1:11" ht="15" customHeight="1" x14ac:dyDescent="0.3">
      <c r="A367" s="3" t="str">
        <f>Hoja1!A367</f>
        <v>C0366</v>
      </c>
      <c r="B367" s="3" t="str">
        <f>Hoja1!B367</f>
        <v>Beatriz Rodriguez Iborra</v>
      </c>
      <c r="C367" s="3" t="str">
        <f>IF(COUNTA(Hoja1!A367:I367)=0,"Sí","No")</f>
        <v>No</v>
      </c>
      <c r="D367" s="3" t="str">
        <f>IF(COUNTBLANK(Hoja1!A367:I367)&gt;0,"Sí","No")</f>
        <v>No</v>
      </c>
      <c r="E367" s="3" t="str">
        <f>IF(COUNTIF(Hoja1!$A$2:$A$1000,Hoja1!A367)&gt;1,"Sí","No")</f>
        <v>No</v>
      </c>
      <c r="F367" s="3" t="str">
        <f>IF(COUNTIF(Hoja1!$G$2:$G$1000,Hoja1!G367)&gt;1,"Sí","No")</f>
        <v>No</v>
      </c>
      <c r="G367" s="3" t="str">
        <f>IF(OR(ISERROR(FIND("@",Hoja1!G367)),ISERROR(FIND(".",Hoja1!G367,FIND("@",Hoja1!G367)))),"Sí","No")</f>
        <v>No</v>
      </c>
      <c r="H367" s="3" t="str">
        <f>IF(LEN(Hoja1!F367)&lt;&gt;14,"Sí","No")</f>
        <v>No</v>
      </c>
      <c r="I367" s="3" t="str">
        <f>IF(Hoja1!C367&gt;Hoja1!H367,"Sí","No")</f>
        <v>No</v>
      </c>
      <c r="J367" s="3" t="str">
        <f>IF(SUMPRODUCT(--ISNUMBER(SEARCH({"0";"1";"2";"3";"4";"5";"6";"7";"8";"9"},Hoja1!D367)))=0,"Sí","No")</f>
        <v>No</v>
      </c>
      <c r="K367" s="3" t="str">
        <f t="shared" si="5"/>
        <v>No</v>
      </c>
    </row>
    <row r="368" spans="1:11" ht="15" customHeight="1" x14ac:dyDescent="0.3">
      <c r="A368" s="3" t="str">
        <f>Hoja1!A368</f>
        <v>C0367</v>
      </c>
      <c r="B368" s="3" t="str">
        <f>Hoja1!B368</f>
        <v>Amílcar Ortega Gallo</v>
      </c>
      <c r="C368" s="3" t="str">
        <f>IF(COUNTA(Hoja1!A368:I368)=0,"Sí","No")</f>
        <v>No</v>
      </c>
      <c r="D368" s="3" t="str">
        <f>IF(COUNTBLANK(Hoja1!A368:I368)&gt;0,"Sí","No")</f>
        <v>No</v>
      </c>
      <c r="E368" s="3" t="str">
        <f>IF(COUNTIF(Hoja1!$A$2:$A$1000,Hoja1!A368)&gt;1,"Sí","No")</f>
        <v>No</v>
      </c>
      <c r="F368" s="3" t="str">
        <f>IF(COUNTIF(Hoja1!$G$2:$G$1000,Hoja1!G368)&gt;1,"Sí","No")</f>
        <v>No</v>
      </c>
      <c r="G368" s="3" t="str">
        <f>IF(OR(ISERROR(FIND("@",Hoja1!G368)),ISERROR(FIND(".",Hoja1!G368,FIND("@",Hoja1!G368)))),"Sí","No")</f>
        <v>No</v>
      </c>
      <c r="H368" s="3" t="str">
        <f>IF(LEN(Hoja1!F368)&lt;&gt;14,"Sí","No")</f>
        <v>No</v>
      </c>
      <c r="I368" s="3" t="str">
        <f>IF(Hoja1!C368&gt;Hoja1!H368,"Sí","No")</f>
        <v>No</v>
      </c>
      <c r="J368" s="3" t="str">
        <f>IF(SUMPRODUCT(--ISNUMBER(SEARCH({"0";"1";"2";"3";"4";"5";"6";"7";"8";"9"},Hoja1!D368)))=0,"Sí","No")</f>
        <v>No</v>
      </c>
      <c r="K368" s="3" t="str">
        <f t="shared" si="5"/>
        <v>No</v>
      </c>
    </row>
    <row r="369" spans="1:11" ht="15" customHeight="1" x14ac:dyDescent="0.3">
      <c r="A369" s="3" t="str">
        <f>Hoja1!A369</f>
        <v>C0368</v>
      </c>
      <c r="B369" s="3" t="str">
        <f>Hoja1!B369</f>
        <v>Seve Laguna-Bas</v>
      </c>
      <c r="C369" s="3" t="str">
        <f>IF(COUNTA(Hoja1!A369:I369)=0,"Sí","No")</f>
        <v>No</v>
      </c>
      <c r="D369" s="3" t="str">
        <f>IF(COUNTBLANK(Hoja1!A369:I369)&gt;0,"Sí","No")</f>
        <v>No</v>
      </c>
      <c r="E369" s="3" t="str">
        <f>IF(COUNTIF(Hoja1!$A$2:$A$1000,Hoja1!A369)&gt;1,"Sí","No")</f>
        <v>No</v>
      </c>
      <c r="F369" s="3" t="str">
        <f>IF(COUNTIF(Hoja1!$G$2:$G$1000,Hoja1!G369)&gt;1,"Sí","No")</f>
        <v>No</v>
      </c>
      <c r="G369" s="3" t="str">
        <f>IF(OR(ISERROR(FIND("@",Hoja1!G369)),ISERROR(FIND(".",Hoja1!G369,FIND("@",Hoja1!G369)))),"Sí","No")</f>
        <v>No</v>
      </c>
      <c r="H369" s="3" t="str">
        <f>IF(LEN(Hoja1!F369)&lt;&gt;14,"Sí","No")</f>
        <v>No</v>
      </c>
      <c r="I369" s="3" t="str">
        <f>IF(Hoja1!C369&gt;Hoja1!H369,"Sí","No")</f>
        <v>No</v>
      </c>
      <c r="J369" s="3" t="str">
        <f>IF(SUMPRODUCT(--ISNUMBER(SEARCH({"0";"1";"2";"3";"4";"5";"6";"7";"8";"9"},Hoja1!D369)))=0,"Sí","No")</f>
        <v>No</v>
      </c>
      <c r="K369" s="3" t="str">
        <f t="shared" si="5"/>
        <v>No</v>
      </c>
    </row>
    <row r="370" spans="1:11" ht="15" customHeight="1" x14ac:dyDescent="0.3">
      <c r="A370" s="3" t="str">
        <f>Hoja1!A370</f>
        <v>C0369</v>
      </c>
      <c r="B370" s="3" t="str">
        <f>Hoja1!B370</f>
        <v>Francisco Javier Coloma</v>
      </c>
      <c r="C370" s="3" t="str">
        <f>IF(COUNTA(Hoja1!A370:I370)=0,"Sí","No")</f>
        <v>No</v>
      </c>
      <c r="D370" s="3" t="str">
        <f>IF(COUNTBLANK(Hoja1!A370:I370)&gt;0,"Sí","No")</f>
        <v>No</v>
      </c>
      <c r="E370" s="3" t="str">
        <f>IF(COUNTIF(Hoja1!$A$2:$A$1000,Hoja1!A370)&gt;1,"Sí","No")</f>
        <v>No</v>
      </c>
      <c r="F370" s="3" t="str">
        <f>IF(COUNTIF(Hoja1!$G$2:$G$1000,Hoja1!G370)&gt;1,"Sí","No")</f>
        <v>No</v>
      </c>
      <c r="G370" s="3" t="str">
        <f>IF(OR(ISERROR(FIND("@",Hoja1!G370)),ISERROR(FIND(".",Hoja1!G370,FIND("@",Hoja1!G370)))),"Sí","No")</f>
        <v>No</v>
      </c>
      <c r="H370" s="3" t="str">
        <f>IF(LEN(Hoja1!F370)&lt;&gt;14,"Sí","No")</f>
        <v>No</v>
      </c>
      <c r="I370" s="3" t="str">
        <f>IF(Hoja1!C370&gt;Hoja1!H370,"Sí","No")</f>
        <v>No</v>
      </c>
      <c r="J370" s="3" t="str">
        <f>IF(SUMPRODUCT(--ISNUMBER(SEARCH({"0";"1";"2";"3";"4";"5";"6";"7";"8";"9"},Hoja1!D370)))=0,"Sí","No")</f>
        <v>No</v>
      </c>
      <c r="K370" s="3" t="str">
        <f t="shared" si="5"/>
        <v>No</v>
      </c>
    </row>
    <row r="371" spans="1:11" ht="15" customHeight="1" x14ac:dyDescent="0.3">
      <c r="A371" s="3" t="str">
        <f>Hoja1!A371</f>
        <v>C0370</v>
      </c>
      <c r="B371" s="3" t="str">
        <f>Hoja1!B371</f>
        <v>Erasmo Crespo Gallego</v>
      </c>
      <c r="C371" s="3" t="str">
        <f>IF(COUNTA(Hoja1!A371:I371)=0,"Sí","No")</f>
        <v>No</v>
      </c>
      <c r="D371" s="3" t="str">
        <f>IF(COUNTBLANK(Hoja1!A371:I371)&gt;0,"Sí","No")</f>
        <v>No</v>
      </c>
      <c r="E371" s="3" t="str">
        <f>IF(COUNTIF(Hoja1!$A$2:$A$1000,Hoja1!A371)&gt;1,"Sí","No")</f>
        <v>No</v>
      </c>
      <c r="F371" s="3" t="str">
        <f>IF(COUNTIF(Hoja1!$G$2:$G$1000,Hoja1!G371)&gt;1,"Sí","No")</f>
        <v>No</v>
      </c>
      <c r="G371" s="3" t="str">
        <f>IF(OR(ISERROR(FIND("@",Hoja1!G371)),ISERROR(FIND(".",Hoja1!G371,FIND("@",Hoja1!G371)))),"Sí","No")</f>
        <v>No</v>
      </c>
      <c r="H371" s="3" t="str">
        <f>IF(LEN(Hoja1!F371)&lt;&gt;14,"Sí","No")</f>
        <v>No</v>
      </c>
      <c r="I371" s="3" t="str">
        <f>IF(Hoja1!C371&gt;Hoja1!H371,"Sí","No")</f>
        <v>No</v>
      </c>
      <c r="J371" s="3" t="str">
        <f>IF(SUMPRODUCT(--ISNUMBER(SEARCH({"0";"1";"2";"3";"4";"5";"6";"7";"8";"9"},Hoja1!D371)))=0,"Sí","No")</f>
        <v>No</v>
      </c>
      <c r="K371" s="3" t="str">
        <f t="shared" si="5"/>
        <v>No</v>
      </c>
    </row>
    <row r="372" spans="1:11" ht="15" customHeight="1" x14ac:dyDescent="0.3">
      <c r="A372" s="3" t="str">
        <f>Hoja1!A372</f>
        <v>C0371</v>
      </c>
      <c r="B372" s="3" t="str">
        <f>Hoja1!B372</f>
        <v>Octavio Perelló-Losada</v>
      </c>
      <c r="C372" s="3" t="str">
        <f>IF(COUNTA(Hoja1!A372:I372)=0,"Sí","No")</f>
        <v>No</v>
      </c>
      <c r="D372" s="3" t="str">
        <f>IF(COUNTBLANK(Hoja1!A372:I372)&gt;0,"Sí","No")</f>
        <v>No</v>
      </c>
      <c r="E372" s="3" t="str">
        <f>IF(COUNTIF(Hoja1!$A$2:$A$1000,Hoja1!A372)&gt;1,"Sí","No")</f>
        <v>No</v>
      </c>
      <c r="F372" s="3" t="str">
        <f>IF(COUNTIF(Hoja1!$G$2:$G$1000,Hoja1!G372)&gt;1,"Sí","No")</f>
        <v>No</v>
      </c>
      <c r="G372" s="3" t="str">
        <f>IF(OR(ISERROR(FIND("@",Hoja1!G372)),ISERROR(FIND(".",Hoja1!G372,FIND("@",Hoja1!G372)))),"Sí","No")</f>
        <v>No</v>
      </c>
      <c r="H372" s="3" t="str">
        <f>IF(LEN(Hoja1!F372)&lt;&gt;14,"Sí","No")</f>
        <v>No</v>
      </c>
      <c r="I372" s="3" t="str">
        <f>IF(Hoja1!C372&gt;Hoja1!H372,"Sí","No")</f>
        <v>No</v>
      </c>
      <c r="J372" s="3" t="str">
        <f>IF(SUMPRODUCT(--ISNUMBER(SEARCH({"0";"1";"2";"3";"4";"5";"6";"7";"8";"9"},Hoja1!D372)))=0,"Sí","No")</f>
        <v>No</v>
      </c>
      <c r="K372" s="3" t="str">
        <f t="shared" si="5"/>
        <v>No</v>
      </c>
    </row>
    <row r="373" spans="1:11" ht="15" customHeight="1" x14ac:dyDescent="0.3">
      <c r="A373" s="3" t="str">
        <f>Hoja1!A373</f>
        <v>C0372</v>
      </c>
      <c r="B373" s="3" t="str">
        <f>Hoja1!B373</f>
        <v>Camila Leticia Arévalo Cuenca</v>
      </c>
      <c r="C373" s="3" t="str">
        <f>IF(COUNTA(Hoja1!A373:I373)=0,"Sí","No")</f>
        <v>No</v>
      </c>
      <c r="D373" s="3" t="str">
        <f>IF(COUNTBLANK(Hoja1!A373:I373)&gt;0,"Sí","No")</f>
        <v>No</v>
      </c>
      <c r="E373" s="3" t="str">
        <f>IF(COUNTIF(Hoja1!$A$2:$A$1000,Hoja1!A373)&gt;1,"Sí","No")</f>
        <v>No</v>
      </c>
      <c r="F373" s="3" t="str">
        <f>IF(COUNTIF(Hoja1!$G$2:$G$1000,Hoja1!G373)&gt;1,"Sí","No")</f>
        <v>No</v>
      </c>
      <c r="G373" s="3" t="str">
        <f>IF(OR(ISERROR(FIND("@",Hoja1!G373)),ISERROR(FIND(".",Hoja1!G373,FIND("@",Hoja1!G373)))),"Sí","No")</f>
        <v>No</v>
      </c>
      <c r="H373" s="3" t="str">
        <f>IF(LEN(Hoja1!F373)&lt;&gt;14,"Sí","No")</f>
        <v>No</v>
      </c>
      <c r="I373" s="3" t="str">
        <f>IF(Hoja1!C373&gt;Hoja1!H373,"Sí","No")</f>
        <v>No</v>
      </c>
      <c r="J373" s="3" t="str">
        <f>IF(SUMPRODUCT(--ISNUMBER(SEARCH({"0";"1";"2";"3";"4";"5";"6";"7";"8";"9"},Hoja1!D373)))=0,"Sí","No")</f>
        <v>No</v>
      </c>
      <c r="K373" s="3" t="str">
        <f t="shared" si="5"/>
        <v>No</v>
      </c>
    </row>
    <row r="374" spans="1:11" ht="15" customHeight="1" x14ac:dyDescent="0.3">
      <c r="A374" s="3" t="str">
        <f>Hoja1!A374</f>
        <v>C0373</v>
      </c>
      <c r="B374" s="3" t="str">
        <f>Hoja1!B374</f>
        <v>Áurea Manuela Piñol Bernal</v>
      </c>
      <c r="C374" s="3" t="str">
        <f>IF(COUNTA(Hoja1!A374:I374)=0,"Sí","No")</f>
        <v>No</v>
      </c>
      <c r="D374" s="3" t="str">
        <f>IF(COUNTBLANK(Hoja1!A374:I374)&gt;0,"Sí","No")</f>
        <v>No</v>
      </c>
      <c r="E374" s="3" t="str">
        <f>IF(COUNTIF(Hoja1!$A$2:$A$1000,Hoja1!A374)&gt;1,"Sí","No")</f>
        <v>No</v>
      </c>
      <c r="F374" s="3" t="str">
        <f>IF(COUNTIF(Hoja1!$G$2:$G$1000,Hoja1!G374)&gt;1,"Sí","No")</f>
        <v>No</v>
      </c>
      <c r="G374" s="3" t="str">
        <f>IF(OR(ISERROR(FIND("@",Hoja1!G374)),ISERROR(FIND(".",Hoja1!G374,FIND("@",Hoja1!G374)))),"Sí","No")</f>
        <v>No</v>
      </c>
      <c r="H374" s="3" t="str">
        <f>IF(LEN(Hoja1!F374)&lt;&gt;14,"Sí","No")</f>
        <v>No</v>
      </c>
      <c r="I374" s="3" t="str">
        <f>IF(Hoja1!C374&gt;Hoja1!H374,"Sí","No")</f>
        <v>No</v>
      </c>
      <c r="J374" s="3" t="str">
        <f>IF(SUMPRODUCT(--ISNUMBER(SEARCH({"0";"1";"2";"3";"4";"5";"6";"7";"8";"9"},Hoja1!D374)))=0,"Sí","No")</f>
        <v>No</v>
      </c>
      <c r="K374" s="3" t="str">
        <f t="shared" si="5"/>
        <v>No</v>
      </c>
    </row>
    <row r="375" spans="1:11" ht="15" customHeight="1" x14ac:dyDescent="0.3">
      <c r="A375" s="3" t="str">
        <f>Hoja1!A375</f>
        <v>C0374</v>
      </c>
      <c r="B375" s="3" t="str">
        <f>Hoja1!B375</f>
        <v>Carina Arcos Vara</v>
      </c>
      <c r="C375" s="3" t="str">
        <f>IF(COUNTA(Hoja1!A375:I375)=0,"Sí","No")</f>
        <v>No</v>
      </c>
      <c r="D375" s="3" t="str">
        <f>IF(COUNTBLANK(Hoja1!A375:I375)&gt;0,"Sí","No")</f>
        <v>No</v>
      </c>
      <c r="E375" s="3" t="str">
        <f>IF(COUNTIF(Hoja1!$A$2:$A$1000,Hoja1!A375)&gt;1,"Sí","No")</f>
        <v>No</v>
      </c>
      <c r="F375" s="3" t="str">
        <f>IF(COUNTIF(Hoja1!$G$2:$G$1000,Hoja1!G375)&gt;1,"Sí","No")</f>
        <v>No</v>
      </c>
      <c r="G375" s="3" t="str">
        <f>IF(OR(ISERROR(FIND("@",Hoja1!G375)),ISERROR(FIND(".",Hoja1!G375,FIND("@",Hoja1!G375)))),"Sí","No")</f>
        <v>No</v>
      </c>
      <c r="H375" s="3" t="str">
        <f>IF(LEN(Hoja1!F375)&lt;&gt;14,"Sí","No")</f>
        <v>No</v>
      </c>
      <c r="I375" s="3" t="str">
        <f>IF(Hoja1!C375&gt;Hoja1!H375,"Sí","No")</f>
        <v>No</v>
      </c>
      <c r="J375" s="3" t="str">
        <f>IF(SUMPRODUCT(--ISNUMBER(SEARCH({"0";"1";"2";"3";"4";"5";"6";"7";"8";"9"},Hoja1!D375)))=0,"Sí","No")</f>
        <v>No</v>
      </c>
      <c r="K375" s="3" t="str">
        <f t="shared" si="5"/>
        <v>No</v>
      </c>
    </row>
    <row r="376" spans="1:11" ht="15" customHeight="1" x14ac:dyDescent="0.3">
      <c r="A376" s="3" t="str">
        <f>Hoja1!A376</f>
        <v>C0375</v>
      </c>
      <c r="B376" s="3" t="str">
        <f>Hoja1!B376</f>
        <v>Yago Baró Garmendia</v>
      </c>
      <c r="C376" s="3" t="str">
        <f>IF(COUNTA(Hoja1!A376:I376)=0,"Sí","No")</f>
        <v>No</v>
      </c>
      <c r="D376" s="3" t="str">
        <f>IF(COUNTBLANK(Hoja1!A376:I376)&gt;0,"Sí","No")</f>
        <v>No</v>
      </c>
      <c r="E376" s="3" t="str">
        <f>IF(COUNTIF(Hoja1!$A$2:$A$1000,Hoja1!A376)&gt;1,"Sí","No")</f>
        <v>No</v>
      </c>
      <c r="F376" s="3" t="str">
        <f>IF(COUNTIF(Hoja1!$G$2:$G$1000,Hoja1!G376)&gt;1,"Sí","No")</f>
        <v>No</v>
      </c>
      <c r="G376" s="3" t="str">
        <f>IF(OR(ISERROR(FIND("@",Hoja1!G376)),ISERROR(FIND(".",Hoja1!G376,FIND("@",Hoja1!G376)))),"Sí","No")</f>
        <v>No</v>
      </c>
      <c r="H376" s="3" t="str">
        <f>IF(LEN(Hoja1!F376)&lt;&gt;14,"Sí","No")</f>
        <v>No</v>
      </c>
      <c r="I376" s="3" t="str">
        <f>IF(Hoja1!C376&gt;Hoja1!H376,"Sí","No")</f>
        <v>No</v>
      </c>
      <c r="J376" s="3" t="str">
        <f>IF(SUMPRODUCT(--ISNUMBER(SEARCH({"0";"1";"2";"3";"4";"5";"6";"7";"8";"9"},Hoja1!D376)))=0,"Sí","No")</f>
        <v>No</v>
      </c>
      <c r="K376" s="3" t="str">
        <f t="shared" si="5"/>
        <v>No</v>
      </c>
    </row>
    <row r="377" spans="1:11" ht="15" customHeight="1" x14ac:dyDescent="0.3">
      <c r="A377" s="3" t="str">
        <f>Hoja1!A377</f>
        <v>C0376</v>
      </c>
      <c r="B377" s="3" t="str">
        <f>Hoja1!B377</f>
        <v>Antonio Folch Grande</v>
      </c>
      <c r="C377" s="3" t="str">
        <f>IF(COUNTA(Hoja1!A377:I377)=0,"Sí","No")</f>
        <v>No</v>
      </c>
      <c r="D377" s="3" t="str">
        <f>IF(COUNTBLANK(Hoja1!A377:I377)&gt;0,"Sí","No")</f>
        <v>No</v>
      </c>
      <c r="E377" s="3" t="str">
        <f>IF(COUNTIF(Hoja1!$A$2:$A$1000,Hoja1!A377)&gt;1,"Sí","No")</f>
        <v>No</v>
      </c>
      <c r="F377" s="3" t="str">
        <f>IF(COUNTIF(Hoja1!$G$2:$G$1000,Hoja1!G377)&gt;1,"Sí","No")</f>
        <v>No</v>
      </c>
      <c r="G377" s="3" t="str">
        <f>IF(OR(ISERROR(FIND("@",Hoja1!G377)),ISERROR(FIND(".",Hoja1!G377,FIND("@",Hoja1!G377)))),"Sí","No")</f>
        <v>No</v>
      </c>
      <c r="H377" s="3" t="str">
        <f>IF(LEN(Hoja1!F377)&lt;&gt;14,"Sí","No")</f>
        <v>No</v>
      </c>
      <c r="I377" s="3" t="str">
        <f>IF(Hoja1!C377&gt;Hoja1!H377,"Sí","No")</f>
        <v>No</v>
      </c>
      <c r="J377" s="3" t="str">
        <f>IF(SUMPRODUCT(--ISNUMBER(SEARCH({"0";"1";"2";"3";"4";"5";"6";"7";"8";"9"},Hoja1!D377)))=0,"Sí","No")</f>
        <v>No</v>
      </c>
      <c r="K377" s="3" t="str">
        <f t="shared" si="5"/>
        <v>No</v>
      </c>
    </row>
    <row r="378" spans="1:11" ht="15" customHeight="1" x14ac:dyDescent="0.3">
      <c r="A378" s="3" t="str">
        <f>Hoja1!A378</f>
        <v>C0377</v>
      </c>
      <c r="B378" s="3" t="str">
        <f>Hoja1!B378</f>
        <v>Jose Ramón de Aguilera</v>
      </c>
      <c r="C378" s="3" t="str">
        <f>IF(COUNTA(Hoja1!A378:I378)=0,"Sí","No")</f>
        <v>No</v>
      </c>
      <c r="D378" s="3" t="str">
        <f>IF(COUNTBLANK(Hoja1!A378:I378)&gt;0,"Sí","No")</f>
        <v>No</v>
      </c>
      <c r="E378" s="3" t="str">
        <f>IF(COUNTIF(Hoja1!$A$2:$A$1000,Hoja1!A378)&gt;1,"Sí","No")</f>
        <v>No</v>
      </c>
      <c r="F378" s="3" t="str">
        <f>IF(COUNTIF(Hoja1!$G$2:$G$1000,Hoja1!G378)&gt;1,"Sí","No")</f>
        <v>No</v>
      </c>
      <c r="G378" s="3" t="str">
        <f>IF(OR(ISERROR(FIND("@",Hoja1!G378)),ISERROR(FIND(".",Hoja1!G378,FIND("@",Hoja1!G378)))),"Sí","No")</f>
        <v>No</v>
      </c>
      <c r="H378" s="3" t="str">
        <f>IF(LEN(Hoja1!F378)&lt;&gt;14,"Sí","No")</f>
        <v>No</v>
      </c>
      <c r="I378" s="3" t="str">
        <f>IF(Hoja1!C378&gt;Hoja1!H378,"Sí","No")</f>
        <v>No</v>
      </c>
      <c r="J378" s="3" t="str">
        <f>IF(SUMPRODUCT(--ISNUMBER(SEARCH({"0";"1";"2";"3";"4";"5";"6";"7";"8";"9"},Hoja1!D378)))=0,"Sí","No")</f>
        <v>No</v>
      </c>
      <c r="K378" s="3" t="str">
        <f t="shared" si="5"/>
        <v>No</v>
      </c>
    </row>
    <row r="379" spans="1:11" ht="15" customHeight="1" x14ac:dyDescent="0.3">
      <c r="A379" s="3" t="str">
        <f>Hoja1!A379</f>
        <v>C0378</v>
      </c>
      <c r="B379" s="3" t="str">
        <f>Hoja1!B379</f>
        <v>Dulce Caridad Rojas Ángel</v>
      </c>
      <c r="C379" s="3" t="str">
        <f>IF(COUNTA(Hoja1!A379:I379)=0,"Sí","No")</f>
        <v>No</v>
      </c>
      <c r="D379" s="3" t="str">
        <f>IF(COUNTBLANK(Hoja1!A379:I379)&gt;0,"Sí","No")</f>
        <v>No</v>
      </c>
      <c r="E379" s="3" t="str">
        <f>IF(COUNTIF(Hoja1!$A$2:$A$1000,Hoja1!A379)&gt;1,"Sí","No")</f>
        <v>No</v>
      </c>
      <c r="F379" s="3" t="str">
        <f>IF(COUNTIF(Hoja1!$G$2:$G$1000,Hoja1!G379)&gt;1,"Sí","No")</f>
        <v>No</v>
      </c>
      <c r="G379" s="3" t="str">
        <f>IF(OR(ISERROR(FIND("@",Hoja1!G379)),ISERROR(FIND(".",Hoja1!G379,FIND("@",Hoja1!G379)))),"Sí","No")</f>
        <v>No</v>
      </c>
      <c r="H379" s="3" t="str">
        <f>IF(LEN(Hoja1!F379)&lt;&gt;14,"Sí","No")</f>
        <v>No</v>
      </c>
      <c r="I379" s="3" t="str">
        <f>IF(Hoja1!C379&gt;Hoja1!H379,"Sí","No")</f>
        <v>No</v>
      </c>
      <c r="J379" s="3" t="str">
        <f>IF(SUMPRODUCT(--ISNUMBER(SEARCH({"0";"1";"2";"3";"4";"5";"6";"7";"8";"9"},Hoja1!D379)))=0,"Sí","No")</f>
        <v>No</v>
      </c>
      <c r="K379" s="3" t="str">
        <f t="shared" si="5"/>
        <v>No</v>
      </c>
    </row>
    <row r="380" spans="1:11" ht="15" customHeight="1" x14ac:dyDescent="0.3">
      <c r="A380" s="3" t="str">
        <f>Hoja1!A380</f>
        <v>C0379</v>
      </c>
      <c r="B380" s="3" t="str">
        <f>Hoja1!B380</f>
        <v>Cruz Benítez</v>
      </c>
      <c r="C380" s="3" t="str">
        <f>IF(COUNTA(Hoja1!A380:I380)=0,"Sí","No")</f>
        <v>No</v>
      </c>
      <c r="D380" s="3" t="str">
        <f>IF(COUNTBLANK(Hoja1!A380:I380)&gt;0,"Sí","No")</f>
        <v>No</v>
      </c>
      <c r="E380" s="3" t="str">
        <f>IF(COUNTIF(Hoja1!$A$2:$A$1000,Hoja1!A380)&gt;1,"Sí","No")</f>
        <v>No</v>
      </c>
      <c r="F380" s="3" t="str">
        <f>IF(COUNTIF(Hoja1!$G$2:$G$1000,Hoja1!G380)&gt;1,"Sí","No")</f>
        <v>No</v>
      </c>
      <c r="G380" s="3" t="str">
        <f>IF(OR(ISERROR(FIND("@",Hoja1!G380)),ISERROR(FIND(".",Hoja1!G380,FIND("@",Hoja1!G380)))),"Sí","No")</f>
        <v>No</v>
      </c>
      <c r="H380" s="3" t="str">
        <f>IF(LEN(Hoja1!F380)&lt;&gt;14,"Sí","No")</f>
        <v>No</v>
      </c>
      <c r="I380" s="3" t="str">
        <f>IF(Hoja1!C380&gt;Hoja1!H380,"Sí","No")</f>
        <v>No</v>
      </c>
      <c r="J380" s="3" t="str">
        <f>IF(SUMPRODUCT(--ISNUMBER(SEARCH({"0";"1";"2";"3";"4";"5";"6";"7";"8";"9"},Hoja1!D380)))=0,"Sí","No")</f>
        <v>No</v>
      </c>
      <c r="K380" s="3" t="str">
        <f t="shared" si="5"/>
        <v>No</v>
      </c>
    </row>
    <row r="381" spans="1:11" ht="15" customHeight="1" x14ac:dyDescent="0.3">
      <c r="A381" s="3" t="str">
        <f>Hoja1!A381</f>
        <v>C0380</v>
      </c>
      <c r="B381" s="3" t="str">
        <f>Hoja1!B381</f>
        <v>Fabio Carnero Boix</v>
      </c>
      <c r="C381" s="3" t="str">
        <f>IF(COUNTA(Hoja1!A381:I381)=0,"Sí","No")</f>
        <v>No</v>
      </c>
      <c r="D381" s="3" t="str">
        <f>IF(COUNTBLANK(Hoja1!A381:I381)&gt;0,"Sí","No")</f>
        <v>No</v>
      </c>
      <c r="E381" s="3" t="str">
        <f>IF(COUNTIF(Hoja1!$A$2:$A$1000,Hoja1!A381)&gt;1,"Sí","No")</f>
        <v>No</v>
      </c>
      <c r="F381" s="3" t="str">
        <f>IF(COUNTIF(Hoja1!$G$2:$G$1000,Hoja1!G381)&gt;1,"Sí","No")</f>
        <v>No</v>
      </c>
      <c r="G381" s="3" t="str">
        <f>IF(OR(ISERROR(FIND("@",Hoja1!G381)),ISERROR(FIND(".",Hoja1!G381,FIND("@",Hoja1!G381)))),"Sí","No")</f>
        <v>No</v>
      </c>
      <c r="H381" s="3" t="str">
        <f>IF(LEN(Hoja1!F381)&lt;&gt;14,"Sí","No")</f>
        <v>No</v>
      </c>
      <c r="I381" s="3" t="str">
        <f>IF(Hoja1!C381&gt;Hoja1!H381,"Sí","No")</f>
        <v>No</v>
      </c>
      <c r="J381" s="3" t="str">
        <f>IF(SUMPRODUCT(--ISNUMBER(SEARCH({"0";"1";"2";"3";"4";"5";"6";"7";"8";"9"},Hoja1!D381)))=0,"Sí","No")</f>
        <v>No</v>
      </c>
      <c r="K381" s="3" t="str">
        <f t="shared" si="5"/>
        <v>No</v>
      </c>
    </row>
    <row r="382" spans="1:11" ht="15" customHeight="1" x14ac:dyDescent="0.3">
      <c r="A382" s="3" t="str">
        <f>Hoja1!A382</f>
        <v>C0381</v>
      </c>
      <c r="B382" s="3" t="str">
        <f>Hoja1!B382</f>
        <v>Nayara Casanovas Alarcón</v>
      </c>
      <c r="C382" s="3" t="str">
        <f>IF(COUNTA(Hoja1!A382:I382)=0,"Sí","No")</f>
        <v>No</v>
      </c>
      <c r="D382" s="3" t="str">
        <f>IF(COUNTBLANK(Hoja1!A382:I382)&gt;0,"Sí","No")</f>
        <v>No</v>
      </c>
      <c r="E382" s="3" t="str">
        <f>IF(COUNTIF(Hoja1!$A$2:$A$1000,Hoja1!A382)&gt;1,"Sí","No")</f>
        <v>No</v>
      </c>
      <c r="F382" s="3" t="str">
        <f>IF(COUNTIF(Hoja1!$G$2:$G$1000,Hoja1!G382)&gt;1,"Sí","No")</f>
        <v>No</v>
      </c>
      <c r="G382" s="3" t="str">
        <f>IF(OR(ISERROR(FIND("@",Hoja1!G382)),ISERROR(FIND(".",Hoja1!G382,FIND("@",Hoja1!G382)))),"Sí","No")</f>
        <v>No</v>
      </c>
      <c r="H382" s="3" t="str">
        <f>IF(LEN(Hoja1!F382)&lt;&gt;14,"Sí","No")</f>
        <v>No</v>
      </c>
      <c r="I382" s="3" t="str">
        <f>IF(Hoja1!C382&gt;Hoja1!H382,"Sí","No")</f>
        <v>No</v>
      </c>
      <c r="J382" s="3" t="str">
        <f>IF(SUMPRODUCT(--ISNUMBER(SEARCH({"0";"1";"2";"3";"4";"5";"6";"7";"8";"9"},Hoja1!D382)))=0,"Sí","No")</f>
        <v>No</v>
      </c>
      <c r="K382" s="3" t="str">
        <f t="shared" si="5"/>
        <v>No</v>
      </c>
    </row>
    <row r="383" spans="1:11" ht="15" customHeight="1" x14ac:dyDescent="0.3">
      <c r="A383" s="3" t="str">
        <f>Hoja1!A383</f>
        <v>C0382</v>
      </c>
      <c r="B383" s="3" t="str">
        <f>Hoja1!B383</f>
        <v>Miguel Villegas Jover</v>
      </c>
      <c r="C383" s="3" t="str">
        <f>IF(COUNTA(Hoja1!A383:I383)=0,"Sí","No")</f>
        <v>No</v>
      </c>
      <c r="D383" s="3" t="str">
        <f>IF(COUNTBLANK(Hoja1!A383:I383)&gt;0,"Sí","No")</f>
        <v>No</v>
      </c>
      <c r="E383" s="3" t="str">
        <f>IF(COUNTIF(Hoja1!$A$2:$A$1000,Hoja1!A383)&gt;1,"Sí","No")</f>
        <v>No</v>
      </c>
      <c r="F383" s="3" t="str">
        <f>IF(COUNTIF(Hoja1!$G$2:$G$1000,Hoja1!G383)&gt;1,"Sí","No")</f>
        <v>No</v>
      </c>
      <c r="G383" s="3" t="str">
        <f>IF(OR(ISERROR(FIND("@",Hoja1!G383)),ISERROR(FIND(".",Hoja1!G383,FIND("@",Hoja1!G383)))),"Sí","No")</f>
        <v>No</v>
      </c>
      <c r="H383" s="3" t="str">
        <f>IF(LEN(Hoja1!F383)&lt;&gt;14,"Sí","No")</f>
        <v>No</v>
      </c>
      <c r="I383" s="3" t="str">
        <f>IF(Hoja1!C383&gt;Hoja1!H383,"Sí","No")</f>
        <v>No</v>
      </c>
      <c r="J383" s="3" t="str">
        <f>IF(SUMPRODUCT(--ISNUMBER(SEARCH({"0";"1";"2";"3";"4";"5";"6";"7";"8";"9"},Hoja1!D383)))=0,"Sí","No")</f>
        <v>No</v>
      </c>
      <c r="K383" s="3" t="str">
        <f t="shared" si="5"/>
        <v>No</v>
      </c>
    </row>
    <row r="384" spans="1:11" ht="15" customHeight="1" x14ac:dyDescent="0.3">
      <c r="A384" s="3" t="str">
        <f>Hoja1!A384</f>
        <v>C0383</v>
      </c>
      <c r="B384" s="3" t="str">
        <f>Hoja1!B384</f>
        <v>Ildefonso Guillén Arrieta</v>
      </c>
      <c r="C384" s="3" t="str">
        <f>IF(COUNTA(Hoja1!A384:I384)=0,"Sí","No")</f>
        <v>No</v>
      </c>
      <c r="D384" s="3" t="str">
        <f>IF(COUNTBLANK(Hoja1!A384:I384)&gt;0,"Sí","No")</f>
        <v>No</v>
      </c>
      <c r="E384" s="3" t="str">
        <f>IF(COUNTIF(Hoja1!$A$2:$A$1000,Hoja1!A384)&gt;1,"Sí","No")</f>
        <v>No</v>
      </c>
      <c r="F384" s="3" t="str">
        <f>IF(COUNTIF(Hoja1!$G$2:$G$1000,Hoja1!G384)&gt;1,"Sí","No")</f>
        <v>No</v>
      </c>
      <c r="G384" s="3" t="str">
        <f>IF(OR(ISERROR(FIND("@",Hoja1!G384)),ISERROR(FIND(".",Hoja1!G384,FIND("@",Hoja1!G384)))),"Sí","No")</f>
        <v>No</v>
      </c>
      <c r="H384" s="3" t="str">
        <f>IF(LEN(Hoja1!F384)&lt;&gt;14,"Sí","No")</f>
        <v>No</v>
      </c>
      <c r="I384" s="3" t="str">
        <f>IF(Hoja1!C384&gt;Hoja1!H384,"Sí","No")</f>
        <v>No</v>
      </c>
      <c r="J384" s="3" t="str">
        <f>IF(SUMPRODUCT(--ISNUMBER(SEARCH({"0";"1";"2";"3";"4";"5";"6";"7";"8";"9"},Hoja1!D384)))=0,"Sí","No")</f>
        <v>No</v>
      </c>
      <c r="K384" s="3" t="str">
        <f t="shared" si="5"/>
        <v>No</v>
      </c>
    </row>
    <row r="385" spans="1:11" ht="15" customHeight="1" x14ac:dyDescent="0.3">
      <c r="A385" s="3" t="str">
        <f>Hoja1!A385</f>
        <v>C0384</v>
      </c>
      <c r="B385" s="3" t="str">
        <f>Hoja1!B385</f>
        <v>Jose Ignacio Armas Ramírez</v>
      </c>
      <c r="C385" s="3" t="str">
        <f>IF(COUNTA(Hoja1!A385:I385)=0,"Sí","No")</f>
        <v>No</v>
      </c>
      <c r="D385" s="3" t="str">
        <f>IF(COUNTBLANK(Hoja1!A385:I385)&gt;0,"Sí","No")</f>
        <v>No</v>
      </c>
      <c r="E385" s="3" t="str">
        <f>IF(COUNTIF(Hoja1!$A$2:$A$1000,Hoja1!A385)&gt;1,"Sí","No")</f>
        <v>No</v>
      </c>
      <c r="F385" s="3" t="str">
        <f>IF(COUNTIF(Hoja1!$G$2:$G$1000,Hoja1!G385)&gt;1,"Sí","No")</f>
        <v>No</v>
      </c>
      <c r="G385" s="3" t="str">
        <f>IF(OR(ISERROR(FIND("@",Hoja1!G385)),ISERROR(FIND(".",Hoja1!G385,FIND("@",Hoja1!G385)))),"Sí","No")</f>
        <v>No</v>
      </c>
      <c r="H385" s="3" t="str">
        <f>IF(LEN(Hoja1!F385)&lt;&gt;14,"Sí","No")</f>
        <v>No</v>
      </c>
      <c r="I385" s="3" t="str">
        <f>IF(Hoja1!C385&gt;Hoja1!H385,"Sí","No")</f>
        <v>No</v>
      </c>
      <c r="J385" s="3" t="str">
        <f>IF(SUMPRODUCT(--ISNUMBER(SEARCH({"0";"1";"2";"3";"4";"5";"6";"7";"8";"9"},Hoja1!D385)))=0,"Sí","No")</f>
        <v>No</v>
      </c>
      <c r="K385" s="3" t="str">
        <f t="shared" si="5"/>
        <v>No</v>
      </c>
    </row>
    <row r="386" spans="1:11" ht="15" customHeight="1" x14ac:dyDescent="0.3">
      <c r="A386" s="3" t="str">
        <f>Hoja1!A386</f>
        <v>C0385</v>
      </c>
      <c r="B386" s="3" t="str">
        <f>Hoja1!B386</f>
        <v>María Jesús Celestina Casas Carrasco</v>
      </c>
      <c r="C386" s="3" t="str">
        <f>IF(COUNTA(Hoja1!A386:I386)=0,"Sí","No")</f>
        <v>No</v>
      </c>
      <c r="D386" s="3" t="str">
        <f>IF(COUNTBLANK(Hoja1!A386:I386)&gt;0,"Sí","No")</f>
        <v>No</v>
      </c>
      <c r="E386" s="3" t="str">
        <f>IF(COUNTIF(Hoja1!$A$2:$A$1000,Hoja1!A386)&gt;1,"Sí","No")</f>
        <v>No</v>
      </c>
      <c r="F386" s="3" t="str">
        <f>IF(COUNTIF(Hoja1!$G$2:$G$1000,Hoja1!G386)&gt;1,"Sí","No")</f>
        <v>No</v>
      </c>
      <c r="G386" s="3" t="str">
        <f>IF(OR(ISERROR(FIND("@",Hoja1!G386)),ISERROR(FIND(".",Hoja1!G386,FIND("@",Hoja1!G386)))),"Sí","No")</f>
        <v>No</v>
      </c>
      <c r="H386" s="3" t="str">
        <f>IF(LEN(Hoja1!F386)&lt;&gt;14,"Sí","No")</f>
        <v>No</v>
      </c>
      <c r="I386" s="3" t="str">
        <f>IF(Hoja1!C386&gt;Hoja1!H386,"Sí","No")</f>
        <v>No</v>
      </c>
      <c r="J386" s="3" t="str">
        <f>IF(SUMPRODUCT(--ISNUMBER(SEARCH({"0";"1";"2";"3";"4";"5";"6";"7";"8";"9"},Hoja1!D386)))=0,"Sí","No")</f>
        <v>No</v>
      </c>
      <c r="K386" s="3" t="str">
        <f t="shared" ref="K386:K449" si="6">IF(COUNTIF(C386:J386,"Sí")&gt;0,"Sí","No")</f>
        <v>No</v>
      </c>
    </row>
    <row r="387" spans="1:11" ht="15" customHeight="1" x14ac:dyDescent="0.3">
      <c r="A387" s="3" t="str">
        <f>Hoja1!A387</f>
        <v>C0386</v>
      </c>
      <c r="B387" s="3" t="str">
        <f>Hoja1!B387</f>
        <v>Mamen Ledesma Escribano</v>
      </c>
      <c r="C387" s="3" t="str">
        <f>IF(COUNTA(Hoja1!A387:I387)=0,"Sí","No")</f>
        <v>No</v>
      </c>
      <c r="D387" s="3" t="str">
        <f>IF(COUNTBLANK(Hoja1!A387:I387)&gt;0,"Sí","No")</f>
        <v>No</v>
      </c>
      <c r="E387" s="3" t="str">
        <f>IF(COUNTIF(Hoja1!$A$2:$A$1000,Hoja1!A387)&gt;1,"Sí","No")</f>
        <v>No</v>
      </c>
      <c r="F387" s="3" t="str">
        <f>IF(COUNTIF(Hoja1!$G$2:$G$1000,Hoja1!G387)&gt;1,"Sí","No")</f>
        <v>No</v>
      </c>
      <c r="G387" s="3" t="str">
        <f>IF(OR(ISERROR(FIND("@",Hoja1!G387)),ISERROR(FIND(".",Hoja1!G387,FIND("@",Hoja1!G387)))),"Sí","No")</f>
        <v>No</v>
      </c>
      <c r="H387" s="3" t="str">
        <f>IF(LEN(Hoja1!F387)&lt;&gt;14,"Sí","No")</f>
        <v>No</v>
      </c>
      <c r="I387" s="3" t="str">
        <f>IF(Hoja1!C387&gt;Hoja1!H387,"Sí","No")</f>
        <v>No</v>
      </c>
      <c r="J387" s="3" t="str">
        <f>IF(SUMPRODUCT(--ISNUMBER(SEARCH({"0";"1";"2";"3";"4";"5";"6";"7";"8";"9"},Hoja1!D387)))=0,"Sí","No")</f>
        <v>No</v>
      </c>
      <c r="K387" s="3" t="str">
        <f t="shared" si="6"/>
        <v>No</v>
      </c>
    </row>
    <row r="388" spans="1:11" ht="15" customHeight="1" x14ac:dyDescent="0.3">
      <c r="A388" s="3" t="str">
        <f>Hoja1!A388</f>
        <v>C0387</v>
      </c>
      <c r="B388" s="3" t="str">
        <f>Hoja1!B388</f>
        <v>Ambrosio Casanovas Piquer</v>
      </c>
      <c r="C388" s="3" t="str">
        <f>IF(COUNTA(Hoja1!A388:I388)=0,"Sí","No")</f>
        <v>No</v>
      </c>
      <c r="D388" s="3" t="str">
        <f>IF(COUNTBLANK(Hoja1!A388:I388)&gt;0,"Sí","No")</f>
        <v>No</v>
      </c>
      <c r="E388" s="3" t="str">
        <f>IF(COUNTIF(Hoja1!$A$2:$A$1000,Hoja1!A388)&gt;1,"Sí","No")</f>
        <v>No</v>
      </c>
      <c r="F388" s="3" t="str">
        <f>IF(COUNTIF(Hoja1!$G$2:$G$1000,Hoja1!G388)&gt;1,"Sí","No")</f>
        <v>No</v>
      </c>
      <c r="G388" s="3" t="str">
        <f>IF(OR(ISERROR(FIND("@",Hoja1!G388)),ISERROR(FIND(".",Hoja1!G388,FIND("@",Hoja1!G388)))),"Sí","No")</f>
        <v>No</v>
      </c>
      <c r="H388" s="3" t="str">
        <f>IF(LEN(Hoja1!F388)&lt;&gt;14,"Sí","No")</f>
        <v>No</v>
      </c>
      <c r="I388" s="3" t="str">
        <f>IF(Hoja1!C388&gt;Hoja1!H388,"Sí","No")</f>
        <v>No</v>
      </c>
      <c r="J388" s="3" t="str">
        <f>IF(SUMPRODUCT(--ISNUMBER(SEARCH({"0";"1";"2";"3";"4";"5";"6";"7";"8";"9"},Hoja1!D388)))=0,"Sí","No")</f>
        <v>No</v>
      </c>
      <c r="K388" s="3" t="str">
        <f t="shared" si="6"/>
        <v>No</v>
      </c>
    </row>
    <row r="389" spans="1:11" ht="15" customHeight="1" x14ac:dyDescent="0.3">
      <c r="A389" s="3" t="str">
        <f>Hoja1!A389</f>
        <v>C0388</v>
      </c>
      <c r="B389" s="3" t="str">
        <f>Hoja1!B389</f>
        <v>Joan Ferrán Alegria</v>
      </c>
      <c r="C389" s="3" t="str">
        <f>IF(COUNTA(Hoja1!A389:I389)=0,"Sí","No")</f>
        <v>No</v>
      </c>
      <c r="D389" s="3" t="str">
        <f>IF(COUNTBLANK(Hoja1!A389:I389)&gt;0,"Sí","No")</f>
        <v>No</v>
      </c>
      <c r="E389" s="3" t="str">
        <f>IF(COUNTIF(Hoja1!$A$2:$A$1000,Hoja1!A389)&gt;1,"Sí","No")</f>
        <v>No</v>
      </c>
      <c r="F389" s="3" t="str">
        <f>IF(COUNTIF(Hoja1!$G$2:$G$1000,Hoja1!G389)&gt;1,"Sí","No")</f>
        <v>No</v>
      </c>
      <c r="G389" s="3" t="str">
        <f>IF(OR(ISERROR(FIND("@",Hoja1!G389)),ISERROR(FIND(".",Hoja1!G389,FIND("@",Hoja1!G389)))),"Sí","No")</f>
        <v>No</v>
      </c>
      <c r="H389" s="3" t="str">
        <f>IF(LEN(Hoja1!F389)&lt;&gt;14,"Sí","No")</f>
        <v>No</v>
      </c>
      <c r="I389" s="3" t="str">
        <f>IF(Hoja1!C389&gt;Hoja1!H389,"Sí","No")</f>
        <v>No</v>
      </c>
      <c r="J389" s="3" t="str">
        <f>IF(SUMPRODUCT(--ISNUMBER(SEARCH({"0";"1";"2";"3";"4";"5";"6";"7";"8";"9"},Hoja1!D389)))=0,"Sí","No")</f>
        <v>No</v>
      </c>
      <c r="K389" s="3" t="str">
        <f t="shared" si="6"/>
        <v>No</v>
      </c>
    </row>
    <row r="390" spans="1:11" ht="15" customHeight="1" x14ac:dyDescent="0.3">
      <c r="A390" s="3" t="str">
        <f>Hoja1!A390</f>
        <v>C0389</v>
      </c>
      <c r="B390" s="3" t="str">
        <f>Hoja1!B390</f>
        <v>Vasco Tamayo Barrio</v>
      </c>
      <c r="C390" s="3" t="str">
        <f>IF(COUNTA(Hoja1!A390:I390)=0,"Sí","No")</f>
        <v>No</v>
      </c>
      <c r="D390" s="3" t="str">
        <f>IF(COUNTBLANK(Hoja1!A390:I390)&gt;0,"Sí","No")</f>
        <v>No</v>
      </c>
      <c r="E390" s="3" t="str">
        <f>IF(COUNTIF(Hoja1!$A$2:$A$1000,Hoja1!A390)&gt;1,"Sí","No")</f>
        <v>No</v>
      </c>
      <c r="F390" s="3" t="str">
        <f>IF(COUNTIF(Hoja1!$G$2:$G$1000,Hoja1!G390)&gt;1,"Sí","No")</f>
        <v>No</v>
      </c>
      <c r="G390" s="3" t="str">
        <f>IF(OR(ISERROR(FIND("@",Hoja1!G390)),ISERROR(FIND(".",Hoja1!G390,FIND("@",Hoja1!G390)))),"Sí","No")</f>
        <v>No</v>
      </c>
      <c r="H390" s="3" t="str">
        <f>IF(LEN(Hoja1!F390)&lt;&gt;14,"Sí","No")</f>
        <v>No</v>
      </c>
      <c r="I390" s="3" t="str">
        <f>IF(Hoja1!C390&gt;Hoja1!H390,"Sí","No")</f>
        <v>No</v>
      </c>
      <c r="J390" s="3" t="str">
        <f>IF(SUMPRODUCT(--ISNUMBER(SEARCH({"0";"1";"2";"3";"4";"5";"6";"7";"8";"9"},Hoja1!D390)))=0,"Sí","No")</f>
        <v>No</v>
      </c>
      <c r="K390" s="3" t="str">
        <f t="shared" si="6"/>
        <v>No</v>
      </c>
    </row>
    <row r="391" spans="1:11" ht="15" customHeight="1" x14ac:dyDescent="0.3">
      <c r="A391" s="3" t="str">
        <f>Hoja1!A391</f>
        <v>C0390</v>
      </c>
      <c r="B391" s="3" t="str">
        <f>Hoja1!B391</f>
        <v>Leire Aroa Alfaro Olmo</v>
      </c>
      <c r="C391" s="3" t="str">
        <f>IF(COUNTA(Hoja1!A391:I391)=0,"Sí","No")</f>
        <v>No</v>
      </c>
      <c r="D391" s="3" t="str">
        <f>IF(COUNTBLANK(Hoja1!A391:I391)&gt;0,"Sí","No")</f>
        <v>No</v>
      </c>
      <c r="E391" s="3" t="str">
        <f>IF(COUNTIF(Hoja1!$A$2:$A$1000,Hoja1!A391)&gt;1,"Sí","No")</f>
        <v>No</v>
      </c>
      <c r="F391" s="3" t="str">
        <f>IF(COUNTIF(Hoja1!$G$2:$G$1000,Hoja1!G391)&gt;1,"Sí","No")</f>
        <v>No</v>
      </c>
      <c r="G391" s="3" t="str">
        <f>IF(OR(ISERROR(FIND("@",Hoja1!G391)),ISERROR(FIND(".",Hoja1!G391,FIND("@",Hoja1!G391)))),"Sí","No")</f>
        <v>No</v>
      </c>
      <c r="H391" s="3" t="str">
        <f>IF(LEN(Hoja1!F391)&lt;&gt;14,"Sí","No")</f>
        <v>No</v>
      </c>
      <c r="I391" s="3" t="str">
        <f>IF(Hoja1!C391&gt;Hoja1!H391,"Sí","No")</f>
        <v>No</v>
      </c>
      <c r="J391" s="3" t="str">
        <f>IF(SUMPRODUCT(--ISNUMBER(SEARCH({"0";"1";"2";"3";"4";"5";"6";"7";"8";"9"},Hoja1!D391)))=0,"Sí","No")</f>
        <v>No</v>
      </c>
      <c r="K391" s="3" t="str">
        <f t="shared" si="6"/>
        <v>No</v>
      </c>
    </row>
    <row r="392" spans="1:11" ht="15" customHeight="1" x14ac:dyDescent="0.3">
      <c r="A392" s="3" t="str">
        <f>Hoja1!A392</f>
        <v>C0391</v>
      </c>
      <c r="B392" s="3" t="str">
        <f>Hoja1!B392</f>
        <v>Felix Guardia Arenas</v>
      </c>
      <c r="C392" s="3" t="str">
        <f>IF(COUNTA(Hoja1!A392:I392)=0,"Sí","No")</f>
        <v>No</v>
      </c>
      <c r="D392" s="3" t="str">
        <f>IF(COUNTBLANK(Hoja1!A392:I392)&gt;0,"Sí","No")</f>
        <v>No</v>
      </c>
      <c r="E392" s="3" t="str">
        <f>IF(COUNTIF(Hoja1!$A$2:$A$1000,Hoja1!A392)&gt;1,"Sí","No")</f>
        <v>No</v>
      </c>
      <c r="F392" s="3" t="str">
        <f>IF(COUNTIF(Hoja1!$G$2:$G$1000,Hoja1!G392)&gt;1,"Sí","No")</f>
        <v>No</v>
      </c>
      <c r="G392" s="3" t="str">
        <f>IF(OR(ISERROR(FIND("@",Hoja1!G392)),ISERROR(FIND(".",Hoja1!G392,FIND("@",Hoja1!G392)))),"Sí","No")</f>
        <v>No</v>
      </c>
      <c r="H392" s="3" t="str">
        <f>IF(LEN(Hoja1!F392)&lt;&gt;14,"Sí","No")</f>
        <v>No</v>
      </c>
      <c r="I392" s="3" t="str">
        <f>IF(Hoja1!C392&gt;Hoja1!H392,"Sí","No")</f>
        <v>No</v>
      </c>
      <c r="J392" s="3" t="str">
        <f>IF(SUMPRODUCT(--ISNUMBER(SEARCH({"0";"1";"2";"3";"4";"5";"6";"7";"8";"9"},Hoja1!D392)))=0,"Sí","No")</f>
        <v>No</v>
      </c>
      <c r="K392" s="3" t="str">
        <f t="shared" si="6"/>
        <v>No</v>
      </c>
    </row>
    <row r="393" spans="1:11" ht="15" customHeight="1" x14ac:dyDescent="0.3">
      <c r="A393" s="3" t="str">
        <f>Hoja1!A393</f>
        <v>C0392</v>
      </c>
      <c r="B393" s="3" t="str">
        <f>Hoja1!B393</f>
        <v>Gloria Dalmau-Bolaños</v>
      </c>
      <c r="C393" s="3" t="str">
        <f>IF(COUNTA(Hoja1!A393:I393)=0,"Sí","No")</f>
        <v>No</v>
      </c>
      <c r="D393" s="3" t="str">
        <f>IF(COUNTBLANK(Hoja1!A393:I393)&gt;0,"Sí","No")</f>
        <v>No</v>
      </c>
      <c r="E393" s="3" t="str">
        <f>IF(COUNTIF(Hoja1!$A$2:$A$1000,Hoja1!A393)&gt;1,"Sí","No")</f>
        <v>No</v>
      </c>
      <c r="F393" s="3" t="str">
        <f>IF(COUNTIF(Hoja1!$G$2:$G$1000,Hoja1!G393)&gt;1,"Sí","No")</f>
        <v>No</v>
      </c>
      <c r="G393" s="3" t="str">
        <f>IF(OR(ISERROR(FIND("@",Hoja1!G393)),ISERROR(FIND(".",Hoja1!G393,FIND("@",Hoja1!G393)))),"Sí","No")</f>
        <v>No</v>
      </c>
      <c r="H393" s="3" t="str">
        <f>IF(LEN(Hoja1!F393)&lt;&gt;14,"Sí","No")</f>
        <v>No</v>
      </c>
      <c r="I393" s="3" t="str">
        <f>IF(Hoja1!C393&gt;Hoja1!H393,"Sí","No")</f>
        <v>No</v>
      </c>
      <c r="J393" s="3" t="str">
        <f>IF(SUMPRODUCT(--ISNUMBER(SEARCH({"0";"1";"2";"3";"4";"5";"6";"7";"8";"9"},Hoja1!D393)))=0,"Sí","No")</f>
        <v>No</v>
      </c>
      <c r="K393" s="3" t="str">
        <f t="shared" si="6"/>
        <v>No</v>
      </c>
    </row>
    <row r="394" spans="1:11" ht="15" customHeight="1" x14ac:dyDescent="0.3">
      <c r="A394" s="3" t="str">
        <f>Hoja1!A394</f>
        <v>C0393</v>
      </c>
      <c r="B394" s="3" t="str">
        <f>Hoja1!B394</f>
        <v>Eliana Solsona Girón</v>
      </c>
      <c r="C394" s="3" t="str">
        <f>IF(COUNTA(Hoja1!A394:I394)=0,"Sí","No")</f>
        <v>No</v>
      </c>
      <c r="D394" s="3" t="str">
        <f>IF(COUNTBLANK(Hoja1!A394:I394)&gt;0,"Sí","No")</f>
        <v>No</v>
      </c>
      <c r="E394" s="3" t="str">
        <f>IF(COUNTIF(Hoja1!$A$2:$A$1000,Hoja1!A394)&gt;1,"Sí","No")</f>
        <v>No</v>
      </c>
      <c r="F394" s="3" t="str">
        <f>IF(COUNTIF(Hoja1!$G$2:$G$1000,Hoja1!G394)&gt;1,"Sí","No")</f>
        <v>No</v>
      </c>
      <c r="G394" s="3" t="str">
        <f>IF(OR(ISERROR(FIND("@",Hoja1!G394)),ISERROR(FIND(".",Hoja1!G394,FIND("@",Hoja1!G394)))),"Sí","No")</f>
        <v>No</v>
      </c>
      <c r="H394" s="3" t="str">
        <f>IF(LEN(Hoja1!F394)&lt;&gt;14,"Sí","No")</f>
        <v>No</v>
      </c>
      <c r="I394" s="3" t="str">
        <f>IF(Hoja1!C394&gt;Hoja1!H394,"Sí","No")</f>
        <v>No</v>
      </c>
      <c r="J394" s="3" t="str">
        <f>IF(SUMPRODUCT(--ISNUMBER(SEARCH({"0";"1";"2";"3";"4";"5";"6";"7";"8";"9"},Hoja1!D394)))=0,"Sí","No")</f>
        <v>No</v>
      </c>
      <c r="K394" s="3" t="str">
        <f t="shared" si="6"/>
        <v>No</v>
      </c>
    </row>
    <row r="395" spans="1:11" ht="15" customHeight="1" x14ac:dyDescent="0.3">
      <c r="A395" s="3" t="str">
        <f>Hoja1!A395</f>
        <v>C0394</v>
      </c>
      <c r="B395" s="3" t="str">
        <f>Hoja1!B395</f>
        <v>Liliana Valdés Bilbao</v>
      </c>
      <c r="C395" s="3" t="str">
        <f>IF(COUNTA(Hoja1!A395:I395)=0,"Sí","No")</f>
        <v>No</v>
      </c>
      <c r="D395" s="3" t="str">
        <f>IF(COUNTBLANK(Hoja1!A395:I395)&gt;0,"Sí","No")</f>
        <v>No</v>
      </c>
      <c r="E395" s="3" t="str">
        <f>IF(COUNTIF(Hoja1!$A$2:$A$1000,Hoja1!A395)&gt;1,"Sí","No")</f>
        <v>No</v>
      </c>
      <c r="F395" s="3" t="str">
        <f>IF(COUNTIF(Hoja1!$G$2:$G$1000,Hoja1!G395)&gt;1,"Sí","No")</f>
        <v>No</v>
      </c>
      <c r="G395" s="3" t="str">
        <f>IF(OR(ISERROR(FIND("@",Hoja1!G395)),ISERROR(FIND(".",Hoja1!G395,FIND("@",Hoja1!G395)))),"Sí","No")</f>
        <v>No</v>
      </c>
      <c r="H395" s="3" t="str">
        <f>IF(LEN(Hoja1!F395)&lt;&gt;14,"Sí","No")</f>
        <v>No</v>
      </c>
      <c r="I395" s="3" t="str">
        <f>IF(Hoja1!C395&gt;Hoja1!H395,"Sí","No")</f>
        <v>No</v>
      </c>
      <c r="J395" s="3" t="str">
        <f>IF(SUMPRODUCT(--ISNUMBER(SEARCH({"0";"1";"2";"3";"4";"5";"6";"7";"8";"9"},Hoja1!D395)))=0,"Sí","No")</f>
        <v>No</v>
      </c>
      <c r="K395" s="3" t="str">
        <f t="shared" si="6"/>
        <v>No</v>
      </c>
    </row>
    <row r="396" spans="1:11" ht="15" customHeight="1" x14ac:dyDescent="0.3">
      <c r="A396" s="3" t="str">
        <f>Hoja1!A396</f>
        <v>C0395</v>
      </c>
      <c r="B396" s="3" t="str">
        <f>Hoja1!B396</f>
        <v>Tomasa Feijoo Alvarado</v>
      </c>
      <c r="C396" s="3" t="str">
        <f>IF(COUNTA(Hoja1!A396:I396)=0,"Sí","No")</f>
        <v>No</v>
      </c>
      <c r="D396" s="3" t="str">
        <f>IF(COUNTBLANK(Hoja1!A396:I396)&gt;0,"Sí","No")</f>
        <v>No</v>
      </c>
      <c r="E396" s="3" t="str">
        <f>IF(COUNTIF(Hoja1!$A$2:$A$1000,Hoja1!A396)&gt;1,"Sí","No")</f>
        <v>No</v>
      </c>
      <c r="F396" s="3" t="str">
        <f>IF(COUNTIF(Hoja1!$G$2:$G$1000,Hoja1!G396)&gt;1,"Sí","No")</f>
        <v>No</v>
      </c>
      <c r="G396" s="3" t="str">
        <f>IF(OR(ISERROR(FIND("@",Hoja1!G396)),ISERROR(FIND(".",Hoja1!G396,FIND("@",Hoja1!G396)))),"Sí","No")</f>
        <v>No</v>
      </c>
      <c r="H396" s="3" t="str">
        <f>IF(LEN(Hoja1!F396)&lt;&gt;14,"Sí","No")</f>
        <v>No</v>
      </c>
      <c r="I396" s="3" t="str">
        <f>IF(Hoja1!C396&gt;Hoja1!H396,"Sí","No")</f>
        <v>No</v>
      </c>
      <c r="J396" s="3" t="str">
        <f>IF(SUMPRODUCT(--ISNUMBER(SEARCH({"0";"1";"2";"3";"4";"5";"6";"7";"8";"9"},Hoja1!D396)))=0,"Sí","No")</f>
        <v>No</v>
      </c>
      <c r="K396" s="3" t="str">
        <f t="shared" si="6"/>
        <v>No</v>
      </c>
    </row>
    <row r="397" spans="1:11" ht="15" customHeight="1" x14ac:dyDescent="0.3">
      <c r="A397" s="3" t="str">
        <f>Hoja1!A397</f>
        <v>C0396</v>
      </c>
      <c r="B397" s="3" t="str">
        <f>Hoja1!B397</f>
        <v>José Ángel Vélez Vila</v>
      </c>
      <c r="C397" s="3" t="str">
        <f>IF(COUNTA(Hoja1!A397:I397)=0,"Sí","No")</f>
        <v>No</v>
      </c>
      <c r="D397" s="3" t="str">
        <f>IF(COUNTBLANK(Hoja1!A397:I397)&gt;0,"Sí","No")</f>
        <v>No</v>
      </c>
      <c r="E397" s="3" t="str">
        <f>IF(COUNTIF(Hoja1!$A$2:$A$1000,Hoja1!A397)&gt;1,"Sí","No")</f>
        <v>No</v>
      </c>
      <c r="F397" s="3" t="str">
        <f>IF(COUNTIF(Hoja1!$G$2:$G$1000,Hoja1!G397)&gt;1,"Sí","No")</f>
        <v>No</v>
      </c>
      <c r="G397" s="3" t="str">
        <f>IF(OR(ISERROR(FIND("@",Hoja1!G397)),ISERROR(FIND(".",Hoja1!G397,FIND("@",Hoja1!G397)))),"Sí","No")</f>
        <v>No</v>
      </c>
      <c r="H397" s="3" t="str">
        <f>IF(LEN(Hoja1!F397)&lt;&gt;14,"Sí","No")</f>
        <v>No</v>
      </c>
      <c r="I397" s="3" t="str">
        <f>IF(Hoja1!C397&gt;Hoja1!H397,"Sí","No")</f>
        <v>No</v>
      </c>
      <c r="J397" s="3" t="str">
        <f>IF(SUMPRODUCT(--ISNUMBER(SEARCH({"0";"1";"2";"3";"4";"5";"6";"7";"8";"9"},Hoja1!D397)))=0,"Sí","No")</f>
        <v>No</v>
      </c>
      <c r="K397" s="3" t="str">
        <f t="shared" si="6"/>
        <v>No</v>
      </c>
    </row>
    <row r="398" spans="1:11" ht="15" customHeight="1" x14ac:dyDescent="0.3">
      <c r="A398" s="3" t="str">
        <f>Hoja1!A398</f>
        <v>C0397</v>
      </c>
      <c r="B398" s="3" t="str">
        <f>Hoja1!B398</f>
        <v>Pío Roma-Estevez</v>
      </c>
      <c r="C398" s="3" t="str">
        <f>IF(COUNTA(Hoja1!A398:I398)=0,"Sí","No")</f>
        <v>No</v>
      </c>
      <c r="D398" s="3" t="str">
        <f>IF(COUNTBLANK(Hoja1!A398:I398)&gt;0,"Sí","No")</f>
        <v>No</v>
      </c>
      <c r="E398" s="3" t="str">
        <f>IF(COUNTIF(Hoja1!$A$2:$A$1000,Hoja1!A398)&gt;1,"Sí","No")</f>
        <v>No</v>
      </c>
      <c r="F398" s="3" t="str">
        <f>IF(COUNTIF(Hoja1!$G$2:$G$1000,Hoja1!G398)&gt;1,"Sí","No")</f>
        <v>No</v>
      </c>
      <c r="G398" s="3" t="str">
        <f>IF(OR(ISERROR(FIND("@",Hoja1!G398)),ISERROR(FIND(".",Hoja1!G398,FIND("@",Hoja1!G398)))),"Sí","No")</f>
        <v>No</v>
      </c>
      <c r="H398" s="3" t="str">
        <f>IF(LEN(Hoja1!F398)&lt;&gt;14,"Sí","No")</f>
        <v>No</v>
      </c>
      <c r="I398" s="3" t="str">
        <f>IF(Hoja1!C398&gt;Hoja1!H398,"Sí","No")</f>
        <v>No</v>
      </c>
      <c r="J398" s="3" t="str">
        <f>IF(SUMPRODUCT(--ISNUMBER(SEARCH({"0";"1";"2";"3";"4";"5";"6";"7";"8";"9"},Hoja1!D398)))=0,"Sí","No")</f>
        <v>No</v>
      </c>
      <c r="K398" s="3" t="str">
        <f t="shared" si="6"/>
        <v>No</v>
      </c>
    </row>
    <row r="399" spans="1:11" ht="15" customHeight="1" x14ac:dyDescent="0.3">
      <c r="A399" s="3" t="str">
        <f>Hoja1!A399</f>
        <v>C0398</v>
      </c>
      <c r="B399" s="3" t="str">
        <f>Hoja1!B399</f>
        <v>Amelia Tello-Toledo</v>
      </c>
      <c r="C399" s="3" t="str">
        <f>IF(COUNTA(Hoja1!A399:I399)=0,"Sí","No")</f>
        <v>No</v>
      </c>
      <c r="D399" s="3" t="str">
        <f>IF(COUNTBLANK(Hoja1!A399:I399)&gt;0,"Sí","No")</f>
        <v>No</v>
      </c>
      <c r="E399" s="3" t="str">
        <f>IF(COUNTIF(Hoja1!$A$2:$A$1000,Hoja1!A399)&gt;1,"Sí","No")</f>
        <v>No</v>
      </c>
      <c r="F399" s="3" t="str">
        <f>IF(COUNTIF(Hoja1!$G$2:$G$1000,Hoja1!G399)&gt;1,"Sí","No")</f>
        <v>No</v>
      </c>
      <c r="G399" s="3" t="str">
        <f>IF(OR(ISERROR(FIND("@",Hoja1!G399)),ISERROR(FIND(".",Hoja1!G399,FIND("@",Hoja1!G399)))),"Sí","No")</f>
        <v>No</v>
      </c>
      <c r="H399" s="3" t="str">
        <f>IF(LEN(Hoja1!F399)&lt;&gt;14,"Sí","No")</f>
        <v>No</v>
      </c>
      <c r="I399" s="3" t="str">
        <f>IF(Hoja1!C399&gt;Hoja1!H399,"Sí","No")</f>
        <v>No</v>
      </c>
      <c r="J399" s="3" t="str">
        <f>IF(SUMPRODUCT(--ISNUMBER(SEARCH({"0";"1";"2";"3";"4";"5";"6";"7";"8";"9"},Hoja1!D399)))=0,"Sí","No")</f>
        <v>No</v>
      </c>
      <c r="K399" s="3" t="str">
        <f t="shared" si="6"/>
        <v>No</v>
      </c>
    </row>
    <row r="400" spans="1:11" ht="15" customHeight="1" x14ac:dyDescent="0.3">
      <c r="A400" s="3" t="str">
        <f>Hoja1!A400</f>
        <v>C0399</v>
      </c>
      <c r="B400" s="3" t="str">
        <f>Hoja1!B400</f>
        <v>Roberta de Lamas</v>
      </c>
      <c r="C400" s="3" t="str">
        <f>IF(COUNTA(Hoja1!A400:I400)=0,"Sí","No")</f>
        <v>No</v>
      </c>
      <c r="D400" s="3" t="str">
        <f>IF(COUNTBLANK(Hoja1!A400:I400)&gt;0,"Sí","No")</f>
        <v>No</v>
      </c>
      <c r="E400" s="3" t="str">
        <f>IF(COUNTIF(Hoja1!$A$2:$A$1000,Hoja1!A400)&gt;1,"Sí","No")</f>
        <v>No</v>
      </c>
      <c r="F400" s="3" t="str">
        <f>IF(COUNTIF(Hoja1!$G$2:$G$1000,Hoja1!G400)&gt;1,"Sí","No")</f>
        <v>No</v>
      </c>
      <c r="G400" s="3" t="str">
        <f>IF(OR(ISERROR(FIND("@",Hoja1!G400)),ISERROR(FIND(".",Hoja1!G400,FIND("@",Hoja1!G400)))),"Sí","No")</f>
        <v>No</v>
      </c>
      <c r="H400" s="3" t="str">
        <f>IF(LEN(Hoja1!F400)&lt;&gt;14,"Sí","No")</f>
        <v>No</v>
      </c>
      <c r="I400" s="3" t="str">
        <f>IF(Hoja1!C400&gt;Hoja1!H400,"Sí","No")</f>
        <v>No</v>
      </c>
      <c r="J400" s="3" t="str">
        <f>IF(SUMPRODUCT(--ISNUMBER(SEARCH({"0";"1";"2";"3";"4";"5";"6";"7";"8";"9"},Hoja1!D400)))=0,"Sí","No")</f>
        <v>No</v>
      </c>
      <c r="K400" s="3" t="str">
        <f t="shared" si="6"/>
        <v>No</v>
      </c>
    </row>
    <row r="401" spans="1:11" ht="15" customHeight="1" x14ac:dyDescent="0.3">
      <c r="A401" s="3" t="str">
        <f>Hoja1!A401</f>
        <v>C0400</v>
      </c>
      <c r="B401" s="3" t="str">
        <f>Hoja1!B401</f>
        <v>Primitivo Melero Daza</v>
      </c>
      <c r="C401" s="3" t="str">
        <f>IF(COUNTA(Hoja1!A401:I401)=0,"Sí","No")</f>
        <v>No</v>
      </c>
      <c r="D401" s="3" t="str">
        <f>IF(COUNTBLANK(Hoja1!A401:I401)&gt;0,"Sí","No")</f>
        <v>No</v>
      </c>
      <c r="E401" s="3" t="str">
        <f>IF(COUNTIF(Hoja1!$A$2:$A$1000,Hoja1!A401)&gt;1,"Sí","No")</f>
        <v>No</v>
      </c>
      <c r="F401" s="3" t="str">
        <f>IF(COUNTIF(Hoja1!$G$2:$G$1000,Hoja1!G401)&gt;1,"Sí","No")</f>
        <v>No</v>
      </c>
      <c r="G401" s="3" t="str">
        <f>IF(OR(ISERROR(FIND("@",Hoja1!G401)),ISERROR(FIND(".",Hoja1!G401,FIND("@",Hoja1!G401)))),"Sí","No")</f>
        <v>No</v>
      </c>
      <c r="H401" s="3" t="str">
        <f>IF(LEN(Hoja1!F401)&lt;&gt;14,"Sí","No")</f>
        <v>No</v>
      </c>
      <c r="I401" s="3" t="str">
        <f>IF(Hoja1!C401&gt;Hoja1!H401,"Sí","No")</f>
        <v>No</v>
      </c>
      <c r="J401" s="3" t="str">
        <f>IF(SUMPRODUCT(--ISNUMBER(SEARCH({"0";"1";"2";"3";"4";"5";"6";"7";"8";"9"},Hoja1!D401)))=0,"Sí","No")</f>
        <v>No</v>
      </c>
      <c r="K401" s="3" t="str">
        <f t="shared" si="6"/>
        <v>No</v>
      </c>
    </row>
    <row r="402" spans="1:11" ht="15" customHeight="1" x14ac:dyDescent="0.3">
      <c r="A402" s="3" t="str">
        <f>Hoja1!A402</f>
        <v>C0401</v>
      </c>
      <c r="B402" s="3" t="str">
        <f>Hoja1!B402</f>
        <v>Benigno Sanz Gomis</v>
      </c>
      <c r="C402" s="3" t="str">
        <f>IF(COUNTA(Hoja1!A402:I402)=0,"Sí","No")</f>
        <v>No</v>
      </c>
      <c r="D402" s="3" t="str">
        <f>IF(COUNTBLANK(Hoja1!A402:I402)&gt;0,"Sí","No")</f>
        <v>No</v>
      </c>
      <c r="E402" s="3" t="str">
        <f>IF(COUNTIF(Hoja1!$A$2:$A$1000,Hoja1!A402)&gt;1,"Sí","No")</f>
        <v>No</v>
      </c>
      <c r="F402" s="3" t="str">
        <f>IF(COUNTIF(Hoja1!$G$2:$G$1000,Hoja1!G402)&gt;1,"Sí","No")</f>
        <v>No</v>
      </c>
      <c r="G402" s="3" t="str">
        <f>IF(OR(ISERROR(FIND("@",Hoja1!G402)),ISERROR(FIND(".",Hoja1!G402,FIND("@",Hoja1!G402)))),"Sí","No")</f>
        <v>No</v>
      </c>
      <c r="H402" s="3" t="str">
        <f>IF(LEN(Hoja1!F402)&lt;&gt;14,"Sí","No")</f>
        <v>No</v>
      </c>
      <c r="I402" s="3" t="str">
        <f>IF(Hoja1!C402&gt;Hoja1!H402,"Sí","No")</f>
        <v>No</v>
      </c>
      <c r="J402" s="3" t="str">
        <f>IF(SUMPRODUCT(--ISNUMBER(SEARCH({"0";"1";"2";"3";"4";"5";"6";"7";"8";"9"},Hoja1!D402)))=0,"Sí","No")</f>
        <v>No</v>
      </c>
      <c r="K402" s="3" t="str">
        <f t="shared" si="6"/>
        <v>No</v>
      </c>
    </row>
    <row r="403" spans="1:11" ht="15" customHeight="1" x14ac:dyDescent="0.3">
      <c r="A403" s="3" t="str">
        <f>Hoja1!A403</f>
        <v>C0402</v>
      </c>
      <c r="B403" s="3" t="str">
        <f>Hoja1!B403</f>
        <v>Reyna Rivas Porcel</v>
      </c>
      <c r="C403" s="3" t="str">
        <f>IF(COUNTA(Hoja1!A403:I403)=0,"Sí","No")</f>
        <v>No</v>
      </c>
      <c r="D403" s="3" t="str">
        <f>IF(COUNTBLANK(Hoja1!A403:I403)&gt;0,"Sí","No")</f>
        <v>No</v>
      </c>
      <c r="E403" s="3" t="str">
        <f>IF(COUNTIF(Hoja1!$A$2:$A$1000,Hoja1!A403)&gt;1,"Sí","No")</f>
        <v>No</v>
      </c>
      <c r="F403" s="3" t="str">
        <f>IF(COUNTIF(Hoja1!$G$2:$G$1000,Hoja1!G403)&gt;1,"Sí","No")</f>
        <v>No</v>
      </c>
      <c r="G403" s="3" t="str">
        <f>IF(OR(ISERROR(FIND("@",Hoja1!G403)),ISERROR(FIND(".",Hoja1!G403,FIND("@",Hoja1!G403)))),"Sí","No")</f>
        <v>No</v>
      </c>
      <c r="H403" s="3" t="str">
        <f>IF(LEN(Hoja1!F403)&lt;&gt;14,"Sí","No")</f>
        <v>No</v>
      </c>
      <c r="I403" s="3" t="str">
        <f>IF(Hoja1!C403&gt;Hoja1!H403,"Sí","No")</f>
        <v>No</v>
      </c>
      <c r="J403" s="3" t="str">
        <f>IF(SUMPRODUCT(--ISNUMBER(SEARCH({"0";"1";"2";"3";"4";"5";"6";"7";"8";"9"},Hoja1!D403)))=0,"Sí","No")</f>
        <v>No</v>
      </c>
      <c r="K403" s="3" t="str">
        <f t="shared" si="6"/>
        <v>No</v>
      </c>
    </row>
    <row r="404" spans="1:11" ht="15" customHeight="1" x14ac:dyDescent="0.3">
      <c r="A404" s="3" t="str">
        <f>Hoja1!A404</f>
        <v>C0403</v>
      </c>
      <c r="B404" s="3" t="str">
        <f>Hoja1!B404</f>
        <v>Olivia Goñi</v>
      </c>
      <c r="C404" s="3" t="str">
        <f>IF(COUNTA(Hoja1!A404:I404)=0,"Sí","No")</f>
        <v>No</v>
      </c>
      <c r="D404" s="3" t="str">
        <f>IF(COUNTBLANK(Hoja1!A404:I404)&gt;0,"Sí","No")</f>
        <v>No</v>
      </c>
      <c r="E404" s="3" t="str">
        <f>IF(COUNTIF(Hoja1!$A$2:$A$1000,Hoja1!A404)&gt;1,"Sí","No")</f>
        <v>No</v>
      </c>
      <c r="F404" s="3" t="str">
        <f>IF(COUNTIF(Hoja1!$G$2:$G$1000,Hoja1!G404)&gt;1,"Sí","No")</f>
        <v>No</v>
      </c>
      <c r="G404" s="3" t="str">
        <f>IF(OR(ISERROR(FIND("@",Hoja1!G404)),ISERROR(FIND(".",Hoja1!G404,FIND("@",Hoja1!G404)))),"Sí","No")</f>
        <v>No</v>
      </c>
      <c r="H404" s="3" t="str">
        <f>IF(LEN(Hoja1!F404)&lt;&gt;14,"Sí","No")</f>
        <v>No</v>
      </c>
      <c r="I404" s="3" t="str">
        <f>IF(Hoja1!C404&gt;Hoja1!H404,"Sí","No")</f>
        <v>No</v>
      </c>
      <c r="J404" s="3" t="str">
        <f>IF(SUMPRODUCT(--ISNUMBER(SEARCH({"0";"1";"2";"3";"4";"5";"6";"7";"8";"9"},Hoja1!D404)))=0,"Sí","No")</f>
        <v>No</v>
      </c>
      <c r="K404" s="3" t="str">
        <f t="shared" si="6"/>
        <v>No</v>
      </c>
    </row>
    <row r="405" spans="1:11" ht="15" customHeight="1" x14ac:dyDescent="0.3">
      <c r="A405" s="3" t="str">
        <f>Hoja1!A405</f>
        <v>C0404</v>
      </c>
      <c r="B405" s="3" t="str">
        <f>Hoja1!B405</f>
        <v>Isaac Morcillo-Calvo</v>
      </c>
      <c r="C405" s="3" t="str">
        <f>IF(COUNTA(Hoja1!A405:I405)=0,"Sí","No")</f>
        <v>No</v>
      </c>
      <c r="D405" s="3" t="str">
        <f>IF(COUNTBLANK(Hoja1!A405:I405)&gt;0,"Sí","No")</f>
        <v>No</v>
      </c>
      <c r="E405" s="3" t="str">
        <f>IF(COUNTIF(Hoja1!$A$2:$A$1000,Hoja1!A405)&gt;1,"Sí","No")</f>
        <v>No</v>
      </c>
      <c r="F405" s="3" t="str">
        <f>IF(COUNTIF(Hoja1!$G$2:$G$1000,Hoja1!G405)&gt;1,"Sí","No")</f>
        <v>No</v>
      </c>
      <c r="G405" s="3" t="str">
        <f>IF(OR(ISERROR(FIND("@",Hoja1!G405)),ISERROR(FIND(".",Hoja1!G405,FIND("@",Hoja1!G405)))),"Sí","No")</f>
        <v>No</v>
      </c>
      <c r="H405" s="3" t="str">
        <f>IF(LEN(Hoja1!F405)&lt;&gt;14,"Sí","No")</f>
        <v>No</v>
      </c>
      <c r="I405" s="3" t="str">
        <f>IF(Hoja1!C405&gt;Hoja1!H405,"Sí","No")</f>
        <v>No</v>
      </c>
      <c r="J405" s="3" t="str">
        <f>IF(SUMPRODUCT(--ISNUMBER(SEARCH({"0";"1";"2";"3";"4";"5";"6";"7";"8";"9"},Hoja1!D405)))=0,"Sí","No")</f>
        <v>No</v>
      </c>
      <c r="K405" s="3" t="str">
        <f t="shared" si="6"/>
        <v>No</v>
      </c>
    </row>
    <row r="406" spans="1:11" ht="15" customHeight="1" x14ac:dyDescent="0.3">
      <c r="A406" s="3" t="str">
        <f>Hoja1!A406</f>
        <v>C0405</v>
      </c>
      <c r="B406" s="3" t="str">
        <f>Hoja1!B406</f>
        <v>Asdrubal Franco Montaña</v>
      </c>
      <c r="C406" s="3" t="str">
        <f>IF(COUNTA(Hoja1!A406:I406)=0,"Sí","No")</f>
        <v>No</v>
      </c>
      <c r="D406" s="3" t="str">
        <f>IF(COUNTBLANK(Hoja1!A406:I406)&gt;0,"Sí","No")</f>
        <v>No</v>
      </c>
      <c r="E406" s="3" t="str">
        <f>IF(COUNTIF(Hoja1!$A$2:$A$1000,Hoja1!A406)&gt;1,"Sí","No")</f>
        <v>No</v>
      </c>
      <c r="F406" s="3" t="str">
        <f>IF(COUNTIF(Hoja1!$G$2:$G$1000,Hoja1!G406)&gt;1,"Sí","No")</f>
        <v>No</v>
      </c>
      <c r="G406" s="3" t="str">
        <f>IF(OR(ISERROR(FIND("@",Hoja1!G406)),ISERROR(FIND(".",Hoja1!G406,FIND("@",Hoja1!G406)))),"Sí","No")</f>
        <v>No</v>
      </c>
      <c r="H406" s="3" t="str">
        <f>IF(LEN(Hoja1!F406)&lt;&gt;14,"Sí","No")</f>
        <v>No</v>
      </c>
      <c r="I406" s="3" t="str">
        <f>IF(Hoja1!C406&gt;Hoja1!H406,"Sí","No")</f>
        <v>No</v>
      </c>
      <c r="J406" s="3" t="str">
        <f>IF(SUMPRODUCT(--ISNUMBER(SEARCH({"0";"1";"2";"3";"4";"5";"6";"7";"8";"9"},Hoja1!D406)))=0,"Sí","No")</f>
        <v>No</v>
      </c>
      <c r="K406" s="3" t="str">
        <f t="shared" si="6"/>
        <v>No</v>
      </c>
    </row>
    <row r="407" spans="1:11" ht="15" customHeight="1" x14ac:dyDescent="0.3">
      <c r="A407" s="3" t="str">
        <f>Hoja1!A407</f>
        <v>C0406</v>
      </c>
      <c r="B407" s="3" t="str">
        <f>Hoja1!B407</f>
        <v>Alexandra Ámbar Armengol Campos</v>
      </c>
      <c r="C407" s="3" t="str">
        <f>IF(COUNTA(Hoja1!A407:I407)=0,"Sí","No")</f>
        <v>No</v>
      </c>
      <c r="D407" s="3" t="str">
        <f>IF(COUNTBLANK(Hoja1!A407:I407)&gt;0,"Sí","No")</f>
        <v>No</v>
      </c>
      <c r="E407" s="3" t="str">
        <f>IF(COUNTIF(Hoja1!$A$2:$A$1000,Hoja1!A407)&gt;1,"Sí","No")</f>
        <v>No</v>
      </c>
      <c r="F407" s="3" t="str">
        <f>IF(COUNTIF(Hoja1!$G$2:$G$1000,Hoja1!G407)&gt;1,"Sí","No")</f>
        <v>No</v>
      </c>
      <c r="G407" s="3" t="str">
        <f>IF(OR(ISERROR(FIND("@",Hoja1!G407)),ISERROR(FIND(".",Hoja1!G407,FIND("@",Hoja1!G407)))),"Sí","No")</f>
        <v>No</v>
      </c>
      <c r="H407" s="3" t="str">
        <f>IF(LEN(Hoja1!F407)&lt;&gt;14,"Sí","No")</f>
        <v>No</v>
      </c>
      <c r="I407" s="3" t="str">
        <f>IF(Hoja1!C407&gt;Hoja1!H407,"Sí","No")</f>
        <v>No</v>
      </c>
      <c r="J407" s="3" t="str">
        <f>IF(SUMPRODUCT(--ISNUMBER(SEARCH({"0";"1";"2";"3";"4";"5";"6";"7";"8";"9"},Hoja1!D407)))=0,"Sí","No")</f>
        <v>No</v>
      </c>
      <c r="K407" s="3" t="str">
        <f t="shared" si="6"/>
        <v>No</v>
      </c>
    </row>
    <row r="408" spans="1:11" ht="15" customHeight="1" x14ac:dyDescent="0.3">
      <c r="A408" s="3" t="str">
        <f>Hoja1!A408</f>
        <v>C0407</v>
      </c>
      <c r="B408" s="3" t="str">
        <f>Hoja1!B408</f>
        <v>Calisto Menéndez</v>
      </c>
      <c r="C408" s="3" t="str">
        <f>IF(COUNTA(Hoja1!A408:I408)=0,"Sí","No")</f>
        <v>No</v>
      </c>
      <c r="D408" s="3" t="str">
        <f>IF(COUNTBLANK(Hoja1!A408:I408)&gt;0,"Sí","No")</f>
        <v>No</v>
      </c>
      <c r="E408" s="3" t="str">
        <f>IF(COUNTIF(Hoja1!$A$2:$A$1000,Hoja1!A408)&gt;1,"Sí","No")</f>
        <v>No</v>
      </c>
      <c r="F408" s="3" t="str">
        <f>IF(COUNTIF(Hoja1!$G$2:$G$1000,Hoja1!G408)&gt;1,"Sí","No")</f>
        <v>No</v>
      </c>
      <c r="G408" s="3" t="str">
        <f>IF(OR(ISERROR(FIND("@",Hoja1!G408)),ISERROR(FIND(".",Hoja1!G408,FIND("@",Hoja1!G408)))),"Sí","No")</f>
        <v>No</v>
      </c>
      <c r="H408" s="3" t="str">
        <f>IF(LEN(Hoja1!F408)&lt;&gt;14,"Sí","No")</f>
        <v>No</v>
      </c>
      <c r="I408" s="3" t="str">
        <f>IF(Hoja1!C408&gt;Hoja1!H408,"Sí","No")</f>
        <v>No</v>
      </c>
      <c r="J408" s="3" t="str">
        <f>IF(SUMPRODUCT(--ISNUMBER(SEARCH({"0";"1";"2";"3";"4";"5";"6";"7";"8";"9"},Hoja1!D408)))=0,"Sí","No")</f>
        <v>No</v>
      </c>
      <c r="K408" s="3" t="str">
        <f t="shared" si="6"/>
        <v>No</v>
      </c>
    </row>
    <row r="409" spans="1:11" ht="15" customHeight="1" x14ac:dyDescent="0.3">
      <c r="A409" s="3" t="str">
        <f>Hoja1!A409</f>
        <v>C0408</v>
      </c>
      <c r="B409" s="3" t="str">
        <f>Hoja1!B409</f>
        <v>Graciana Cintia Iñiguez Heras</v>
      </c>
      <c r="C409" s="3" t="str">
        <f>IF(COUNTA(Hoja1!A409:I409)=0,"Sí","No")</f>
        <v>No</v>
      </c>
      <c r="D409" s="3" t="str">
        <f>IF(COUNTBLANK(Hoja1!A409:I409)&gt;0,"Sí","No")</f>
        <v>No</v>
      </c>
      <c r="E409" s="3" t="str">
        <f>IF(COUNTIF(Hoja1!$A$2:$A$1000,Hoja1!A409)&gt;1,"Sí","No")</f>
        <v>No</v>
      </c>
      <c r="F409" s="3" t="str">
        <f>IF(COUNTIF(Hoja1!$G$2:$G$1000,Hoja1!G409)&gt;1,"Sí","No")</f>
        <v>Sí</v>
      </c>
      <c r="G409" s="3" t="str">
        <f>IF(OR(ISERROR(FIND("@",Hoja1!G409)),ISERROR(FIND(".",Hoja1!G409,FIND("@",Hoja1!G409)))),"Sí","No")</f>
        <v>No</v>
      </c>
      <c r="H409" s="3" t="str">
        <f>IF(LEN(Hoja1!F409)&lt;&gt;14,"Sí","No")</f>
        <v>No</v>
      </c>
      <c r="I409" s="3" t="str">
        <f>IF(Hoja1!C409&gt;Hoja1!H409,"Sí","No")</f>
        <v>No</v>
      </c>
      <c r="J409" s="3" t="str">
        <f>IF(SUMPRODUCT(--ISNUMBER(SEARCH({"0";"1";"2";"3";"4";"5";"6";"7";"8";"9"},Hoja1!D409)))=0,"Sí","No")</f>
        <v>No</v>
      </c>
      <c r="K409" s="3" t="str">
        <f t="shared" si="6"/>
        <v>Sí</v>
      </c>
    </row>
    <row r="410" spans="1:11" ht="15" customHeight="1" x14ac:dyDescent="0.3">
      <c r="A410" s="3" t="str">
        <f>Hoja1!A410</f>
        <v>C0409</v>
      </c>
      <c r="B410" s="3" t="str">
        <f>Hoja1!B410</f>
        <v>Mayte Duarte Alfonso</v>
      </c>
      <c r="C410" s="3" t="str">
        <f>IF(COUNTA(Hoja1!A410:I410)=0,"Sí","No")</f>
        <v>No</v>
      </c>
      <c r="D410" s="3" t="str">
        <f>IF(COUNTBLANK(Hoja1!A410:I410)&gt;0,"Sí","No")</f>
        <v>No</v>
      </c>
      <c r="E410" s="3" t="str">
        <f>IF(COUNTIF(Hoja1!$A$2:$A$1000,Hoja1!A410)&gt;1,"Sí","No")</f>
        <v>No</v>
      </c>
      <c r="F410" s="3" t="str">
        <f>IF(COUNTIF(Hoja1!$G$2:$G$1000,Hoja1!G410)&gt;1,"Sí","No")</f>
        <v>Sí</v>
      </c>
      <c r="G410" s="3" t="str">
        <f>IF(OR(ISERROR(FIND("@",Hoja1!G410)),ISERROR(FIND(".",Hoja1!G410,FIND("@",Hoja1!G410)))),"Sí","No")</f>
        <v>No</v>
      </c>
      <c r="H410" s="3" t="str">
        <f>IF(LEN(Hoja1!F410)&lt;&gt;14,"Sí","No")</f>
        <v>No</v>
      </c>
      <c r="I410" s="3" t="str">
        <f>IF(Hoja1!C410&gt;Hoja1!H410,"Sí","No")</f>
        <v>No</v>
      </c>
      <c r="J410" s="3" t="str">
        <f>IF(SUMPRODUCT(--ISNUMBER(SEARCH({"0";"1";"2";"3";"4";"5";"6";"7";"8";"9"},Hoja1!D410)))=0,"Sí","No")</f>
        <v>No</v>
      </c>
      <c r="K410" s="3" t="str">
        <f t="shared" si="6"/>
        <v>Sí</v>
      </c>
    </row>
    <row r="411" spans="1:11" ht="15" customHeight="1" x14ac:dyDescent="0.3">
      <c r="A411" s="3" t="str">
        <f>Hoja1!A411</f>
        <v>C0410</v>
      </c>
      <c r="B411" s="3" t="str">
        <f>Hoja1!B411</f>
        <v>María Teresa Llamas Mariño</v>
      </c>
      <c r="C411" s="3" t="str">
        <f>IF(COUNTA(Hoja1!A411:I411)=0,"Sí","No")</f>
        <v>No</v>
      </c>
      <c r="D411" s="3" t="str">
        <f>IF(COUNTBLANK(Hoja1!A411:I411)&gt;0,"Sí","No")</f>
        <v>No</v>
      </c>
      <c r="E411" s="3" t="str">
        <f>IF(COUNTIF(Hoja1!$A$2:$A$1000,Hoja1!A411)&gt;1,"Sí","No")</f>
        <v>No</v>
      </c>
      <c r="F411" s="3" t="str">
        <f>IF(COUNTIF(Hoja1!$G$2:$G$1000,Hoja1!G411)&gt;1,"Sí","No")</f>
        <v>No</v>
      </c>
      <c r="G411" s="3" t="str">
        <f>IF(OR(ISERROR(FIND("@",Hoja1!G411)),ISERROR(FIND(".",Hoja1!G411,FIND("@",Hoja1!G411)))),"Sí","No")</f>
        <v>No</v>
      </c>
      <c r="H411" s="3" t="str">
        <f>IF(LEN(Hoja1!F411)&lt;&gt;14,"Sí","No")</f>
        <v>No</v>
      </c>
      <c r="I411" s="3" t="str">
        <f>IF(Hoja1!C411&gt;Hoja1!H411,"Sí","No")</f>
        <v>No</v>
      </c>
      <c r="J411" s="3" t="str">
        <f>IF(SUMPRODUCT(--ISNUMBER(SEARCH({"0";"1";"2";"3";"4";"5";"6";"7";"8";"9"},Hoja1!D411)))=0,"Sí","No")</f>
        <v>No</v>
      </c>
      <c r="K411" s="3" t="str">
        <f t="shared" si="6"/>
        <v>No</v>
      </c>
    </row>
    <row r="412" spans="1:11" ht="15" customHeight="1" x14ac:dyDescent="0.3">
      <c r="A412" s="3" t="str">
        <f>Hoja1!A412</f>
        <v>C0411</v>
      </c>
      <c r="B412" s="3" t="str">
        <f>Hoja1!B412</f>
        <v>Federico Pizarro Coello</v>
      </c>
      <c r="C412" s="3" t="str">
        <f>IF(COUNTA(Hoja1!A412:I412)=0,"Sí","No")</f>
        <v>No</v>
      </c>
      <c r="D412" s="3" t="str">
        <f>IF(COUNTBLANK(Hoja1!A412:I412)&gt;0,"Sí","No")</f>
        <v>No</v>
      </c>
      <c r="E412" s="3" t="str">
        <f>IF(COUNTIF(Hoja1!$A$2:$A$1000,Hoja1!A412)&gt;1,"Sí","No")</f>
        <v>No</v>
      </c>
      <c r="F412" s="3" t="str">
        <f>IF(COUNTIF(Hoja1!$G$2:$G$1000,Hoja1!G412)&gt;1,"Sí","No")</f>
        <v>No</v>
      </c>
      <c r="G412" s="3" t="str">
        <f>IF(OR(ISERROR(FIND("@",Hoja1!G412)),ISERROR(FIND(".",Hoja1!G412,FIND("@",Hoja1!G412)))),"Sí","No")</f>
        <v>No</v>
      </c>
      <c r="H412" s="3" t="str">
        <f>IF(LEN(Hoja1!F412)&lt;&gt;14,"Sí","No")</f>
        <v>No</v>
      </c>
      <c r="I412" s="3" t="str">
        <f>IF(Hoja1!C412&gt;Hoja1!H412,"Sí","No")</f>
        <v>No</v>
      </c>
      <c r="J412" s="3" t="str">
        <f>IF(SUMPRODUCT(--ISNUMBER(SEARCH({"0";"1";"2";"3";"4";"5";"6";"7";"8";"9"},Hoja1!D412)))=0,"Sí","No")</f>
        <v>No</v>
      </c>
      <c r="K412" s="3" t="str">
        <f t="shared" si="6"/>
        <v>No</v>
      </c>
    </row>
    <row r="413" spans="1:11" ht="15" customHeight="1" x14ac:dyDescent="0.3">
      <c r="A413" s="3" t="str">
        <f>Hoja1!A413</f>
        <v>C0412</v>
      </c>
      <c r="B413" s="3" t="str">
        <f>Hoja1!B413</f>
        <v>Pacífica Córdoba</v>
      </c>
      <c r="C413" s="3" t="str">
        <f>IF(COUNTA(Hoja1!A413:I413)=0,"Sí","No")</f>
        <v>No</v>
      </c>
      <c r="D413" s="3" t="str">
        <f>IF(COUNTBLANK(Hoja1!A413:I413)&gt;0,"Sí","No")</f>
        <v>No</v>
      </c>
      <c r="E413" s="3" t="str">
        <f>IF(COUNTIF(Hoja1!$A$2:$A$1000,Hoja1!A413)&gt;1,"Sí","No")</f>
        <v>No</v>
      </c>
      <c r="F413" s="3" t="str">
        <f>IF(COUNTIF(Hoja1!$G$2:$G$1000,Hoja1!G413)&gt;1,"Sí","No")</f>
        <v>No</v>
      </c>
      <c r="G413" s="3" t="str">
        <f>IF(OR(ISERROR(FIND("@",Hoja1!G413)),ISERROR(FIND(".",Hoja1!G413,FIND("@",Hoja1!G413)))),"Sí","No")</f>
        <v>No</v>
      </c>
      <c r="H413" s="3" t="str">
        <f>IF(LEN(Hoja1!F413)&lt;&gt;14,"Sí","No")</f>
        <v>No</v>
      </c>
      <c r="I413" s="3" t="str">
        <f>IF(Hoja1!C413&gt;Hoja1!H413,"Sí","No")</f>
        <v>No</v>
      </c>
      <c r="J413" s="3" t="str">
        <f>IF(SUMPRODUCT(--ISNUMBER(SEARCH({"0";"1";"2";"3";"4";"5";"6";"7";"8";"9"},Hoja1!D413)))=0,"Sí","No")</f>
        <v>No</v>
      </c>
      <c r="K413" s="3" t="str">
        <f t="shared" si="6"/>
        <v>No</v>
      </c>
    </row>
    <row r="414" spans="1:11" ht="15" customHeight="1" x14ac:dyDescent="0.3">
      <c r="A414" s="3" t="str">
        <f>Hoja1!A414</f>
        <v>C0413</v>
      </c>
      <c r="B414" s="3" t="str">
        <f>Hoja1!B414</f>
        <v>Rosa Jiménez-Galvez</v>
      </c>
      <c r="C414" s="3" t="str">
        <f>IF(COUNTA(Hoja1!A414:I414)=0,"Sí","No")</f>
        <v>No</v>
      </c>
      <c r="D414" s="3" t="str">
        <f>IF(COUNTBLANK(Hoja1!A414:I414)&gt;0,"Sí","No")</f>
        <v>No</v>
      </c>
      <c r="E414" s="3" t="str">
        <f>IF(COUNTIF(Hoja1!$A$2:$A$1000,Hoja1!A414)&gt;1,"Sí","No")</f>
        <v>No</v>
      </c>
      <c r="F414" s="3" t="str">
        <f>IF(COUNTIF(Hoja1!$G$2:$G$1000,Hoja1!G414)&gt;1,"Sí","No")</f>
        <v>No</v>
      </c>
      <c r="G414" s="3" t="str">
        <f>IF(OR(ISERROR(FIND("@",Hoja1!G414)),ISERROR(FIND(".",Hoja1!G414,FIND("@",Hoja1!G414)))),"Sí","No")</f>
        <v>No</v>
      </c>
      <c r="H414" s="3" t="str">
        <f>IF(LEN(Hoja1!F414)&lt;&gt;14,"Sí","No")</f>
        <v>No</v>
      </c>
      <c r="I414" s="3" t="str">
        <f>IF(Hoja1!C414&gt;Hoja1!H414,"Sí","No")</f>
        <v>No</v>
      </c>
      <c r="J414" s="3" t="str">
        <f>IF(SUMPRODUCT(--ISNUMBER(SEARCH({"0";"1";"2";"3";"4";"5";"6";"7";"8";"9"},Hoja1!D414)))=0,"Sí","No")</f>
        <v>No</v>
      </c>
      <c r="K414" s="3" t="str">
        <f t="shared" si="6"/>
        <v>No</v>
      </c>
    </row>
    <row r="415" spans="1:11" ht="15" customHeight="1" x14ac:dyDescent="0.3">
      <c r="A415" s="3" t="str">
        <f>Hoja1!A415</f>
        <v>C0414</v>
      </c>
      <c r="B415" s="3" t="str">
        <f>Hoja1!B415</f>
        <v>Martirio Bonet</v>
      </c>
      <c r="C415" s="3" t="str">
        <f>IF(COUNTA(Hoja1!A415:I415)=0,"Sí","No")</f>
        <v>No</v>
      </c>
      <c r="D415" s="3" t="str">
        <f>IF(COUNTBLANK(Hoja1!A415:I415)&gt;0,"Sí","No")</f>
        <v>No</v>
      </c>
      <c r="E415" s="3" t="str">
        <f>IF(COUNTIF(Hoja1!$A$2:$A$1000,Hoja1!A415)&gt;1,"Sí","No")</f>
        <v>No</v>
      </c>
      <c r="F415" s="3" t="str">
        <f>IF(COUNTIF(Hoja1!$G$2:$G$1000,Hoja1!G415)&gt;1,"Sí","No")</f>
        <v>No</v>
      </c>
      <c r="G415" s="3" t="str">
        <f>IF(OR(ISERROR(FIND("@",Hoja1!G415)),ISERROR(FIND(".",Hoja1!G415,FIND("@",Hoja1!G415)))),"Sí","No")</f>
        <v>No</v>
      </c>
      <c r="H415" s="3" t="str">
        <f>IF(LEN(Hoja1!F415)&lt;&gt;14,"Sí","No")</f>
        <v>No</v>
      </c>
      <c r="I415" s="3" t="str">
        <f>IF(Hoja1!C415&gt;Hoja1!H415,"Sí","No")</f>
        <v>No</v>
      </c>
      <c r="J415" s="3" t="str">
        <f>IF(SUMPRODUCT(--ISNUMBER(SEARCH({"0";"1";"2";"3";"4";"5";"6";"7";"8";"9"},Hoja1!D415)))=0,"Sí","No")</f>
        <v>No</v>
      </c>
      <c r="K415" s="3" t="str">
        <f t="shared" si="6"/>
        <v>No</v>
      </c>
    </row>
    <row r="416" spans="1:11" ht="15" customHeight="1" x14ac:dyDescent="0.3">
      <c r="A416" s="3" t="str">
        <f>Hoja1!A416</f>
        <v>C0415</v>
      </c>
      <c r="B416" s="3" t="str">
        <f>Hoja1!B416</f>
        <v>Ruy Roldan Lara</v>
      </c>
      <c r="C416" s="3" t="str">
        <f>IF(COUNTA(Hoja1!A416:I416)=0,"Sí","No")</f>
        <v>No</v>
      </c>
      <c r="D416" s="3" t="str">
        <f>IF(COUNTBLANK(Hoja1!A416:I416)&gt;0,"Sí","No")</f>
        <v>No</v>
      </c>
      <c r="E416" s="3" t="str">
        <f>IF(COUNTIF(Hoja1!$A$2:$A$1000,Hoja1!A416)&gt;1,"Sí","No")</f>
        <v>No</v>
      </c>
      <c r="F416" s="3" t="str">
        <f>IF(COUNTIF(Hoja1!$G$2:$G$1000,Hoja1!G416)&gt;1,"Sí","No")</f>
        <v>No</v>
      </c>
      <c r="G416" s="3" t="str">
        <f>IF(OR(ISERROR(FIND("@",Hoja1!G416)),ISERROR(FIND(".",Hoja1!G416,FIND("@",Hoja1!G416)))),"Sí","No")</f>
        <v>No</v>
      </c>
      <c r="H416" s="3" t="str">
        <f>IF(LEN(Hoja1!F416)&lt;&gt;14,"Sí","No")</f>
        <v>No</v>
      </c>
      <c r="I416" s="3" t="str">
        <f>IF(Hoja1!C416&gt;Hoja1!H416,"Sí","No")</f>
        <v>No</v>
      </c>
      <c r="J416" s="3" t="str">
        <f>IF(SUMPRODUCT(--ISNUMBER(SEARCH({"0";"1";"2";"3";"4";"5";"6";"7";"8";"9"},Hoja1!D416)))=0,"Sí","No")</f>
        <v>No</v>
      </c>
      <c r="K416" s="3" t="str">
        <f t="shared" si="6"/>
        <v>No</v>
      </c>
    </row>
    <row r="417" spans="1:11" ht="15" customHeight="1" x14ac:dyDescent="0.3">
      <c r="A417" s="3" t="str">
        <f>Hoja1!A417</f>
        <v>C0416</v>
      </c>
      <c r="B417" s="3" t="str">
        <f>Hoja1!B417</f>
        <v>Felisa Múgica Gomez</v>
      </c>
      <c r="C417" s="3" t="str">
        <f>IF(COUNTA(Hoja1!A417:I417)=0,"Sí","No")</f>
        <v>No</v>
      </c>
      <c r="D417" s="3" t="str">
        <f>IF(COUNTBLANK(Hoja1!A417:I417)&gt;0,"Sí","No")</f>
        <v>No</v>
      </c>
      <c r="E417" s="3" t="str">
        <f>IF(COUNTIF(Hoja1!$A$2:$A$1000,Hoja1!A417)&gt;1,"Sí","No")</f>
        <v>No</v>
      </c>
      <c r="F417" s="3" t="str">
        <f>IF(COUNTIF(Hoja1!$G$2:$G$1000,Hoja1!G417)&gt;1,"Sí","No")</f>
        <v>No</v>
      </c>
      <c r="G417" s="3" t="str">
        <f>IF(OR(ISERROR(FIND("@",Hoja1!G417)),ISERROR(FIND(".",Hoja1!G417,FIND("@",Hoja1!G417)))),"Sí","No")</f>
        <v>No</v>
      </c>
      <c r="H417" s="3" t="str">
        <f>IF(LEN(Hoja1!F417)&lt;&gt;14,"Sí","No")</f>
        <v>No</v>
      </c>
      <c r="I417" s="3" t="str">
        <f>IF(Hoja1!C417&gt;Hoja1!H417,"Sí","No")</f>
        <v>No</v>
      </c>
      <c r="J417" s="3" t="str">
        <f>IF(SUMPRODUCT(--ISNUMBER(SEARCH({"0";"1";"2";"3";"4";"5";"6";"7";"8";"9"},Hoja1!D417)))=0,"Sí","No")</f>
        <v>No</v>
      </c>
      <c r="K417" s="3" t="str">
        <f t="shared" si="6"/>
        <v>No</v>
      </c>
    </row>
    <row r="418" spans="1:11" ht="15" customHeight="1" x14ac:dyDescent="0.3">
      <c r="A418" s="3" t="str">
        <f>Hoja1!A418</f>
        <v>C0417</v>
      </c>
      <c r="B418" s="3" t="str">
        <f>Hoja1!B418</f>
        <v>Anselma Valentín Malo</v>
      </c>
      <c r="C418" s="3" t="str">
        <f>IF(COUNTA(Hoja1!A418:I418)=0,"Sí","No")</f>
        <v>No</v>
      </c>
      <c r="D418" s="3" t="str">
        <f>IF(COUNTBLANK(Hoja1!A418:I418)&gt;0,"Sí","No")</f>
        <v>No</v>
      </c>
      <c r="E418" s="3" t="str">
        <f>IF(COUNTIF(Hoja1!$A$2:$A$1000,Hoja1!A418)&gt;1,"Sí","No")</f>
        <v>No</v>
      </c>
      <c r="F418" s="3" t="str">
        <f>IF(COUNTIF(Hoja1!$G$2:$G$1000,Hoja1!G418)&gt;1,"Sí","No")</f>
        <v>No</v>
      </c>
      <c r="G418" s="3" t="str">
        <f>IF(OR(ISERROR(FIND("@",Hoja1!G418)),ISERROR(FIND(".",Hoja1!G418,FIND("@",Hoja1!G418)))),"Sí","No")</f>
        <v>No</v>
      </c>
      <c r="H418" s="3" t="str">
        <f>IF(LEN(Hoja1!F418)&lt;&gt;14,"Sí","No")</f>
        <v>No</v>
      </c>
      <c r="I418" s="3" t="str">
        <f>IF(Hoja1!C418&gt;Hoja1!H418,"Sí","No")</f>
        <v>No</v>
      </c>
      <c r="J418" s="3" t="str">
        <f>IF(SUMPRODUCT(--ISNUMBER(SEARCH({"0";"1";"2";"3";"4";"5";"6";"7";"8";"9"},Hoja1!D418)))=0,"Sí","No")</f>
        <v>No</v>
      </c>
      <c r="K418" s="3" t="str">
        <f t="shared" si="6"/>
        <v>No</v>
      </c>
    </row>
    <row r="419" spans="1:11" ht="15" customHeight="1" x14ac:dyDescent="0.3">
      <c r="A419" s="3" t="str">
        <f>Hoja1!A419</f>
        <v>C0418</v>
      </c>
      <c r="B419" s="3" t="str">
        <f>Hoja1!B419</f>
        <v>Lino de Busquets</v>
      </c>
      <c r="C419" s="3" t="str">
        <f>IF(COUNTA(Hoja1!A419:I419)=0,"Sí","No")</f>
        <v>No</v>
      </c>
      <c r="D419" s="3" t="str">
        <f>IF(COUNTBLANK(Hoja1!A419:I419)&gt;0,"Sí","No")</f>
        <v>No</v>
      </c>
      <c r="E419" s="3" t="str">
        <f>IF(COUNTIF(Hoja1!$A$2:$A$1000,Hoja1!A419)&gt;1,"Sí","No")</f>
        <v>No</v>
      </c>
      <c r="F419" s="3" t="str">
        <f>IF(COUNTIF(Hoja1!$G$2:$G$1000,Hoja1!G419)&gt;1,"Sí","No")</f>
        <v>No</v>
      </c>
      <c r="G419" s="3" t="str">
        <f>IF(OR(ISERROR(FIND("@",Hoja1!G419)),ISERROR(FIND(".",Hoja1!G419,FIND("@",Hoja1!G419)))),"Sí","No")</f>
        <v>No</v>
      </c>
      <c r="H419" s="3" t="str">
        <f>IF(LEN(Hoja1!F419)&lt;&gt;14,"Sí","No")</f>
        <v>No</v>
      </c>
      <c r="I419" s="3" t="str">
        <f>IF(Hoja1!C419&gt;Hoja1!H419,"Sí","No")</f>
        <v>No</v>
      </c>
      <c r="J419" s="3" t="str">
        <f>IF(SUMPRODUCT(--ISNUMBER(SEARCH({"0";"1";"2";"3";"4";"5";"6";"7";"8";"9"},Hoja1!D419)))=0,"Sí","No")</f>
        <v>No</v>
      </c>
      <c r="K419" s="3" t="str">
        <f t="shared" si="6"/>
        <v>No</v>
      </c>
    </row>
    <row r="420" spans="1:11" ht="15" customHeight="1" x14ac:dyDescent="0.3">
      <c r="A420" s="3" t="str">
        <f>Hoja1!A420</f>
        <v>C0419</v>
      </c>
      <c r="B420" s="3" t="str">
        <f>Hoja1!B420</f>
        <v>Sandra Leiva Aguiló</v>
      </c>
      <c r="C420" s="3" t="str">
        <f>IF(COUNTA(Hoja1!A420:I420)=0,"Sí","No")</f>
        <v>No</v>
      </c>
      <c r="D420" s="3" t="str">
        <f>IF(COUNTBLANK(Hoja1!A420:I420)&gt;0,"Sí","No")</f>
        <v>No</v>
      </c>
      <c r="E420" s="3" t="str">
        <f>IF(COUNTIF(Hoja1!$A$2:$A$1000,Hoja1!A420)&gt;1,"Sí","No")</f>
        <v>No</v>
      </c>
      <c r="F420" s="3" t="str">
        <f>IF(COUNTIF(Hoja1!$G$2:$G$1000,Hoja1!G420)&gt;1,"Sí","No")</f>
        <v>No</v>
      </c>
      <c r="G420" s="3" t="str">
        <f>IF(OR(ISERROR(FIND("@",Hoja1!G420)),ISERROR(FIND(".",Hoja1!G420,FIND("@",Hoja1!G420)))),"Sí","No")</f>
        <v>No</v>
      </c>
      <c r="H420" s="3" t="str">
        <f>IF(LEN(Hoja1!F420)&lt;&gt;14,"Sí","No")</f>
        <v>No</v>
      </c>
      <c r="I420" s="3" t="str">
        <f>IF(Hoja1!C420&gt;Hoja1!H420,"Sí","No")</f>
        <v>No</v>
      </c>
      <c r="J420" s="3" t="str">
        <f>IF(SUMPRODUCT(--ISNUMBER(SEARCH({"0";"1";"2";"3";"4";"5";"6";"7";"8";"9"},Hoja1!D420)))=0,"Sí","No")</f>
        <v>No</v>
      </c>
      <c r="K420" s="3" t="str">
        <f t="shared" si="6"/>
        <v>No</v>
      </c>
    </row>
    <row r="421" spans="1:11" ht="15" customHeight="1" x14ac:dyDescent="0.3">
      <c r="A421" s="3" t="str">
        <f>Hoja1!A421</f>
        <v>C0420</v>
      </c>
      <c r="B421" s="3" t="str">
        <f>Hoja1!B421</f>
        <v>Federico Gutiérrez Tamarit</v>
      </c>
      <c r="C421" s="3" t="str">
        <f>IF(COUNTA(Hoja1!A421:I421)=0,"Sí","No")</f>
        <v>No</v>
      </c>
      <c r="D421" s="3" t="str">
        <f>IF(COUNTBLANK(Hoja1!A421:I421)&gt;0,"Sí","No")</f>
        <v>No</v>
      </c>
      <c r="E421" s="3" t="str">
        <f>IF(COUNTIF(Hoja1!$A$2:$A$1000,Hoja1!A421)&gt;1,"Sí","No")</f>
        <v>No</v>
      </c>
      <c r="F421" s="3" t="str">
        <f>IF(COUNTIF(Hoja1!$G$2:$G$1000,Hoja1!G421)&gt;1,"Sí","No")</f>
        <v>No</v>
      </c>
      <c r="G421" s="3" t="str">
        <f>IF(OR(ISERROR(FIND("@",Hoja1!G421)),ISERROR(FIND(".",Hoja1!G421,FIND("@",Hoja1!G421)))),"Sí","No")</f>
        <v>No</v>
      </c>
      <c r="H421" s="3" t="str">
        <f>IF(LEN(Hoja1!F421)&lt;&gt;14,"Sí","No")</f>
        <v>No</v>
      </c>
      <c r="I421" s="3" t="str">
        <f>IF(Hoja1!C421&gt;Hoja1!H421,"Sí","No")</f>
        <v>No</v>
      </c>
      <c r="J421" s="3" t="str">
        <f>IF(SUMPRODUCT(--ISNUMBER(SEARCH({"0";"1";"2";"3";"4";"5";"6";"7";"8";"9"},Hoja1!D421)))=0,"Sí","No")</f>
        <v>No</v>
      </c>
      <c r="K421" s="3" t="str">
        <f t="shared" si="6"/>
        <v>No</v>
      </c>
    </row>
    <row r="422" spans="1:11" ht="15" customHeight="1" x14ac:dyDescent="0.3">
      <c r="A422" s="3" t="str">
        <f>Hoja1!A422</f>
        <v>C0421</v>
      </c>
      <c r="B422" s="3" t="str">
        <f>Hoja1!B422</f>
        <v>Aristides Exposito Sánchez</v>
      </c>
      <c r="C422" s="3" t="str">
        <f>IF(COUNTA(Hoja1!A422:I422)=0,"Sí","No")</f>
        <v>No</v>
      </c>
      <c r="D422" s="3" t="str">
        <f>IF(COUNTBLANK(Hoja1!A422:I422)&gt;0,"Sí","No")</f>
        <v>No</v>
      </c>
      <c r="E422" s="3" t="str">
        <f>IF(COUNTIF(Hoja1!$A$2:$A$1000,Hoja1!A422)&gt;1,"Sí","No")</f>
        <v>No</v>
      </c>
      <c r="F422" s="3" t="str">
        <f>IF(COUNTIF(Hoja1!$G$2:$G$1000,Hoja1!G422)&gt;1,"Sí","No")</f>
        <v>Sí</v>
      </c>
      <c r="G422" s="3" t="str">
        <f>IF(OR(ISERROR(FIND("@",Hoja1!G422)),ISERROR(FIND(".",Hoja1!G422,FIND("@",Hoja1!G422)))),"Sí","No")</f>
        <v>No</v>
      </c>
      <c r="H422" s="3" t="str">
        <f>IF(LEN(Hoja1!F422)&lt;&gt;14,"Sí","No")</f>
        <v>No</v>
      </c>
      <c r="I422" s="3" t="str">
        <f>IF(Hoja1!C422&gt;Hoja1!H422,"Sí","No")</f>
        <v>No</v>
      </c>
      <c r="J422" s="3" t="str">
        <f>IF(SUMPRODUCT(--ISNUMBER(SEARCH({"0";"1";"2";"3";"4";"5";"6";"7";"8";"9"},Hoja1!D422)))=0,"Sí","No")</f>
        <v>No</v>
      </c>
      <c r="K422" s="3" t="str">
        <f t="shared" si="6"/>
        <v>Sí</v>
      </c>
    </row>
    <row r="423" spans="1:11" ht="15" customHeight="1" x14ac:dyDescent="0.3">
      <c r="A423" s="3" t="str">
        <f>Hoja1!A423</f>
        <v>C0422</v>
      </c>
      <c r="B423" s="3" t="str">
        <f>Hoja1!B423</f>
        <v>Claudia Ibañez Peñas</v>
      </c>
      <c r="C423" s="3" t="str">
        <f>IF(COUNTA(Hoja1!A423:I423)=0,"Sí","No")</f>
        <v>No</v>
      </c>
      <c r="D423" s="3" t="str">
        <f>IF(COUNTBLANK(Hoja1!A423:I423)&gt;0,"Sí","No")</f>
        <v>No</v>
      </c>
      <c r="E423" s="3" t="str">
        <f>IF(COUNTIF(Hoja1!$A$2:$A$1000,Hoja1!A423)&gt;1,"Sí","No")</f>
        <v>No</v>
      </c>
      <c r="F423" s="3" t="str">
        <f>IF(COUNTIF(Hoja1!$G$2:$G$1000,Hoja1!G423)&gt;1,"Sí","No")</f>
        <v>No</v>
      </c>
      <c r="G423" s="3" t="str">
        <f>IF(OR(ISERROR(FIND("@",Hoja1!G423)),ISERROR(FIND(".",Hoja1!G423,FIND("@",Hoja1!G423)))),"Sí","No")</f>
        <v>No</v>
      </c>
      <c r="H423" s="3" t="str">
        <f>IF(LEN(Hoja1!F423)&lt;&gt;14,"Sí","No")</f>
        <v>No</v>
      </c>
      <c r="I423" s="3" t="str">
        <f>IF(Hoja1!C423&gt;Hoja1!H423,"Sí","No")</f>
        <v>No</v>
      </c>
      <c r="J423" s="3" t="str">
        <f>IF(SUMPRODUCT(--ISNUMBER(SEARCH({"0";"1";"2";"3";"4";"5";"6";"7";"8";"9"},Hoja1!D423)))=0,"Sí","No")</f>
        <v>No</v>
      </c>
      <c r="K423" s="3" t="str">
        <f t="shared" si="6"/>
        <v>No</v>
      </c>
    </row>
    <row r="424" spans="1:11" ht="15" customHeight="1" x14ac:dyDescent="0.3">
      <c r="A424" s="3" t="str">
        <f>Hoja1!A424</f>
        <v>C0423</v>
      </c>
      <c r="B424" s="3" t="str">
        <f>Hoja1!B424</f>
        <v>Roque Bejarano</v>
      </c>
      <c r="C424" s="3" t="str">
        <f>IF(COUNTA(Hoja1!A424:I424)=0,"Sí","No")</f>
        <v>No</v>
      </c>
      <c r="D424" s="3" t="str">
        <f>IF(COUNTBLANK(Hoja1!A424:I424)&gt;0,"Sí","No")</f>
        <v>No</v>
      </c>
      <c r="E424" s="3" t="str">
        <f>IF(COUNTIF(Hoja1!$A$2:$A$1000,Hoja1!A424)&gt;1,"Sí","No")</f>
        <v>No</v>
      </c>
      <c r="F424" s="3" t="str">
        <f>IF(COUNTIF(Hoja1!$G$2:$G$1000,Hoja1!G424)&gt;1,"Sí","No")</f>
        <v>No</v>
      </c>
      <c r="G424" s="3" t="str">
        <f>IF(OR(ISERROR(FIND("@",Hoja1!G424)),ISERROR(FIND(".",Hoja1!G424,FIND("@",Hoja1!G424)))),"Sí","No")</f>
        <v>No</v>
      </c>
      <c r="H424" s="3" t="str">
        <f>IF(LEN(Hoja1!F424)&lt;&gt;14,"Sí","No")</f>
        <v>No</v>
      </c>
      <c r="I424" s="3" t="str">
        <f>IF(Hoja1!C424&gt;Hoja1!H424,"Sí","No")</f>
        <v>No</v>
      </c>
      <c r="J424" s="3" t="str">
        <f>IF(SUMPRODUCT(--ISNUMBER(SEARCH({"0";"1";"2";"3";"4";"5";"6";"7";"8";"9"},Hoja1!D424)))=0,"Sí","No")</f>
        <v>No</v>
      </c>
      <c r="K424" s="3" t="str">
        <f t="shared" si="6"/>
        <v>No</v>
      </c>
    </row>
    <row r="425" spans="1:11" ht="15" customHeight="1" x14ac:dyDescent="0.3">
      <c r="A425" s="3" t="str">
        <f>Hoja1!A425</f>
        <v>C0424</v>
      </c>
      <c r="B425" s="3" t="str">
        <f>Hoja1!B425</f>
        <v>Sergio Font Mínguez</v>
      </c>
      <c r="C425" s="3" t="str">
        <f>IF(COUNTA(Hoja1!A425:I425)=0,"Sí","No")</f>
        <v>No</v>
      </c>
      <c r="D425" s="3" t="str">
        <f>IF(COUNTBLANK(Hoja1!A425:I425)&gt;0,"Sí","No")</f>
        <v>No</v>
      </c>
      <c r="E425" s="3" t="str">
        <f>IF(COUNTIF(Hoja1!$A$2:$A$1000,Hoja1!A425)&gt;1,"Sí","No")</f>
        <v>No</v>
      </c>
      <c r="F425" s="3" t="str">
        <f>IF(COUNTIF(Hoja1!$G$2:$G$1000,Hoja1!G425)&gt;1,"Sí","No")</f>
        <v>No</v>
      </c>
      <c r="G425" s="3" t="str">
        <f>IF(OR(ISERROR(FIND("@",Hoja1!G425)),ISERROR(FIND(".",Hoja1!G425,FIND("@",Hoja1!G425)))),"Sí","No")</f>
        <v>No</v>
      </c>
      <c r="H425" s="3" t="str">
        <f>IF(LEN(Hoja1!F425)&lt;&gt;14,"Sí","No")</f>
        <v>No</v>
      </c>
      <c r="I425" s="3" t="str">
        <f>IF(Hoja1!C425&gt;Hoja1!H425,"Sí","No")</f>
        <v>No</v>
      </c>
      <c r="J425" s="3" t="str">
        <f>IF(SUMPRODUCT(--ISNUMBER(SEARCH({"0";"1";"2";"3";"4";"5";"6";"7";"8";"9"},Hoja1!D425)))=0,"Sí","No")</f>
        <v>No</v>
      </c>
      <c r="K425" s="3" t="str">
        <f t="shared" si="6"/>
        <v>No</v>
      </c>
    </row>
    <row r="426" spans="1:11" ht="15" customHeight="1" x14ac:dyDescent="0.3">
      <c r="A426" s="3" t="str">
        <f>Hoja1!A426</f>
        <v>C0425</v>
      </c>
      <c r="B426" s="3" t="str">
        <f>Hoja1!B426</f>
        <v>Luisina Chus Acosta Losa</v>
      </c>
      <c r="C426" s="3" t="str">
        <f>IF(COUNTA(Hoja1!A426:I426)=0,"Sí","No")</f>
        <v>No</v>
      </c>
      <c r="D426" s="3" t="str">
        <f>IF(COUNTBLANK(Hoja1!A426:I426)&gt;0,"Sí","No")</f>
        <v>No</v>
      </c>
      <c r="E426" s="3" t="str">
        <f>IF(COUNTIF(Hoja1!$A$2:$A$1000,Hoja1!A426)&gt;1,"Sí","No")</f>
        <v>No</v>
      </c>
      <c r="F426" s="3" t="str">
        <f>IF(COUNTIF(Hoja1!$G$2:$G$1000,Hoja1!G426)&gt;1,"Sí","No")</f>
        <v>No</v>
      </c>
      <c r="G426" s="3" t="str">
        <f>IF(OR(ISERROR(FIND("@",Hoja1!G426)),ISERROR(FIND(".",Hoja1!G426,FIND("@",Hoja1!G426)))),"Sí","No")</f>
        <v>No</v>
      </c>
      <c r="H426" s="3" t="str">
        <f>IF(LEN(Hoja1!F426)&lt;&gt;14,"Sí","No")</f>
        <v>No</v>
      </c>
      <c r="I426" s="3" t="str">
        <f>IF(Hoja1!C426&gt;Hoja1!H426,"Sí","No")</f>
        <v>No</v>
      </c>
      <c r="J426" s="3" t="str">
        <f>IF(SUMPRODUCT(--ISNUMBER(SEARCH({"0";"1";"2";"3";"4";"5";"6";"7";"8";"9"},Hoja1!D426)))=0,"Sí","No")</f>
        <v>No</v>
      </c>
      <c r="K426" s="3" t="str">
        <f t="shared" si="6"/>
        <v>No</v>
      </c>
    </row>
    <row r="427" spans="1:11" ht="15" customHeight="1" x14ac:dyDescent="0.3">
      <c r="A427" s="3" t="str">
        <f>Hoja1!A427</f>
        <v>C0426</v>
      </c>
      <c r="B427" s="3" t="str">
        <f>Hoja1!B427</f>
        <v>Eusebia Torre Dalmau</v>
      </c>
      <c r="C427" s="3" t="str">
        <f>IF(COUNTA(Hoja1!A427:I427)=0,"Sí","No")</f>
        <v>No</v>
      </c>
      <c r="D427" s="3" t="str">
        <f>IF(COUNTBLANK(Hoja1!A427:I427)&gt;0,"Sí","No")</f>
        <v>No</v>
      </c>
      <c r="E427" s="3" t="str">
        <f>IF(COUNTIF(Hoja1!$A$2:$A$1000,Hoja1!A427)&gt;1,"Sí","No")</f>
        <v>No</v>
      </c>
      <c r="F427" s="3" t="str">
        <f>IF(COUNTIF(Hoja1!$G$2:$G$1000,Hoja1!G427)&gt;1,"Sí","No")</f>
        <v>No</v>
      </c>
      <c r="G427" s="3" t="str">
        <f>IF(OR(ISERROR(FIND("@",Hoja1!G427)),ISERROR(FIND(".",Hoja1!G427,FIND("@",Hoja1!G427)))),"Sí","No")</f>
        <v>No</v>
      </c>
      <c r="H427" s="3" t="str">
        <f>IF(LEN(Hoja1!F427)&lt;&gt;14,"Sí","No")</f>
        <v>No</v>
      </c>
      <c r="I427" s="3" t="str">
        <f>IF(Hoja1!C427&gt;Hoja1!H427,"Sí","No")</f>
        <v>No</v>
      </c>
      <c r="J427" s="3" t="str">
        <f>IF(SUMPRODUCT(--ISNUMBER(SEARCH({"0";"1";"2";"3";"4";"5";"6";"7";"8";"9"},Hoja1!D427)))=0,"Sí","No")</f>
        <v>No</v>
      </c>
      <c r="K427" s="3" t="str">
        <f t="shared" si="6"/>
        <v>No</v>
      </c>
    </row>
    <row r="428" spans="1:11" ht="15" customHeight="1" x14ac:dyDescent="0.3">
      <c r="A428" s="3" t="str">
        <f>Hoja1!A428</f>
        <v>C0427</v>
      </c>
      <c r="B428" s="3" t="str">
        <f>Hoja1!B428</f>
        <v>Pedro Sancho-Garrido</v>
      </c>
      <c r="C428" s="3" t="str">
        <f>IF(COUNTA(Hoja1!A428:I428)=0,"Sí","No")</f>
        <v>No</v>
      </c>
      <c r="D428" s="3" t="str">
        <f>IF(COUNTBLANK(Hoja1!A428:I428)&gt;0,"Sí","No")</f>
        <v>No</v>
      </c>
      <c r="E428" s="3" t="str">
        <f>IF(COUNTIF(Hoja1!$A$2:$A$1000,Hoja1!A428)&gt;1,"Sí","No")</f>
        <v>No</v>
      </c>
      <c r="F428" s="3" t="str">
        <f>IF(COUNTIF(Hoja1!$G$2:$G$1000,Hoja1!G428)&gt;1,"Sí","No")</f>
        <v>No</v>
      </c>
      <c r="G428" s="3" t="str">
        <f>IF(OR(ISERROR(FIND("@",Hoja1!G428)),ISERROR(FIND(".",Hoja1!G428,FIND("@",Hoja1!G428)))),"Sí","No")</f>
        <v>No</v>
      </c>
      <c r="H428" s="3" t="str">
        <f>IF(LEN(Hoja1!F428)&lt;&gt;14,"Sí","No")</f>
        <v>No</v>
      </c>
      <c r="I428" s="3" t="str">
        <f>IF(Hoja1!C428&gt;Hoja1!H428,"Sí","No")</f>
        <v>No</v>
      </c>
      <c r="J428" s="3" t="str">
        <f>IF(SUMPRODUCT(--ISNUMBER(SEARCH({"0";"1";"2";"3";"4";"5";"6";"7";"8";"9"},Hoja1!D428)))=0,"Sí","No")</f>
        <v>No</v>
      </c>
      <c r="K428" s="3" t="str">
        <f t="shared" si="6"/>
        <v>No</v>
      </c>
    </row>
    <row r="429" spans="1:11" ht="15" customHeight="1" x14ac:dyDescent="0.3">
      <c r="A429" s="3" t="str">
        <f>Hoja1!A429</f>
        <v>C0428</v>
      </c>
      <c r="B429" s="3" t="str">
        <f>Hoja1!B429</f>
        <v>Blanca Lluch Gonzalo</v>
      </c>
      <c r="C429" s="3" t="str">
        <f>IF(COUNTA(Hoja1!A429:I429)=0,"Sí","No")</f>
        <v>No</v>
      </c>
      <c r="D429" s="3" t="str">
        <f>IF(COUNTBLANK(Hoja1!A429:I429)&gt;0,"Sí","No")</f>
        <v>No</v>
      </c>
      <c r="E429" s="3" t="str">
        <f>IF(COUNTIF(Hoja1!$A$2:$A$1000,Hoja1!A429)&gt;1,"Sí","No")</f>
        <v>No</v>
      </c>
      <c r="F429" s="3" t="str">
        <f>IF(COUNTIF(Hoja1!$G$2:$G$1000,Hoja1!G429)&gt;1,"Sí","No")</f>
        <v>No</v>
      </c>
      <c r="G429" s="3" t="str">
        <f>IF(OR(ISERROR(FIND("@",Hoja1!G429)),ISERROR(FIND(".",Hoja1!G429,FIND("@",Hoja1!G429)))),"Sí","No")</f>
        <v>No</v>
      </c>
      <c r="H429" s="3" t="str">
        <f>IF(LEN(Hoja1!F429)&lt;&gt;14,"Sí","No")</f>
        <v>No</v>
      </c>
      <c r="I429" s="3" t="str">
        <f>IF(Hoja1!C429&gt;Hoja1!H429,"Sí","No")</f>
        <v>No</v>
      </c>
      <c r="J429" s="3" t="str">
        <f>IF(SUMPRODUCT(--ISNUMBER(SEARCH({"0";"1";"2";"3";"4";"5";"6";"7";"8";"9"},Hoja1!D429)))=0,"Sí","No")</f>
        <v>No</v>
      </c>
      <c r="K429" s="3" t="str">
        <f t="shared" si="6"/>
        <v>No</v>
      </c>
    </row>
    <row r="430" spans="1:11" ht="15" customHeight="1" x14ac:dyDescent="0.3">
      <c r="A430" s="3" t="str">
        <f>Hoja1!A430</f>
        <v>C0429</v>
      </c>
      <c r="B430" s="3" t="str">
        <f>Hoja1!B430</f>
        <v>Benito Aranda Olivera</v>
      </c>
      <c r="C430" s="3" t="str">
        <f>IF(COUNTA(Hoja1!A430:I430)=0,"Sí","No")</f>
        <v>No</v>
      </c>
      <c r="D430" s="3" t="str">
        <f>IF(COUNTBLANK(Hoja1!A430:I430)&gt;0,"Sí","No")</f>
        <v>No</v>
      </c>
      <c r="E430" s="3" t="str">
        <f>IF(COUNTIF(Hoja1!$A$2:$A$1000,Hoja1!A430)&gt;1,"Sí","No")</f>
        <v>No</v>
      </c>
      <c r="F430" s="3" t="str">
        <f>IF(COUNTIF(Hoja1!$G$2:$G$1000,Hoja1!G430)&gt;1,"Sí","No")</f>
        <v>No</v>
      </c>
      <c r="G430" s="3" t="str">
        <f>IF(OR(ISERROR(FIND("@",Hoja1!G430)),ISERROR(FIND(".",Hoja1!G430,FIND("@",Hoja1!G430)))),"Sí","No")</f>
        <v>No</v>
      </c>
      <c r="H430" s="3" t="str">
        <f>IF(LEN(Hoja1!F430)&lt;&gt;14,"Sí","No")</f>
        <v>No</v>
      </c>
      <c r="I430" s="3" t="str">
        <f>IF(Hoja1!C430&gt;Hoja1!H430,"Sí","No")</f>
        <v>No</v>
      </c>
      <c r="J430" s="3" t="str">
        <f>IF(SUMPRODUCT(--ISNUMBER(SEARCH({"0";"1";"2";"3";"4";"5";"6";"7";"8";"9"},Hoja1!D430)))=0,"Sí","No")</f>
        <v>No</v>
      </c>
      <c r="K430" s="3" t="str">
        <f t="shared" si="6"/>
        <v>No</v>
      </c>
    </row>
    <row r="431" spans="1:11" ht="15" customHeight="1" x14ac:dyDescent="0.3">
      <c r="A431" s="3" t="str">
        <f>Hoja1!A431</f>
        <v>C0430</v>
      </c>
      <c r="B431" s="3" t="str">
        <f>Hoja1!B431</f>
        <v>Juan Lerma Melero</v>
      </c>
      <c r="C431" s="3" t="str">
        <f>IF(COUNTA(Hoja1!A431:I431)=0,"Sí","No")</f>
        <v>No</v>
      </c>
      <c r="D431" s="3" t="str">
        <f>IF(COUNTBLANK(Hoja1!A431:I431)&gt;0,"Sí","No")</f>
        <v>No</v>
      </c>
      <c r="E431" s="3" t="str">
        <f>IF(COUNTIF(Hoja1!$A$2:$A$1000,Hoja1!A431)&gt;1,"Sí","No")</f>
        <v>No</v>
      </c>
      <c r="F431" s="3" t="str">
        <f>IF(COUNTIF(Hoja1!$G$2:$G$1000,Hoja1!G431)&gt;1,"Sí","No")</f>
        <v>No</v>
      </c>
      <c r="G431" s="3" t="str">
        <f>IF(OR(ISERROR(FIND("@",Hoja1!G431)),ISERROR(FIND(".",Hoja1!G431,FIND("@",Hoja1!G431)))),"Sí","No")</f>
        <v>No</v>
      </c>
      <c r="H431" s="3" t="str">
        <f>IF(LEN(Hoja1!F431)&lt;&gt;14,"Sí","No")</f>
        <v>No</v>
      </c>
      <c r="I431" s="3" t="str">
        <f>IF(Hoja1!C431&gt;Hoja1!H431,"Sí","No")</f>
        <v>No</v>
      </c>
      <c r="J431" s="3" t="str">
        <f>IF(SUMPRODUCT(--ISNUMBER(SEARCH({"0";"1";"2";"3";"4";"5";"6";"7";"8";"9"},Hoja1!D431)))=0,"Sí","No")</f>
        <v>No</v>
      </c>
      <c r="K431" s="3" t="str">
        <f t="shared" si="6"/>
        <v>No</v>
      </c>
    </row>
    <row r="432" spans="1:11" ht="15" customHeight="1" x14ac:dyDescent="0.3">
      <c r="A432" s="3" t="str">
        <f>Hoja1!A432</f>
        <v>C0431</v>
      </c>
      <c r="B432" s="3" t="str">
        <f>Hoja1!B432</f>
        <v>Nayara Fuster Cuesta</v>
      </c>
      <c r="C432" s="3" t="str">
        <f>IF(COUNTA(Hoja1!A432:I432)=0,"Sí","No")</f>
        <v>No</v>
      </c>
      <c r="D432" s="3" t="str">
        <f>IF(COUNTBLANK(Hoja1!A432:I432)&gt;0,"Sí","No")</f>
        <v>No</v>
      </c>
      <c r="E432" s="3" t="str">
        <f>IF(COUNTIF(Hoja1!$A$2:$A$1000,Hoja1!A432)&gt;1,"Sí","No")</f>
        <v>No</v>
      </c>
      <c r="F432" s="3" t="str">
        <f>IF(COUNTIF(Hoja1!$G$2:$G$1000,Hoja1!G432)&gt;1,"Sí","No")</f>
        <v>No</v>
      </c>
      <c r="G432" s="3" t="str">
        <f>IF(OR(ISERROR(FIND("@",Hoja1!G432)),ISERROR(FIND(".",Hoja1!G432,FIND("@",Hoja1!G432)))),"Sí","No")</f>
        <v>No</v>
      </c>
      <c r="H432" s="3" t="str">
        <f>IF(LEN(Hoja1!F432)&lt;&gt;14,"Sí","No")</f>
        <v>No</v>
      </c>
      <c r="I432" s="3" t="str">
        <f>IF(Hoja1!C432&gt;Hoja1!H432,"Sí","No")</f>
        <v>No</v>
      </c>
      <c r="J432" s="3" t="str">
        <f>IF(SUMPRODUCT(--ISNUMBER(SEARCH({"0";"1";"2";"3";"4";"5";"6";"7";"8";"9"},Hoja1!D432)))=0,"Sí","No")</f>
        <v>No</v>
      </c>
      <c r="K432" s="3" t="str">
        <f t="shared" si="6"/>
        <v>No</v>
      </c>
    </row>
    <row r="433" spans="1:11" ht="15" customHeight="1" x14ac:dyDescent="0.3">
      <c r="A433" s="3" t="str">
        <f>Hoja1!A433</f>
        <v>C0432</v>
      </c>
      <c r="B433" s="3" t="str">
        <f>Hoja1!B433</f>
        <v>Maricela Mendizábal-Tejera</v>
      </c>
      <c r="C433" s="3" t="str">
        <f>IF(COUNTA(Hoja1!A433:I433)=0,"Sí","No")</f>
        <v>No</v>
      </c>
      <c r="D433" s="3" t="str">
        <f>IF(COUNTBLANK(Hoja1!A433:I433)&gt;0,"Sí","No")</f>
        <v>No</v>
      </c>
      <c r="E433" s="3" t="str">
        <f>IF(COUNTIF(Hoja1!$A$2:$A$1000,Hoja1!A433)&gt;1,"Sí","No")</f>
        <v>No</v>
      </c>
      <c r="F433" s="3" t="str">
        <f>IF(COUNTIF(Hoja1!$G$2:$G$1000,Hoja1!G433)&gt;1,"Sí","No")</f>
        <v>No</v>
      </c>
      <c r="G433" s="3" t="str">
        <f>IF(OR(ISERROR(FIND("@",Hoja1!G433)),ISERROR(FIND(".",Hoja1!G433,FIND("@",Hoja1!G433)))),"Sí","No")</f>
        <v>No</v>
      </c>
      <c r="H433" s="3" t="str">
        <f>IF(LEN(Hoja1!F433)&lt;&gt;14,"Sí","No")</f>
        <v>No</v>
      </c>
      <c r="I433" s="3" t="str">
        <f>IF(Hoja1!C433&gt;Hoja1!H433,"Sí","No")</f>
        <v>No</v>
      </c>
      <c r="J433" s="3" t="str">
        <f>IF(SUMPRODUCT(--ISNUMBER(SEARCH({"0";"1";"2";"3";"4";"5";"6";"7";"8";"9"},Hoja1!D433)))=0,"Sí","No")</f>
        <v>No</v>
      </c>
      <c r="K433" s="3" t="str">
        <f t="shared" si="6"/>
        <v>No</v>
      </c>
    </row>
    <row r="434" spans="1:11" ht="15" customHeight="1" x14ac:dyDescent="0.3">
      <c r="A434" s="3" t="str">
        <f>Hoja1!A434</f>
        <v>C0433</v>
      </c>
      <c r="B434" s="3" t="str">
        <f>Hoja1!B434</f>
        <v>Silvio Ledesma Planas</v>
      </c>
      <c r="C434" s="3" t="str">
        <f>IF(COUNTA(Hoja1!A434:I434)=0,"Sí","No")</f>
        <v>No</v>
      </c>
      <c r="D434" s="3" t="str">
        <f>IF(COUNTBLANK(Hoja1!A434:I434)&gt;0,"Sí","No")</f>
        <v>No</v>
      </c>
      <c r="E434" s="3" t="str">
        <f>IF(COUNTIF(Hoja1!$A$2:$A$1000,Hoja1!A434)&gt;1,"Sí","No")</f>
        <v>No</v>
      </c>
      <c r="F434" s="3" t="str">
        <f>IF(COUNTIF(Hoja1!$G$2:$G$1000,Hoja1!G434)&gt;1,"Sí","No")</f>
        <v>No</v>
      </c>
      <c r="G434" s="3" t="str">
        <f>IF(OR(ISERROR(FIND("@",Hoja1!G434)),ISERROR(FIND(".",Hoja1!G434,FIND("@",Hoja1!G434)))),"Sí","No")</f>
        <v>No</v>
      </c>
      <c r="H434" s="3" t="str">
        <f>IF(LEN(Hoja1!F434)&lt;&gt;14,"Sí","No")</f>
        <v>No</v>
      </c>
      <c r="I434" s="3" t="str">
        <f>IF(Hoja1!C434&gt;Hoja1!H434,"Sí","No")</f>
        <v>No</v>
      </c>
      <c r="J434" s="3" t="str">
        <f>IF(SUMPRODUCT(--ISNUMBER(SEARCH({"0";"1";"2";"3";"4";"5";"6";"7";"8";"9"},Hoja1!D434)))=0,"Sí","No")</f>
        <v>No</v>
      </c>
      <c r="K434" s="3" t="str">
        <f t="shared" si="6"/>
        <v>No</v>
      </c>
    </row>
    <row r="435" spans="1:11" ht="15" customHeight="1" x14ac:dyDescent="0.3">
      <c r="A435" s="3" t="str">
        <f>Hoja1!A435</f>
        <v>C0434</v>
      </c>
      <c r="B435" s="3" t="str">
        <f>Hoja1!B435</f>
        <v>Ovidio García Gabaldón</v>
      </c>
      <c r="C435" s="3" t="str">
        <f>IF(COUNTA(Hoja1!A435:I435)=0,"Sí","No")</f>
        <v>No</v>
      </c>
      <c r="D435" s="3" t="str">
        <f>IF(COUNTBLANK(Hoja1!A435:I435)&gt;0,"Sí","No")</f>
        <v>No</v>
      </c>
      <c r="E435" s="3" t="str">
        <f>IF(COUNTIF(Hoja1!$A$2:$A$1000,Hoja1!A435)&gt;1,"Sí","No")</f>
        <v>No</v>
      </c>
      <c r="F435" s="3" t="str">
        <f>IF(COUNTIF(Hoja1!$G$2:$G$1000,Hoja1!G435)&gt;1,"Sí","No")</f>
        <v>No</v>
      </c>
      <c r="G435" s="3" t="str">
        <f>IF(OR(ISERROR(FIND("@",Hoja1!G435)),ISERROR(FIND(".",Hoja1!G435,FIND("@",Hoja1!G435)))),"Sí","No")</f>
        <v>No</v>
      </c>
      <c r="H435" s="3" t="str">
        <f>IF(LEN(Hoja1!F435)&lt;&gt;14,"Sí","No")</f>
        <v>No</v>
      </c>
      <c r="I435" s="3" t="str">
        <f>IF(Hoja1!C435&gt;Hoja1!H435,"Sí","No")</f>
        <v>No</v>
      </c>
      <c r="J435" s="3" t="str">
        <f>IF(SUMPRODUCT(--ISNUMBER(SEARCH({"0";"1";"2";"3";"4";"5";"6";"7";"8";"9"},Hoja1!D435)))=0,"Sí","No")</f>
        <v>No</v>
      </c>
      <c r="K435" s="3" t="str">
        <f t="shared" si="6"/>
        <v>No</v>
      </c>
    </row>
    <row r="436" spans="1:11" ht="15" customHeight="1" x14ac:dyDescent="0.3">
      <c r="A436" s="3" t="str">
        <f>Hoja1!A436</f>
        <v>C0435</v>
      </c>
      <c r="B436" s="3" t="str">
        <f>Hoja1!B436</f>
        <v>Marina Gisbert Huertas</v>
      </c>
      <c r="C436" s="3" t="str">
        <f>IF(COUNTA(Hoja1!A436:I436)=0,"Sí","No")</f>
        <v>No</v>
      </c>
      <c r="D436" s="3" t="str">
        <f>IF(COUNTBLANK(Hoja1!A436:I436)&gt;0,"Sí","No")</f>
        <v>No</v>
      </c>
      <c r="E436" s="3" t="str">
        <f>IF(COUNTIF(Hoja1!$A$2:$A$1000,Hoja1!A436)&gt;1,"Sí","No")</f>
        <v>No</v>
      </c>
      <c r="F436" s="3" t="str">
        <f>IF(COUNTIF(Hoja1!$G$2:$G$1000,Hoja1!G436)&gt;1,"Sí","No")</f>
        <v>No</v>
      </c>
      <c r="G436" s="3" t="str">
        <f>IF(OR(ISERROR(FIND("@",Hoja1!G436)),ISERROR(FIND(".",Hoja1!G436,FIND("@",Hoja1!G436)))),"Sí","No")</f>
        <v>No</v>
      </c>
      <c r="H436" s="3" t="str">
        <f>IF(LEN(Hoja1!F436)&lt;&gt;14,"Sí","No")</f>
        <v>No</v>
      </c>
      <c r="I436" s="3" t="str">
        <f>IF(Hoja1!C436&gt;Hoja1!H436,"Sí","No")</f>
        <v>No</v>
      </c>
      <c r="J436" s="3" t="str">
        <f>IF(SUMPRODUCT(--ISNUMBER(SEARCH({"0";"1";"2";"3";"4";"5";"6";"7";"8";"9"},Hoja1!D436)))=0,"Sí","No")</f>
        <v>No</v>
      </c>
      <c r="K436" s="3" t="str">
        <f t="shared" si="6"/>
        <v>No</v>
      </c>
    </row>
    <row r="437" spans="1:11" ht="15" customHeight="1" x14ac:dyDescent="0.3">
      <c r="A437" s="3" t="str">
        <f>Hoja1!A437</f>
        <v>C0436</v>
      </c>
      <c r="B437" s="3" t="str">
        <f>Hoja1!B437</f>
        <v>Nazaret Pina Solé</v>
      </c>
      <c r="C437" s="3" t="str">
        <f>IF(COUNTA(Hoja1!A437:I437)=0,"Sí","No")</f>
        <v>No</v>
      </c>
      <c r="D437" s="3" t="str">
        <f>IF(COUNTBLANK(Hoja1!A437:I437)&gt;0,"Sí","No")</f>
        <v>No</v>
      </c>
      <c r="E437" s="3" t="str">
        <f>IF(COUNTIF(Hoja1!$A$2:$A$1000,Hoja1!A437)&gt;1,"Sí","No")</f>
        <v>No</v>
      </c>
      <c r="F437" s="3" t="str">
        <f>IF(COUNTIF(Hoja1!$G$2:$G$1000,Hoja1!G437)&gt;1,"Sí","No")</f>
        <v>No</v>
      </c>
      <c r="G437" s="3" t="str">
        <f>IF(OR(ISERROR(FIND("@",Hoja1!G437)),ISERROR(FIND(".",Hoja1!G437,FIND("@",Hoja1!G437)))),"Sí","No")</f>
        <v>No</v>
      </c>
      <c r="H437" s="3" t="str">
        <f>IF(LEN(Hoja1!F437)&lt;&gt;14,"Sí","No")</f>
        <v>No</v>
      </c>
      <c r="I437" s="3" t="str">
        <f>IF(Hoja1!C437&gt;Hoja1!H437,"Sí","No")</f>
        <v>No</v>
      </c>
      <c r="J437" s="3" t="str">
        <f>IF(SUMPRODUCT(--ISNUMBER(SEARCH({"0";"1";"2";"3";"4";"5";"6";"7";"8";"9"},Hoja1!D437)))=0,"Sí","No")</f>
        <v>No</v>
      </c>
      <c r="K437" s="3" t="str">
        <f t="shared" si="6"/>
        <v>No</v>
      </c>
    </row>
    <row r="438" spans="1:11" ht="15" customHeight="1" x14ac:dyDescent="0.3">
      <c r="A438" s="3" t="str">
        <f>Hoja1!A438</f>
        <v>C0437</v>
      </c>
      <c r="B438" s="3" t="str">
        <f>Hoja1!B438</f>
        <v>Valentina del Diaz</v>
      </c>
      <c r="C438" s="3" t="str">
        <f>IF(COUNTA(Hoja1!A438:I438)=0,"Sí","No")</f>
        <v>No</v>
      </c>
      <c r="D438" s="3" t="str">
        <f>IF(COUNTBLANK(Hoja1!A438:I438)&gt;0,"Sí","No")</f>
        <v>No</v>
      </c>
      <c r="E438" s="3" t="str">
        <f>IF(COUNTIF(Hoja1!$A$2:$A$1000,Hoja1!A438)&gt;1,"Sí","No")</f>
        <v>No</v>
      </c>
      <c r="F438" s="3" t="str">
        <f>IF(COUNTIF(Hoja1!$G$2:$G$1000,Hoja1!G438)&gt;1,"Sí","No")</f>
        <v>No</v>
      </c>
      <c r="G438" s="3" t="str">
        <f>IF(OR(ISERROR(FIND("@",Hoja1!G438)),ISERROR(FIND(".",Hoja1!G438,FIND("@",Hoja1!G438)))),"Sí","No")</f>
        <v>No</v>
      </c>
      <c r="H438" s="3" t="str">
        <f>IF(LEN(Hoja1!F438)&lt;&gt;14,"Sí","No")</f>
        <v>No</v>
      </c>
      <c r="I438" s="3" t="str">
        <f>IF(Hoja1!C438&gt;Hoja1!H438,"Sí","No")</f>
        <v>No</v>
      </c>
      <c r="J438" s="3" t="str">
        <f>IF(SUMPRODUCT(--ISNUMBER(SEARCH({"0";"1";"2";"3";"4";"5";"6";"7";"8";"9"},Hoja1!D438)))=0,"Sí","No")</f>
        <v>No</v>
      </c>
      <c r="K438" s="3" t="str">
        <f t="shared" si="6"/>
        <v>No</v>
      </c>
    </row>
    <row r="439" spans="1:11" ht="15" customHeight="1" x14ac:dyDescent="0.3">
      <c r="A439" s="3" t="str">
        <f>Hoja1!A439</f>
        <v>C0438</v>
      </c>
      <c r="B439" s="3" t="str">
        <f>Hoja1!B439</f>
        <v>José Antonio Lluch Gutiérrez</v>
      </c>
      <c r="C439" s="3" t="str">
        <f>IF(COUNTA(Hoja1!A439:I439)=0,"Sí","No")</f>
        <v>No</v>
      </c>
      <c r="D439" s="3" t="str">
        <f>IF(COUNTBLANK(Hoja1!A439:I439)&gt;0,"Sí","No")</f>
        <v>No</v>
      </c>
      <c r="E439" s="3" t="str">
        <f>IF(COUNTIF(Hoja1!$A$2:$A$1000,Hoja1!A439)&gt;1,"Sí","No")</f>
        <v>No</v>
      </c>
      <c r="F439" s="3" t="str">
        <f>IF(COUNTIF(Hoja1!$G$2:$G$1000,Hoja1!G439)&gt;1,"Sí","No")</f>
        <v>No</v>
      </c>
      <c r="G439" s="3" t="str">
        <f>IF(OR(ISERROR(FIND("@",Hoja1!G439)),ISERROR(FIND(".",Hoja1!G439,FIND("@",Hoja1!G439)))),"Sí","No")</f>
        <v>No</v>
      </c>
      <c r="H439" s="3" t="str">
        <f>IF(LEN(Hoja1!F439)&lt;&gt;14,"Sí","No")</f>
        <v>No</v>
      </c>
      <c r="I439" s="3" t="str">
        <f>IF(Hoja1!C439&gt;Hoja1!H439,"Sí","No")</f>
        <v>No</v>
      </c>
      <c r="J439" s="3" t="str">
        <f>IF(SUMPRODUCT(--ISNUMBER(SEARCH({"0";"1";"2";"3";"4";"5";"6";"7";"8";"9"},Hoja1!D439)))=0,"Sí","No")</f>
        <v>No</v>
      </c>
      <c r="K439" s="3" t="str">
        <f t="shared" si="6"/>
        <v>No</v>
      </c>
    </row>
    <row r="440" spans="1:11" ht="15" customHeight="1" x14ac:dyDescent="0.3">
      <c r="A440" s="3" t="str">
        <f>Hoja1!A440</f>
        <v>C0439</v>
      </c>
      <c r="B440" s="3" t="str">
        <f>Hoja1!B440</f>
        <v>María Belén Ortega Alvarez</v>
      </c>
      <c r="C440" s="3" t="str">
        <f>IF(COUNTA(Hoja1!A440:I440)=0,"Sí","No")</f>
        <v>No</v>
      </c>
      <c r="D440" s="3" t="str">
        <f>IF(COUNTBLANK(Hoja1!A440:I440)&gt;0,"Sí","No")</f>
        <v>No</v>
      </c>
      <c r="E440" s="3" t="str">
        <f>IF(COUNTIF(Hoja1!$A$2:$A$1000,Hoja1!A440)&gt;1,"Sí","No")</f>
        <v>No</v>
      </c>
      <c r="F440" s="3" t="str">
        <f>IF(COUNTIF(Hoja1!$G$2:$G$1000,Hoja1!G440)&gt;1,"Sí","No")</f>
        <v>No</v>
      </c>
      <c r="G440" s="3" t="str">
        <f>IF(OR(ISERROR(FIND("@",Hoja1!G440)),ISERROR(FIND(".",Hoja1!G440,FIND("@",Hoja1!G440)))),"Sí","No")</f>
        <v>No</v>
      </c>
      <c r="H440" s="3" t="str">
        <f>IF(LEN(Hoja1!F440)&lt;&gt;14,"Sí","No")</f>
        <v>No</v>
      </c>
      <c r="I440" s="3" t="str">
        <f>IF(Hoja1!C440&gt;Hoja1!H440,"Sí","No")</f>
        <v>No</v>
      </c>
      <c r="J440" s="3" t="str">
        <f>IF(SUMPRODUCT(--ISNUMBER(SEARCH({"0";"1";"2";"3";"4";"5";"6";"7";"8";"9"},Hoja1!D440)))=0,"Sí","No")</f>
        <v>No</v>
      </c>
      <c r="K440" s="3" t="str">
        <f t="shared" si="6"/>
        <v>No</v>
      </c>
    </row>
    <row r="441" spans="1:11" ht="15" customHeight="1" x14ac:dyDescent="0.3">
      <c r="A441" s="3" t="str">
        <f>Hoja1!A441</f>
        <v>C0440</v>
      </c>
      <c r="B441" s="3" t="str">
        <f>Hoja1!B441</f>
        <v>Manuelita Barroso-Coloma</v>
      </c>
      <c r="C441" s="3" t="str">
        <f>IF(COUNTA(Hoja1!A441:I441)=0,"Sí","No")</f>
        <v>No</v>
      </c>
      <c r="D441" s="3" t="str">
        <f>IF(COUNTBLANK(Hoja1!A441:I441)&gt;0,"Sí","No")</f>
        <v>No</v>
      </c>
      <c r="E441" s="3" t="str">
        <f>IF(COUNTIF(Hoja1!$A$2:$A$1000,Hoja1!A441)&gt;1,"Sí","No")</f>
        <v>No</v>
      </c>
      <c r="F441" s="3" t="str">
        <f>IF(COUNTIF(Hoja1!$G$2:$G$1000,Hoja1!G441)&gt;1,"Sí","No")</f>
        <v>No</v>
      </c>
      <c r="G441" s="3" t="str">
        <f>IF(OR(ISERROR(FIND("@",Hoja1!G441)),ISERROR(FIND(".",Hoja1!G441,FIND("@",Hoja1!G441)))),"Sí","No")</f>
        <v>No</v>
      </c>
      <c r="H441" s="3" t="str">
        <f>IF(LEN(Hoja1!F441)&lt;&gt;14,"Sí","No")</f>
        <v>No</v>
      </c>
      <c r="I441" s="3" t="str">
        <f>IF(Hoja1!C441&gt;Hoja1!H441,"Sí","No")</f>
        <v>No</v>
      </c>
      <c r="J441" s="3" t="str">
        <f>IF(SUMPRODUCT(--ISNUMBER(SEARCH({"0";"1";"2";"3";"4";"5";"6";"7";"8";"9"},Hoja1!D441)))=0,"Sí","No")</f>
        <v>No</v>
      </c>
      <c r="K441" s="3" t="str">
        <f t="shared" si="6"/>
        <v>No</v>
      </c>
    </row>
    <row r="442" spans="1:11" ht="15" customHeight="1" x14ac:dyDescent="0.3">
      <c r="A442" s="3" t="str">
        <f>Hoja1!A442</f>
        <v>C0441</v>
      </c>
      <c r="B442" s="3" t="str">
        <f>Hoja1!B442</f>
        <v>Carmelo Valentín Mancebo</v>
      </c>
      <c r="C442" s="3" t="str">
        <f>IF(COUNTA(Hoja1!A442:I442)=0,"Sí","No")</f>
        <v>No</v>
      </c>
      <c r="D442" s="3" t="str">
        <f>IF(COUNTBLANK(Hoja1!A442:I442)&gt;0,"Sí","No")</f>
        <v>No</v>
      </c>
      <c r="E442" s="3" t="str">
        <f>IF(COUNTIF(Hoja1!$A$2:$A$1000,Hoja1!A442)&gt;1,"Sí","No")</f>
        <v>No</v>
      </c>
      <c r="F442" s="3" t="str">
        <f>IF(COUNTIF(Hoja1!$G$2:$G$1000,Hoja1!G442)&gt;1,"Sí","No")</f>
        <v>No</v>
      </c>
      <c r="G442" s="3" t="str">
        <f>IF(OR(ISERROR(FIND("@",Hoja1!G442)),ISERROR(FIND(".",Hoja1!G442,FIND("@",Hoja1!G442)))),"Sí","No")</f>
        <v>No</v>
      </c>
      <c r="H442" s="3" t="str">
        <f>IF(LEN(Hoja1!F442)&lt;&gt;14,"Sí","No")</f>
        <v>No</v>
      </c>
      <c r="I442" s="3" t="str">
        <f>IF(Hoja1!C442&gt;Hoja1!H442,"Sí","No")</f>
        <v>No</v>
      </c>
      <c r="J442" s="3" t="str">
        <f>IF(SUMPRODUCT(--ISNUMBER(SEARCH({"0";"1";"2";"3";"4";"5";"6";"7";"8";"9"},Hoja1!D442)))=0,"Sí","No")</f>
        <v>No</v>
      </c>
      <c r="K442" s="3" t="str">
        <f t="shared" si="6"/>
        <v>No</v>
      </c>
    </row>
    <row r="443" spans="1:11" ht="15" customHeight="1" x14ac:dyDescent="0.3">
      <c r="A443" s="3" t="str">
        <f>Hoja1!A443</f>
        <v>C0442</v>
      </c>
      <c r="B443" s="3" t="str">
        <f>Hoja1!B443</f>
        <v>Jose Ramón Nicolás Marco</v>
      </c>
      <c r="C443" s="3" t="str">
        <f>IF(COUNTA(Hoja1!A443:I443)=0,"Sí","No")</f>
        <v>No</v>
      </c>
      <c r="D443" s="3" t="str">
        <f>IF(COUNTBLANK(Hoja1!A443:I443)&gt;0,"Sí","No")</f>
        <v>No</v>
      </c>
      <c r="E443" s="3" t="str">
        <f>IF(COUNTIF(Hoja1!$A$2:$A$1000,Hoja1!A443)&gt;1,"Sí","No")</f>
        <v>No</v>
      </c>
      <c r="F443" s="3" t="str">
        <f>IF(COUNTIF(Hoja1!$G$2:$G$1000,Hoja1!G443)&gt;1,"Sí","No")</f>
        <v>No</v>
      </c>
      <c r="G443" s="3" t="str">
        <f>IF(OR(ISERROR(FIND("@",Hoja1!G443)),ISERROR(FIND(".",Hoja1!G443,FIND("@",Hoja1!G443)))),"Sí","No")</f>
        <v>No</v>
      </c>
      <c r="H443" s="3" t="str">
        <f>IF(LEN(Hoja1!F443)&lt;&gt;14,"Sí","No")</f>
        <v>No</v>
      </c>
      <c r="I443" s="3" t="str">
        <f>IF(Hoja1!C443&gt;Hoja1!H443,"Sí","No")</f>
        <v>No</v>
      </c>
      <c r="J443" s="3" t="str">
        <f>IF(SUMPRODUCT(--ISNUMBER(SEARCH({"0";"1";"2";"3";"4";"5";"6";"7";"8";"9"},Hoja1!D443)))=0,"Sí","No")</f>
        <v>No</v>
      </c>
      <c r="K443" s="3" t="str">
        <f t="shared" si="6"/>
        <v>No</v>
      </c>
    </row>
    <row r="444" spans="1:11" ht="15" customHeight="1" x14ac:dyDescent="0.3">
      <c r="A444" s="3" t="str">
        <f>Hoja1!A444</f>
        <v>C0443</v>
      </c>
      <c r="B444" s="3" t="str">
        <f>Hoja1!B444</f>
        <v>Ruben del Azorin</v>
      </c>
      <c r="C444" s="3" t="str">
        <f>IF(COUNTA(Hoja1!A444:I444)=0,"Sí","No")</f>
        <v>No</v>
      </c>
      <c r="D444" s="3" t="str">
        <f>IF(COUNTBLANK(Hoja1!A444:I444)&gt;0,"Sí","No")</f>
        <v>No</v>
      </c>
      <c r="E444" s="3" t="str">
        <f>IF(COUNTIF(Hoja1!$A$2:$A$1000,Hoja1!A444)&gt;1,"Sí","No")</f>
        <v>No</v>
      </c>
      <c r="F444" s="3" t="str">
        <f>IF(COUNTIF(Hoja1!$G$2:$G$1000,Hoja1!G444)&gt;1,"Sí","No")</f>
        <v>No</v>
      </c>
      <c r="G444" s="3" t="str">
        <f>IF(OR(ISERROR(FIND("@",Hoja1!G444)),ISERROR(FIND(".",Hoja1!G444,FIND("@",Hoja1!G444)))),"Sí","No")</f>
        <v>No</v>
      </c>
      <c r="H444" s="3" t="str">
        <f>IF(LEN(Hoja1!F444)&lt;&gt;14,"Sí","No")</f>
        <v>No</v>
      </c>
      <c r="I444" s="3" t="str">
        <f>IF(Hoja1!C444&gt;Hoja1!H444,"Sí","No")</f>
        <v>No</v>
      </c>
      <c r="J444" s="3" t="str">
        <f>IF(SUMPRODUCT(--ISNUMBER(SEARCH({"0";"1";"2";"3";"4";"5";"6";"7";"8";"9"},Hoja1!D444)))=0,"Sí","No")</f>
        <v>No</v>
      </c>
      <c r="K444" s="3" t="str">
        <f t="shared" si="6"/>
        <v>No</v>
      </c>
    </row>
    <row r="445" spans="1:11" ht="15" customHeight="1" x14ac:dyDescent="0.3">
      <c r="A445" s="3" t="str">
        <f>Hoja1!A445</f>
        <v>C0444</v>
      </c>
      <c r="B445" s="3" t="str">
        <f>Hoja1!B445</f>
        <v>Jordana Riba</v>
      </c>
      <c r="C445" s="3" t="str">
        <f>IF(COUNTA(Hoja1!A445:I445)=0,"Sí","No")</f>
        <v>No</v>
      </c>
      <c r="D445" s="3" t="str">
        <f>IF(COUNTBLANK(Hoja1!A445:I445)&gt;0,"Sí","No")</f>
        <v>No</v>
      </c>
      <c r="E445" s="3" t="str">
        <f>IF(COUNTIF(Hoja1!$A$2:$A$1000,Hoja1!A445)&gt;1,"Sí","No")</f>
        <v>No</v>
      </c>
      <c r="F445" s="3" t="str">
        <f>IF(COUNTIF(Hoja1!$G$2:$G$1000,Hoja1!G445)&gt;1,"Sí","No")</f>
        <v>No</v>
      </c>
      <c r="G445" s="3" t="str">
        <f>IF(OR(ISERROR(FIND("@",Hoja1!G445)),ISERROR(FIND(".",Hoja1!G445,FIND("@",Hoja1!G445)))),"Sí","No")</f>
        <v>No</v>
      </c>
      <c r="H445" s="3" t="str">
        <f>IF(LEN(Hoja1!F445)&lt;&gt;14,"Sí","No")</f>
        <v>No</v>
      </c>
      <c r="I445" s="3" t="str">
        <f>IF(Hoja1!C445&gt;Hoja1!H445,"Sí","No")</f>
        <v>No</v>
      </c>
      <c r="J445" s="3" t="str">
        <f>IF(SUMPRODUCT(--ISNUMBER(SEARCH({"0";"1";"2";"3";"4";"5";"6";"7";"8";"9"},Hoja1!D445)))=0,"Sí","No")</f>
        <v>No</v>
      </c>
      <c r="K445" s="3" t="str">
        <f t="shared" si="6"/>
        <v>No</v>
      </c>
    </row>
    <row r="446" spans="1:11" ht="15" customHeight="1" x14ac:dyDescent="0.3">
      <c r="A446" s="3" t="str">
        <f>Hoja1!A446</f>
        <v>C0445</v>
      </c>
      <c r="B446" s="3" t="str">
        <f>Hoja1!B446</f>
        <v>Brunilda Giralt</v>
      </c>
      <c r="C446" s="3" t="str">
        <f>IF(COUNTA(Hoja1!A446:I446)=0,"Sí","No")</f>
        <v>No</v>
      </c>
      <c r="D446" s="3" t="str">
        <f>IF(COUNTBLANK(Hoja1!A446:I446)&gt;0,"Sí","No")</f>
        <v>No</v>
      </c>
      <c r="E446" s="3" t="str">
        <f>IF(COUNTIF(Hoja1!$A$2:$A$1000,Hoja1!A446)&gt;1,"Sí","No")</f>
        <v>No</v>
      </c>
      <c r="F446" s="3" t="str">
        <f>IF(COUNTIF(Hoja1!$G$2:$G$1000,Hoja1!G446)&gt;1,"Sí","No")</f>
        <v>No</v>
      </c>
      <c r="G446" s="3" t="str">
        <f>IF(OR(ISERROR(FIND("@",Hoja1!G446)),ISERROR(FIND(".",Hoja1!G446,FIND("@",Hoja1!G446)))),"Sí","No")</f>
        <v>No</v>
      </c>
      <c r="H446" s="3" t="str">
        <f>IF(LEN(Hoja1!F446)&lt;&gt;14,"Sí","No")</f>
        <v>No</v>
      </c>
      <c r="I446" s="3" t="str">
        <f>IF(Hoja1!C446&gt;Hoja1!H446,"Sí","No")</f>
        <v>No</v>
      </c>
      <c r="J446" s="3" t="str">
        <f>IF(SUMPRODUCT(--ISNUMBER(SEARCH({"0";"1";"2";"3";"4";"5";"6";"7";"8";"9"},Hoja1!D446)))=0,"Sí","No")</f>
        <v>No</v>
      </c>
      <c r="K446" s="3" t="str">
        <f t="shared" si="6"/>
        <v>No</v>
      </c>
    </row>
    <row r="447" spans="1:11" ht="15" customHeight="1" x14ac:dyDescent="0.3">
      <c r="A447" s="3" t="str">
        <f>Hoja1!A447</f>
        <v>C0446</v>
      </c>
      <c r="B447" s="3" t="str">
        <f>Hoja1!B447</f>
        <v>Jose Valenciano Osuna</v>
      </c>
      <c r="C447" s="3" t="str">
        <f>IF(COUNTA(Hoja1!A447:I447)=0,"Sí","No")</f>
        <v>No</v>
      </c>
      <c r="D447" s="3" t="str">
        <f>IF(COUNTBLANK(Hoja1!A447:I447)&gt;0,"Sí","No")</f>
        <v>No</v>
      </c>
      <c r="E447" s="3" t="str">
        <f>IF(COUNTIF(Hoja1!$A$2:$A$1000,Hoja1!A447)&gt;1,"Sí","No")</f>
        <v>No</v>
      </c>
      <c r="F447" s="3" t="str">
        <f>IF(COUNTIF(Hoja1!$G$2:$G$1000,Hoja1!G447)&gt;1,"Sí","No")</f>
        <v>No</v>
      </c>
      <c r="G447" s="3" t="str">
        <f>IF(OR(ISERROR(FIND("@",Hoja1!G447)),ISERROR(FIND(".",Hoja1!G447,FIND("@",Hoja1!G447)))),"Sí","No")</f>
        <v>No</v>
      </c>
      <c r="H447" s="3" t="str">
        <f>IF(LEN(Hoja1!F447)&lt;&gt;14,"Sí","No")</f>
        <v>No</v>
      </c>
      <c r="I447" s="3" t="str">
        <f>IF(Hoja1!C447&gt;Hoja1!H447,"Sí","No")</f>
        <v>No</v>
      </c>
      <c r="J447" s="3" t="str">
        <f>IF(SUMPRODUCT(--ISNUMBER(SEARCH({"0";"1";"2";"3";"4";"5";"6";"7";"8";"9"},Hoja1!D447)))=0,"Sí","No")</f>
        <v>No</v>
      </c>
      <c r="K447" s="3" t="str">
        <f t="shared" si="6"/>
        <v>No</v>
      </c>
    </row>
    <row r="448" spans="1:11" ht="15" customHeight="1" x14ac:dyDescent="0.3">
      <c r="A448" s="3" t="str">
        <f>Hoja1!A448</f>
        <v>C0447</v>
      </c>
      <c r="B448" s="3" t="str">
        <f>Hoja1!B448</f>
        <v>Inés Gil-Miralles</v>
      </c>
      <c r="C448" s="3" t="str">
        <f>IF(COUNTA(Hoja1!A448:I448)=0,"Sí","No")</f>
        <v>No</v>
      </c>
      <c r="D448" s="3" t="str">
        <f>IF(COUNTBLANK(Hoja1!A448:I448)&gt;0,"Sí","No")</f>
        <v>No</v>
      </c>
      <c r="E448" s="3" t="str">
        <f>IF(COUNTIF(Hoja1!$A$2:$A$1000,Hoja1!A448)&gt;1,"Sí","No")</f>
        <v>No</v>
      </c>
      <c r="F448" s="3" t="str">
        <f>IF(COUNTIF(Hoja1!$G$2:$G$1000,Hoja1!G448)&gt;1,"Sí","No")</f>
        <v>No</v>
      </c>
      <c r="G448" s="3" t="str">
        <f>IF(OR(ISERROR(FIND("@",Hoja1!G448)),ISERROR(FIND(".",Hoja1!G448,FIND("@",Hoja1!G448)))),"Sí","No")</f>
        <v>No</v>
      </c>
      <c r="H448" s="3" t="str">
        <f>IF(LEN(Hoja1!F448)&lt;&gt;14,"Sí","No")</f>
        <v>No</v>
      </c>
      <c r="I448" s="3" t="str">
        <f>IF(Hoja1!C448&gt;Hoja1!H448,"Sí","No")</f>
        <v>No</v>
      </c>
      <c r="J448" s="3" t="str">
        <f>IF(SUMPRODUCT(--ISNUMBER(SEARCH({"0";"1";"2";"3";"4";"5";"6";"7";"8";"9"},Hoja1!D448)))=0,"Sí","No")</f>
        <v>No</v>
      </c>
      <c r="K448" s="3" t="str">
        <f t="shared" si="6"/>
        <v>No</v>
      </c>
    </row>
    <row r="449" spans="1:11" ht="15" customHeight="1" x14ac:dyDescent="0.3">
      <c r="A449" s="3" t="str">
        <f>Hoja1!A449</f>
        <v>C0448</v>
      </c>
      <c r="B449" s="3" t="str">
        <f>Hoja1!B449</f>
        <v>Pío del Lastra</v>
      </c>
      <c r="C449" s="3" t="str">
        <f>IF(COUNTA(Hoja1!A449:I449)=0,"Sí","No")</f>
        <v>No</v>
      </c>
      <c r="D449" s="3" t="str">
        <f>IF(COUNTBLANK(Hoja1!A449:I449)&gt;0,"Sí","No")</f>
        <v>No</v>
      </c>
      <c r="E449" s="3" t="str">
        <f>IF(COUNTIF(Hoja1!$A$2:$A$1000,Hoja1!A449)&gt;1,"Sí","No")</f>
        <v>No</v>
      </c>
      <c r="F449" s="3" t="str">
        <f>IF(COUNTIF(Hoja1!$G$2:$G$1000,Hoja1!G449)&gt;1,"Sí","No")</f>
        <v>No</v>
      </c>
      <c r="G449" s="3" t="str">
        <f>IF(OR(ISERROR(FIND("@",Hoja1!G449)),ISERROR(FIND(".",Hoja1!G449,FIND("@",Hoja1!G449)))),"Sí","No")</f>
        <v>No</v>
      </c>
      <c r="H449" s="3" t="str">
        <f>IF(LEN(Hoja1!F449)&lt;&gt;14,"Sí","No")</f>
        <v>No</v>
      </c>
      <c r="I449" s="3" t="str">
        <f>IF(Hoja1!C449&gt;Hoja1!H449,"Sí","No")</f>
        <v>No</v>
      </c>
      <c r="J449" s="3" t="str">
        <f>IF(SUMPRODUCT(--ISNUMBER(SEARCH({"0";"1";"2";"3";"4";"5";"6";"7";"8";"9"},Hoja1!D449)))=0,"Sí","No")</f>
        <v>No</v>
      </c>
      <c r="K449" s="3" t="str">
        <f t="shared" si="6"/>
        <v>No</v>
      </c>
    </row>
    <row r="450" spans="1:11" ht="15" customHeight="1" x14ac:dyDescent="0.3">
      <c r="A450" s="3" t="str">
        <f>Hoja1!A450</f>
        <v>C0449</v>
      </c>
      <c r="B450" s="3" t="str">
        <f>Hoja1!B450</f>
        <v>Amílcar Valera</v>
      </c>
      <c r="C450" s="3" t="str">
        <f>IF(COUNTA(Hoja1!A450:I450)=0,"Sí","No")</f>
        <v>No</v>
      </c>
      <c r="D450" s="3" t="str">
        <f>IF(COUNTBLANK(Hoja1!A450:I450)&gt;0,"Sí","No")</f>
        <v>No</v>
      </c>
      <c r="E450" s="3" t="str">
        <f>IF(COUNTIF(Hoja1!$A$2:$A$1000,Hoja1!A450)&gt;1,"Sí","No")</f>
        <v>No</v>
      </c>
      <c r="F450" s="3" t="str">
        <f>IF(COUNTIF(Hoja1!$G$2:$G$1000,Hoja1!G450)&gt;1,"Sí","No")</f>
        <v>No</v>
      </c>
      <c r="G450" s="3" t="str">
        <f>IF(OR(ISERROR(FIND("@",Hoja1!G450)),ISERROR(FIND(".",Hoja1!G450,FIND("@",Hoja1!G450)))),"Sí","No")</f>
        <v>No</v>
      </c>
      <c r="H450" s="3" t="str">
        <f>IF(LEN(Hoja1!F450)&lt;&gt;14,"Sí","No")</f>
        <v>No</v>
      </c>
      <c r="I450" s="3" t="str">
        <f>IF(Hoja1!C450&gt;Hoja1!H450,"Sí","No")</f>
        <v>No</v>
      </c>
      <c r="J450" s="3" t="str">
        <f>IF(SUMPRODUCT(--ISNUMBER(SEARCH({"0";"1";"2";"3";"4";"5";"6";"7";"8";"9"},Hoja1!D450)))=0,"Sí","No")</f>
        <v>No</v>
      </c>
      <c r="K450" s="3" t="str">
        <f t="shared" ref="K450:K513" si="7">IF(COUNTIF(C450:J450,"Sí")&gt;0,"Sí","No")</f>
        <v>No</v>
      </c>
    </row>
    <row r="451" spans="1:11" ht="15" customHeight="1" x14ac:dyDescent="0.3">
      <c r="A451" s="3" t="str">
        <f>Hoja1!A451</f>
        <v>C0450</v>
      </c>
      <c r="B451" s="3" t="str">
        <f>Hoja1!B451</f>
        <v>Laura del Hernandez</v>
      </c>
      <c r="C451" s="3" t="str">
        <f>IF(COUNTA(Hoja1!A451:I451)=0,"Sí","No")</f>
        <v>No</v>
      </c>
      <c r="D451" s="3" t="str">
        <f>IF(COUNTBLANK(Hoja1!A451:I451)&gt;0,"Sí","No")</f>
        <v>No</v>
      </c>
      <c r="E451" s="3" t="str">
        <f>IF(COUNTIF(Hoja1!$A$2:$A$1000,Hoja1!A451)&gt;1,"Sí","No")</f>
        <v>No</v>
      </c>
      <c r="F451" s="3" t="str">
        <f>IF(COUNTIF(Hoja1!$G$2:$G$1000,Hoja1!G451)&gt;1,"Sí","No")</f>
        <v>Sí</v>
      </c>
      <c r="G451" s="3" t="str">
        <f>IF(OR(ISERROR(FIND("@",Hoja1!G451)),ISERROR(FIND(".",Hoja1!G451,FIND("@",Hoja1!G451)))),"Sí","No")</f>
        <v>No</v>
      </c>
      <c r="H451" s="3" t="str">
        <f>IF(LEN(Hoja1!F451)&lt;&gt;14,"Sí","No")</f>
        <v>No</v>
      </c>
      <c r="I451" s="3" t="str">
        <f>IF(Hoja1!C451&gt;Hoja1!H451,"Sí","No")</f>
        <v>No</v>
      </c>
      <c r="J451" s="3" t="str">
        <f>IF(SUMPRODUCT(--ISNUMBER(SEARCH({"0";"1";"2";"3";"4";"5";"6";"7";"8";"9"},Hoja1!D451)))=0,"Sí","No")</f>
        <v>No</v>
      </c>
      <c r="K451" s="3" t="str">
        <f t="shared" si="7"/>
        <v>Sí</v>
      </c>
    </row>
    <row r="452" spans="1:11" ht="15" customHeight="1" x14ac:dyDescent="0.3">
      <c r="A452" s="3" t="str">
        <f>Hoja1!A452</f>
        <v>C0451</v>
      </c>
      <c r="B452" s="3" t="str">
        <f>Hoja1!B452</f>
        <v>Encarnación Iborra</v>
      </c>
      <c r="C452" s="3" t="str">
        <f>IF(COUNTA(Hoja1!A452:I452)=0,"Sí","No")</f>
        <v>No</v>
      </c>
      <c r="D452" s="3" t="str">
        <f>IF(COUNTBLANK(Hoja1!A452:I452)&gt;0,"Sí","No")</f>
        <v>No</v>
      </c>
      <c r="E452" s="3" t="str">
        <f>IF(COUNTIF(Hoja1!$A$2:$A$1000,Hoja1!A452)&gt;1,"Sí","No")</f>
        <v>No</v>
      </c>
      <c r="F452" s="3" t="str">
        <f>IF(COUNTIF(Hoja1!$G$2:$G$1000,Hoja1!G452)&gt;1,"Sí","No")</f>
        <v>No</v>
      </c>
      <c r="G452" s="3" t="str">
        <f>IF(OR(ISERROR(FIND("@",Hoja1!G452)),ISERROR(FIND(".",Hoja1!G452,FIND("@",Hoja1!G452)))),"Sí","No")</f>
        <v>No</v>
      </c>
      <c r="H452" s="3" t="str">
        <f>IF(LEN(Hoja1!F452)&lt;&gt;14,"Sí","No")</f>
        <v>No</v>
      </c>
      <c r="I452" s="3" t="str">
        <f>IF(Hoja1!C452&gt;Hoja1!H452,"Sí","No")</f>
        <v>No</v>
      </c>
      <c r="J452" s="3" t="str">
        <f>IF(SUMPRODUCT(--ISNUMBER(SEARCH({"0";"1";"2";"3";"4";"5";"6";"7";"8";"9"},Hoja1!D452)))=0,"Sí","No")</f>
        <v>No</v>
      </c>
      <c r="K452" s="3" t="str">
        <f t="shared" si="7"/>
        <v>No</v>
      </c>
    </row>
    <row r="453" spans="1:11" ht="15" customHeight="1" x14ac:dyDescent="0.3">
      <c r="A453" s="3" t="str">
        <f>Hoja1!A453</f>
        <v>C0452</v>
      </c>
      <c r="B453" s="3" t="str">
        <f>Hoja1!B453</f>
        <v>Nicolasa de Verdugo</v>
      </c>
      <c r="C453" s="3" t="str">
        <f>IF(COUNTA(Hoja1!A453:I453)=0,"Sí","No")</f>
        <v>No</v>
      </c>
      <c r="D453" s="3" t="str">
        <f>IF(COUNTBLANK(Hoja1!A453:I453)&gt;0,"Sí","No")</f>
        <v>No</v>
      </c>
      <c r="E453" s="3" t="str">
        <f>IF(COUNTIF(Hoja1!$A$2:$A$1000,Hoja1!A453)&gt;1,"Sí","No")</f>
        <v>No</v>
      </c>
      <c r="F453" s="3" t="str">
        <f>IF(COUNTIF(Hoja1!$G$2:$G$1000,Hoja1!G453)&gt;1,"Sí","No")</f>
        <v>No</v>
      </c>
      <c r="G453" s="3" t="str">
        <f>IF(OR(ISERROR(FIND("@",Hoja1!G453)),ISERROR(FIND(".",Hoja1!G453,FIND("@",Hoja1!G453)))),"Sí","No")</f>
        <v>No</v>
      </c>
      <c r="H453" s="3" t="str">
        <f>IF(LEN(Hoja1!F453)&lt;&gt;14,"Sí","No")</f>
        <v>No</v>
      </c>
      <c r="I453" s="3" t="str">
        <f>IF(Hoja1!C453&gt;Hoja1!H453,"Sí","No")</f>
        <v>No</v>
      </c>
      <c r="J453" s="3" t="str">
        <f>IF(SUMPRODUCT(--ISNUMBER(SEARCH({"0";"1";"2";"3";"4";"5";"6";"7";"8";"9"},Hoja1!D453)))=0,"Sí","No")</f>
        <v>No</v>
      </c>
      <c r="K453" s="3" t="str">
        <f t="shared" si="7"/>
        <v>No</v>
      </c>
    </row>
    <row r="454" spans="1:11" ht="15" customHeight="1" x14ac:dyDescent="0.3">
      <c r="A454" s="3" t="str">
        <f>Hoja1!A454</f>
        <v>C0453</v>
      </c>
      <c r="B454" s="3" t="str">
        <f>Hoja1!B454</f>
        <v>Evaristo Loreto Ferrer Mariño</v>
      </c>
      <c r="C454" s="3" t="str">
        <f>IF(COUNTA(Hoja1!A454:I454)=0,"Sí","No")</f>
        <v>No</v>
      </c>
      <c r="D454" s="3" t="str">
        <f>IF(COUNTBLANK(Hoja1!A454:I454)&gt;0,"Sí","No")</f>
        <v>No</v>
      </c>
      <c r="E454" s="3" t="str">
        <f>IF(COUNTIF(Hoja1!$A$2:$A$1000,Hoja1!A454)&gt;1,"Sí","No")</f>
        <v>No</v>
      </c>
      <c r="F454" s="3" t="str">
        <f>IF(COUNTIF(Hoja1!$G$2:$G$1000,Hoja1!G454)&gt;1,"Sí","No")</f>
        <v>No</v>
      </c>
      <c r="G454" s="3" t="str">
        <f>IF(OR(ISERROR(FIND("@",Hoja1!G454)),ISERROR(FIND(".",Hoja1!G454,FIND("@",Hoja1!G454)))),"Sí","No")</f>
        <v>No</v>
      </c>
      <c r="H454" s="3" t="str">
        <f>IF(LEN(Hoja1!F454)&lt;&gt;14,"Sí","No")</f>
        <v>No</v>
      </c>
      <c r="I454" s="3" t="str">
        <f>IF(Hoja1!C454&gt;Hoja1!H454,"Sí","No")</f>
        <v>No</v>
      </c>
      <c r="J454" s="3" t="str">
        <f>IF(SUMPRODUCT(--ISNUMBER(SEARCH({"0";"1";"2";"3";"4";"5";"6";"7";"8";"9"},Hoja1!D454)))=0,"Sí","No")</f>
        <v>No</v>
      </c>
      <c r="K454" s="3" t="str">
        <f t="shared" si="7"/>
        <v>No</v>
      </c>
    </row>
    <row r="455" spans="1:11" ht="15" customHeight="1" x14ac:dyDescent="0.3">
      <c r="A455" s="3" t="str">
        <f>Hoja1!A455</f>
        <v>C0454</v>
      </c>
      <c r="B455" s="3" t="str">
        <f>Hoja1!B455</f>
        <v>Esmeralda Visitación Menéndez Alemán</v>
      </c>
      <c r="C455" s="3" t="str">
        <f>IF(COUNTA(Hoja1!A455:I455)=0,"Sí","No")</f>
        <v>No</v>
      </c>
      <c r="D455" s="3" t="str">
        <f>IF(COUNTBLANK(Hoja1!A455:I455)&gt;0,"Sí","No")</f>
        <v>No</v>
      </c>
      <c r="E455" s="3" t="str">
        <f>IF(COUNTIF(Hoja1!$A$2:$A$1000,Hoja1!A455)&gt;1,"Sí","No")</f>
        <v>No</v>
      </c>
      <c r="F455" s="3" t="str">
        <f>IF(COUNTIF(Hoja1!$G$2:$G$1000,Hoja1!G455)&gt;1,"Sí","No")</f>
        <v>No</v>
      </c>
      <c r="G455" s="3" t="str">
        <f>IF(OR(ISERROR(FIND("@",Hoja1!G455)),ISERROR(FIND(".",Hoja1!G455,FIND("@",Hoja1!G455)))),"Sí","No")</f>
        <v>No</v>
      </c>
      <c r="H455" s="3" t="str">
        <f>IF(LEN(Hoja1!F455)&lt;&gt;14,"Sí","No")</f>
        <v>No</v>
      </c>
      <c r="I455" s="3" t="str">
        <f>IF(Hoja1!C455&gt;Hoja1!H455,"Sí","No")</f>
        <v>No</v>
      </c>
      <c r="J455" s="3" t="str">
        <f>IF(SUMPRODUCT(--ISNUMBER(SEARCH({"0";"1";"2";"3";"4";"5";"6";"7";"8";"9"},Hoja1!D455)))=0,"Sí","No")</f>
        <v>No</v>
      </c>
      <c r="K455" s="3" t="str">
        <f t="shared" si="7"/>
        <v>No</v>
      </c>
    </row>
    <row r="456" spans="1:11" ht="15" customHeight="1" x14ac:dyDescent="0.3">
      <c r="A456" s="3" t="str">
        <f>Hoja1!A456</f>
        <v>C0455</v>
      </c>
      <c r="B456" s="3" t="str">
        <f>Hoja1!B456</f>
        <v>Manuel Melero Palomo</v>
      </c>
      <c r="C456" s="3" t="str">
        <f>IF(COUNTA(Hoja1!A456:I456)=0,"Sí","No")</f>
        <v>No</v>
      </c>
      <c r="D456" s="3" t="str">
        <f>IF(COUNTBLANK(Hoja1!A456:I456)&gt;0,"Sí","No")</f>
        <v>No</v>
      </c>
      <c r="E456" s="3" t="str">
        <f>IF(COUNTIF(Hoja1!$A$2:$A$1000,Hoja1!A456)&gt;1,"Sí","No")</f>
        <v>No</v>
      </c>
      <c r="F456" s="3" t="str">
        <f>IF(COUNTIF(Hoja1!$G$2:$G$1000,Hoja1!G456)&gt;1,"Sí","No")</f>
        <v>No</v>
      </c>
      <c r="G456" s="3" t="str">
        <f>IF(OR(ISERROR(FIND("@",Hoja1!G456)),ISERROR(FIND(".",Hoja1!G456,FIND("@",Hoja1!G456)))),"Sí","No")</f>
        <v>No</v>
      </c>
      <c r="H456" s="3" t="str">
        <f>IF(LEN(Hoja1!F456)&lt;&gt;14,"Sí","No")</f>
        <v>No</v>
      </c>
      <c r="I456" s="3" t="str">
        <f>IF(Hoja1!C456&gt;Hoja1!H456,"Sí","No")</f>
        <v>No</v>
      </c>
      <c r="J456" s="3" t="str">
        <f>IF(SUMPRODUCT(--ISNUMBER(SEARCH({"0";"1";"2";"3";"4";"5";"6";"7";"8";"9"},Hoja1!D456)))=0,"Sí","No")</f>
        <v>No</v>
      </c>
      <c r="K456" s="3" t="str">
        <f t="shared" si="7"/>
        <v>No</v>
      </c>
    </row>
    <row r="457" spans="1:11" ht="15" customHeight="1" x14ac:dyDescent="0.3">
      <c r="A457" s="3" t="str">
        <f>Hoja1!A457</f>
        <v>C0456</v>
      </c>
      <c r="B457" s="3" t="str">
        <f>Hoja1!B457</f>
        <v>Paca Verdejo Mayoral</v>
      </c>
      <c r="C457" s="3" t="str">
        <f>IF(COUNTA(Hoja1!A457:I457)=0,"Sí","No")</f>
        <v>No</v>
      </c>
      <c r="D457" s="3" t="str">
        <f>IF(COUNTBLANK(Hoja1!A457:I457)&gt;0,"Sí","No")</f>
        <v>No</v>
      </c>
      <c r="E457" s="3" t="str">
        <f>IF(COUNTIF(Hoja1!$A$2:$A$1000,Hoja1!A457)&gt;1,"Sí","No")</f>
        <v>No</v>
      </c>
      <c r="F457" s="3" t="str">
        <f>IF(COUNTIF(Hoja1!$G$2:$G$1000,Hoja1!G457)&gt;1,"Sí","No")</f>
        <v>No</v>
      </c>
      <c r="G457" s="3" t="str">
        <f>IF(OR(ISERROR(FIND("@",Hoja1!G457)),ISERROR(FIND(".",Hoja1!G457,FIND("@",Hoja1!G457)))),"Sí","No")</f>
        <v>No</v>
      </c>
      <c r="H457" s="3" t="str">
        <f>IF(LEN(Hoja1!F457)&lt;&gt;14,"Sí","No")</f>
        <v>No</v>
      </c>
      <c r="I457" s="3" t="str">
        <f>IF(Hoja1!C457&gt;Hoja1!H457,"Sí","No")</f>
        <v>No</v>
      </c>
      <c r="J457" s="3" t="str">
        <f>IF(SUMPRODUCT(--ISNUMBER(SEARCH({"0";"1";"2";"3";"4";"5";"6";"7";"8";"9"},Hoja1!D457)))=0,"Sí","No")</f>
        <v>No</v>
      </c>
      <c r="K457" s="3" t="str">
        <f t="shared" si="7"/>
        <v>No</v>
      </c>
    </row>
    <row r="458" spans="1:11" ht="15" customHeight="1" x14ac:dyDescent="0.3">
      <c r="A458" s="3" t="str">
        <f>Hoja1!A458</f>
        <v>C0457</v>
      </c>
      <c r="B458" s="3" t="str">
        <f>Hoja1!B458</f>
        <v>Regina del Parejo</v>
      </c>
      <c r="C458" s="3" t="str">
        <f>IF(COUNTA(Hoja1!A458:I458)=0,"Sí","No")</f>
        <v>No</v>
      </c>
      <c r="D458" s="3" t="str">
        <f>IF(COUNTBLANK(Hoja1!A458:I458)&gt;0,"Sí","No")</f>
        <v>No</v>
      </c>
      <c r="E458" s="3" t="str">
        <f>IF(COUNTIF(Hoja1!$A$2:$A$1000,Hoja1!A458)&gt;1,"Sí","No")</f>
        <v>No</v>
      </c>
      <c r="F458" s="3" t="str">
        <f>IF(COUNTIF(Hoja1!$G$2:$G$1000,Hoja1!G458)&gt;1,"Sí","No")</f>
        <v>No</v>
      </c>
      <c r="G458" s="3" t="str">
        <f>IF(OR(ISERROR(FIND("@",Hoja1!G458)),ISERROR(FIND(".",Hoja1!G458,FIND("@",Hoja1!G458)))),"Sí","No")</f>
        <v>No</v>
      </c>
      <c r="H458" s="3" t="str">
        <f>IF(LEN(Hoja1!F458)&lt;&gt;14,"Sí","No")</f>
        <v>No</v>
      </c>
      <c r="I458" s="3" t="str">
        <f>IF(Hoja1!C458&gt;Hoja1!H458,"Sí","No")</f>
        <v>No</v>
      </c>
      <c r="J458" s="3" t="str">
        <f>IF(SUMPRODUCT(--ISNUMBER(SEARCH({"0";"1";"2";"3";"4";"5";"6";"7";"8";"9"},Hoja1!D458)))=0,"Sí","No")</f>
        <v>No</v>
      </c>
      <c r="K458" s="3" t="str">
        <f t="shared" si="7"/>
        <v>No</v>
      </c>
    </row>
    <row r="459" spans="1:11" ht="15" customHeight="1" x14ac:dyDescent="0.3">
      <c r="A459" s="3" t="str">
        <f>Hoja1!A459</f>
        <v>C0458</v>
      </c>
      <c r="B459" s="3" t="str">
        <f>Hoja1!B459</f>
        <v>Águeda Giménez Serna</v>
      </c>
      <c r="C459" s="3" t="str">
        <f>IF(COUNTA(Hoja1!A459:I459)=0,"Sí","No")</f>
        <v>No</v>
      </c>
      <c r="D459" s="3" t="str">
        <f>IF(COUNTBLANK(Hoja1!A459:I459)&gt;0,"Sí","No")</f>
        <v>No</v>
      </c>
      <c r="E459" s="3" t="str">
        <f>IF(COUNTIF(Hoja1!$A$2:$A$1000,Hoja1!A459)&gt;1,"Sí","No")</f>
        <v>No</v>
      </c>
      <c r="F459" s="3" t="str">
        <f>IF(COUNTIF(Hoja1!$G$2:$G$1000,Hoja1!G459)&gt;1,"Sí","No")</f>
        <v>No</v>
      </c>
      <c r="G459" s="3" t="str">
        <f>IF(OR(ISERROR(FIND("@",Hoja1!G459)),ISERROR(FIND(".",Hoja1!G459,FIND("@",Hoja1!G459)))),"Sí","No")</f>
        <v>No</v>
      </c>
      <c r="H459" s="3" t="str">
        <f>IF(LEN(Hoja1!F459)&lt;&gt;14,"Sí","No")</f>
        <v>No</v>
      </c>
      <c r="I459" s="3" t="str">
        <f>IF(Hoja1!C459&gt;Hoja1!H459,"Sí","No")</f>
        <v>No</v>
      </c>
      <c r="J459" s="3" t="str">
        <f>IF(SUMPRODUCT(--ISNUMBER(SEARCH({"0";"1";"2";"3";"4";"5";"6";"7";"8";"9"},Hoja1!D459)))=0,"Sí","No")</f>
        <v>No</v>
      </c>
      <c r="K459" s="3" t="str">
        <f t="shared" si="7"/>
        <v>No</v>
      </c>
    </row>
    <row r="460" spans="1:11" ht="15" customHeight="1" x14ac:dyDescent="0.3">
      <c r="A460" s="3" t="str">
        <f>Hoja1!A460</f>
        <v>C0459</v>
      </c>
      <c r="B460" s="3" t="str">
        <f>Hoja1!B460</f>
        <v>Anastasio Montesinos García</v>
      </c>
      <c r="C460" s="3" t="str">
        <f>IF(COUNTA(Hoja1!A460:I460)=0,"Sí","No")</f>
        <v>No</v>
      </c>
      <c r="D460" s="3" t="str">
        <f>IF(COUNTBLANK(Hoja1!A460:I460)&gt;0,"Sí","No")</f>
        <v>No</v>
      </c>
      <c r="E460" s="3" t="str">
        <f>IF(COUNTIF(Hoja1!$A$2:$A$1000,Hoja1!A460)&gt;1,"Sí","No")</f>
        <v>No</v>
      </c>
      <c r="F460" s="3" t="str">
        <f>IF(COUNTIF(Hoja1!$G$2:$G$1000,Hoja1!G460)&gt;1,"Sí","No")</f>
        <v>No</v>
      </c>
      <c r="G460" s="3" t="str">
        <f>IF(OR(ISERROR(FIND("@",Hoja1!G460)),ISERROR(FIND(".",Hoja1!G460,FIND("@",Hoja1!G460)))),"Sí","No")</f>
        <v>No</v>
      </c>
      <c r="H460" s="3" t="str">
        <f>IF(LEN(Hoja1!F460)&lt;&gt;14,"Sí","No")</f>
        <v>No</v>
      </c>
      <c r="I460" s="3" t="str">
        <f>IF(Hoja1!C460&gt;Hoja1!H460,"Sí","No")</f>
        <v>No</v>
      </c>
      <c r="J460" s="3" t="str">
        <f>IF(SUMPRODUCT(--ISNUMBER(SEARCH({"0";"1";"2";"3";"4";"5";"6";"7";"8";"9"},Hoja1!D460)))=0,"Sí","No")</f>
        <v>No</v>
      </c>
      <c r="K460" s="3" t="str">
        <f t="shared" si="7"/>
        <v>No</v>
      </c>
    </row>
    <row r="461" spans="1:11" ht="15" customHeight="1" x14ac:dyDescent="0.3">
      <c r="A461" s="3" t="str">
        <f>Hoja1!A461</f>
        <v>C0460</v>
      </c>
      <c r="B461" s="3" t="str">
        <f>Hoja1!B461</f>
        <v>Marisela Quintero Quintero</v>
      </c>
      <c r="C461" s="3" t="str">
        <f>IF(COUNTA(Hoja1!A461:I461)=0,"Sí","No")</f>
        <v>No</v>
      </c>
      <c r="D461" s="3" t="str">
        <f>IF(COUNTBLANK(Hoja1!A461:I461)&gt;0,"Sí","No")</f>
        <v>No</v>
      </c>
      <c r="E461" s="3" t="str">
        <f>IF(COUNTIF(Hoja1!$A$2:$A$1000,Hoja1!A461)&gt;1,"Sí","No")</f>
        <v>No</v>
      </c>
      <c r="F461" s="3" t="str">
        <f>IF(COUNTIF(Hoja1!$G$2:$G$1000,Hoja1!G461)&gt;1,"Sí","No")</f>
        <v>No</v>
      </c>
      <c r="G461" s="3" t="str">
        <f>IF(OR(ISERROR(FIND("@",Hoja1!G461)),ISERROR(FIND(".",Hoja1!G461,FIND("@",Hoja1!G461)))),"Sí","No")</f>
        <v>No</v>
      </c>
      <c r="H461" s="3" t="str">
        <f>IF(LEN(Hoja1!F461)&lt;&gt;14,"Sí","No")</f>
        <v>No</v>
      </c>
      <c r="I461" s="3" t="str">
        <f>IF(Hoja1!C461&gt;Hoja1!H461,"Sí","No")</f>
        <v>No</v>
      </c>
      <c r="J461" s="3" t="str">
        <f>IF(SUMPRODUCT(--ISNUMBER(SEARCH({"0";"1";"2";"3";"4";"5";"6";"7";"8";"9"},Hoja1!D461)))=0,"Sí","No")</f>
        <v>No</v>
      </c>
      <c r="K461" s="3" t="str">
        <f t="shared" si="7"/>
        <v>No</v>
      </c>
    </row>
    <row r="462" spans="1:11" ht="15" customHeight="1" x14ac:dyDescent="0.3">
      <c r="A462" s="3" t="str">
        <f>Hoja1!A462</f>
        <v>C0461</v>
      </c>
      <c r="B462" s="3" t="str">
        <f>Hoja1!B462</f>
        <v>Isaac Espada Madrigal</v>
      </c>
      <c r="C462" s="3" t="str">
        <f>IF(COUNTA(Hoja1!A462:I462)=0,"Sí","No")</f>
        <v>No</v>
      </c>
      <c r="D462" s="3" t="str">
        <f>IF(COUNTBLANK(Hoja1!A462:I462)&gt;0,"Sí","No")</f>
        <v>No</v>
      </c>
      <c r="E462" s="3" t="str">
        <f>IF(COUNTIF(Hoja1!$A$2:$A$1000,Hoja1!A462)&gt;1,"Sí","No")</f>
        <v>No</v>
      </c>
      <c r="F462" s="3" t="str">
        <f>IF(COUNTIF(Hoja1!$G$2:$G$1000,Hoja1!G462)&gt;1,"Sí","No")</f>
        <v>No</v>
      </c>
      <c r="G462" s="3" t="str">
        <f>IF(OR(ISERROR(FIND("@",Hoja1!G462)),ISERROR(FIND(".",Hoja1!G462,FIND("@",Hoja1!G462)))),"Sí","No")</f>
        <v>No</v>
      </c>
      <c r="H462" s="3" t="str">
        <f>IF(LEN(Hoja1!F462)&lt;&gt;14,"Sí","No")</f>
        <v>No</v>
      </c>
      <c r="I462" s="3" t="str">
        <f>IF(Hoja1!C462&gt;Hoja1!H462,"Sí","No")</f>
        <v>No</v>
      </c>
      <c r="J462" s="3" t="str">
        <f>IF(SUMPRODUCT(--ISNUMBER(SEARCH({"0";"1";"2";"3";"4";"5";"6";"7";"8";"9"},Hoja1!D462)))=0,"Sí","No")</f>
        <v>No</v>
      </c>
      <c r="K462" s="3" t="str">
        <f t="shared" si="7"/>
        <v>No</v>
      </c>
    </row>
    <row r="463" spans="1:11" ht="15" customHeight="1" x14ac:dyDescent="0.3">
      <c r="A463" s="3" t="str">
        <f>Hoja1!A463</f>
        <v>C0462</v>
      </c>
      <c r="B463" s="3" t="str">
        <f>Hoja1!B463</f>
        <v>Luciana Gaya Álvaro</v>
      </c>
      <c r="C463" s="3" t="str">
        <f>IF(COUNTA(Hoja1!A463:I463)=0,"Sí","No")</f>
        <v>No</v>
      </c>
      <c r="D463" s="3" t="str">
        <f>IF(COUNTBLANK(Hoja1!A463:I463)&gt;0,"Sí","No")</f>
        <v>No</v>
      </c>
      <c r="E463" s="3" t="str">
        <f>IF(COUNTIF(Hoja1!$A$2:$A$1000,Hoja1!A463)&gt;1,"Sí","No")</f>
        <v>No</v>
      </c>
      <c r="F463" s="3" t="str">
        <f>IF(COUNTIF(Hoja1!$G$2:$G$1000,Hoja1!G463)&gt;1,"Sí","No")</f>
        <v>No</v>
      </c>
      <c r="G463" s="3" t="str">
        <f>IF(OR(ISERROR(FIND("@",Hoja1!G463)),ISERROR(FIND(".",Hoja1!G463,FIND("@",Hoja1!G463)))),"Sí","No")</f>
        <v>No</v>
      </c>
      <c r="H463" s="3" t="str">
        <f>IF(LEN(Hoja1!F463)&lt;&gt;14,"Sí","No")</f>
        <v>No</v>
      </c>
      <c r="I463" s="3" t="str">
        <f>IF(Hoja1!C463&gt;Hoja1!H463,"Sí","No")</f>
        <v>No</v>
      </c>
      <c r="J463" s="3" t="str">
        <f>IF(SUMPRODUCT(--ISNUMBER(SEARCH({"0";"1";"2";"3";"4";"5";"6";"7";"8";"9"},Hoja1!D463)))=0,"Sí","No")</f>
        <v>No</v>
      </c>
      <c r="K463" s="3" t="str">
        <f t="shared" si="7"/>
        <v>No</v>
      </c>
    </row>
    <row r="464" spans="1:11" ht="15" customHeight="1" x14ac:dyDescent="0.3">
      <c r="A464" s="3" t="str">
        <f>Hoja1!A464</f>
        <v>C0463</v>
      </c>
      <c r="B464" s="3" t="str">
        <f>Hoja1!B464</f>
        <v>Samanta Olmedo</v>
      </c>
      <c r="C464" s="3" t="str">
        <f>IF(COUNTA(Hoja1!A464:I464)=0,"Sí","No")</f>
        <v>No</v>
      </c>
      <c r="D464" s="3" t="str">
        <f>IF(COUNTBLANK(Hoja1!A464:I464)&gt;0,"Sí","No")</f>
        <v>No</v>
      </c>
      <c r="E464" s="3" t="str">
        <f>IF(COUNTIF(Hoja1!$A$2:$A$1000,Hoja1!A464)&gt;1,"Sí","No")</f>
        <v>No</v>
      </c>
      <c r="F464" s="3" t="str">
        <f>IF(COUNTIF(Hoja1!$G$2:$G$1000,Hoja1!G464)&gt;1,"Sí","No")</f>
        <v>No</v>
      </c>
      <c r="G464" s="3" t="str">
        <f>IF(OR(ISERROR(FIND("@",Hoja1!G464)),ISERROR(FIND(".",Hoja1!G464,FIND("@",Hoja1!G464)))),"Sí","No")</f>
        <v>No</v>
      </c>
      <c r="H464" s="3" t="str">
        <f>IF(LEN(Hoja1!F464)&lt;&gt;14,"Sí","No")</f>
        <v>No</v>
      </c>
      <c r="I464" s="3" t="str">
        <f>IF(Hoja1!C464&gt;Hoja1!H464,"Sí","No")</f>
        <v>No</v>
      </c>
      <c r="J464" s="3" t="str">
        <f>IF(SUMPRODUCT(--ISNUMBER(SEARCH({"0";"1";"2";"3";"4";"5";"6";"7";"8";"9"},Hoja1!D464)))=0,"Sí","No")</f>
        <v>No</v>
      </c>
      <c r="K464" s="3" t="str">
        <f t="shared" si="7"/>
        <v>No</v>
      </c>
    </row>
    <row r="465" spans="1:11" ht="15" customHeight="1" x14ac:dyDescent="0.3">
      <c r="A465" s="3" t="str">
        <f>Hoja1!A465</f>
        <v>C0464</v>
      </c>
      <c r="B465" s="3" t="str">
        <f>Hoja1!B465</f>
        <v>Osvaldo Atilio Jover Herrera</v>
      </c>
      <c r="C465" s="3" t="str">
        <f>IF(COUNTA(Hoja1!A465:I465)=0,"Sí","No")</f>
        <v>No</v>
      </c>
      <c r="D465" s="3" t="str">
        <f>IF(COUNTBLANK(Hoja1!A465:I465)&gt;0,"Sí","No")</f>
        <v>No</v>
      </c>
      <c r="E465" s="3" t="str">
        <f>IF(COUNTIF(Hoja1!$A$2:$A$1000,Hoja1!A465)&gt;1,"Sí","No")</f>
        <v>No</v>
      </c>
      <c r="F465" s="3" t="str">
        <f>IF(COUNTIF(Hoja1!$G$2:$G$1000,Hoja1!G465)&gt;1,"Sí","No")</f>
        <v>No</v>
      </c>
      <c r="G465" s="3" t="str">
        <f>IF(OR(ISERROR(FIND("@",Hoja1!G465)),ISERROR(FIND(".",Hoja1!G465,FIND("@",Hoja1!G465)))),"Sí","No")</f>
        <v>No</v>
      </c>
      <c r="H465" s="3" t="str">
        <f>IF(LEN(Hoja1!F465)&lt;&gt;14,"Sí","No")</f>
        <v>No</v>
      </c>
      <c r="I465" s="3" t="str">
        <f>IF(Hoja1!C465&gt;Hoja1!H465,"Sí","No")</f>
        <v>No</v>
      </c>
      <c r="J465" s="3" t="str">
        <f>IF(SUMPRODUCT(--ISNUMBER(SEARCH({"0";"1";"2";"3";"4";"5";"6";"7";"8";"9"},Hoja1!D465)))=0,"Sí","No")</f>
        <v>No</v>
      </c>
      <c r="K465" s="3" t="str">
        <f t="shared" si="7"/>
        <v>No</v>
      </c>
    </row>
    <row r="466" spans="1:11" ht="15" customHeight="1" x14ac:dyDescent="0.3">
      <c r="A466" s="3" t="str">
        <f>Hoja1!A466</f>
        <v>C0465</v>
      </c>
      <c r="B466" s="3" t="str">
        <f>Hoja1!B466</f>
        <v>Tere Montenegro Expósito</v>
      </c>
      <c r="C466" s="3" t="str">
        <f>IF(COUNTA(Hoja1!A466:I466)=0,"Sí","No")</f>
        <v>No</v>
      </c>
      <c r="D466" s="3" t="str">
        <f>IF(COUNTBLANK(Hoja1!A466:I466)&gt;0,"Sí","No")</f>
        <v>No</v>
      </c>
      <c r="E466" s="3" t="str">
        <f>IF(COUNTIF(Hoja1!$A$2:$A$1000,Hoja1!A466)&gt;1,"Sí","No")</f>
        <v>No</v>
      </c>
      <c r="F466" s="3" t="str">
        <f>IF(COUNTIF(Hoja1!$G$2:$G$1000,Hoja1!G466)&gt;1,"Sí","No")</f>
        <v>No</v>
      </c>
      <c r="G466" s="3" t="str">
        <f>IF(OR(ISERROR(FIND("@",Hoja1!G466)),ISERROR(FIND(".",Hoja1!G466,FIND("@",Hoja1!G466)))),"Sí","No")</f>
        <v>No</v>
      </c>
      <c r="H466" s="3" t="str">
        <f>IF(LEN(Hoja1!F466)&lt;&gt;14,"Sí","No")</f>
        <v>No</v>
      </c>
      <c r="I466" s="3" t="str">
        <f>IF(Hoja1!C466&gt;Hoja1!H466,"Sí","No")</f>
        <v>No</v>
      </c>
      <c r="J466" s="3" t="str">
        <f>IF(SUMPRODUCT(--ISNUMBER(SEARCH({"0";"1";"2";"3";"4";"5";"6";"7";"8";"9"},Hoja1!D466)))=0,"Sí","No")</f>
        <v>No</v>
      </c>
      <c r="K466" s="3" t="str">
        <f t="shared" si="7"/>
        <v>No</v>
      </c>
    </row>
    <row r="467" spans="1:11" ht="15" customHeight="1" x14ac:dyDescent="0.3">
      <c r="A467" s="3" t="str">
        <f>Hoja1!A467</f>
        <v>C0466</v>
      </c>
      <c r="B467" s="3" t="str">
        <f>Hoja1!B467</f>
        <v>Nicodemo Alegre-Izquierdo</v>
      </c>
      <c r="C467" s="3" t="str">
        <f>IF(COUNTA(Hoja1!A467:I467)=0,"Sí","No")</f>
        <v>No</v>
      </c>
      <c r="D467" s="3" t="str">
        <f>IF(COUNTBLANK(Hoja1!A467:I467)&gt;0,"Sí","No")</f>
        <v>No</v>
      </c>
      <c r="E467" s="3" t="str">
        <f>IF(COUNTIF(Hoja1!$A$2:$A$1000,Hoja1!A467)&gt;1,"Sí","No")</f>
        <v>No</v>
      </c>
      <c r="F467" s="3" t="str">
        <f>IF(COUNTIF(Hoja1!$G$2:$G$1000,Hoja1!G467)&gt;1,"Sí","No")</f>
        <v>No</v>
      </c>
      <c r="G467" s="3" t="str">
        <f>IF(OR(ISERROR(FIND("@",Hoja1!G467)),ISERROR(FIND(".",Hoja1!G467,FIND("@",Hoja1!G467)))),"Sí","No")</f>
        <v>No</v>
      </c>
      <c r="H467" s="3" t="str">
        <f>IF(LEN(Hoja1!F467)&lt;&gt;14,"Sí","No")</f>
        <v>No</v>
      </c>
      <c r="I467" s="3" t="str">
        <f>IF(Hoja1!C467&gt;Hoja1!H467,"Sí","No")</f>
        <v>No</v>
      </c>
      <c r="J467" s="3" t="str">
        <f>IF(SUMPRODUCT(--ISNUMBER(SEARCH({"0";"1";"2";"3";"4";"5";"6";"7";"8";"9"},Hoja1!D467)))=0,"Sí","No")</f>
        <v>No</v>
      </c>
      <c r="K467" s="3" t="str">
        <f t="shared" si="7"/>
        <v>No</v>
      </c>
    </row>
    <row r="468" spans="1:11" ht="15" customHeight="1" x14ac:dyDescent="0.3">
      <c r="A468" s="3" t="str">
        <f>Hoja1!A468</f>
        <v>C0467</v>
      </c>
      <c r="B468" s="3" t="str">
        <f>Hoja1!B468</f>
        <v>Adelardo Chico-Cuesta</v>
      </c>
      <c r="C468" s="3" t="str">
        <f>IF(COUNTA(Hoja1!A468:I468)=0,"Sí","No")</f>
        <v>No</v>
      </c>
      <c r="D468" s="3" t="str">
        <f>IF(COUNTBLANK(Hoja1!A468:I468)&gt;0,"Sí","No")</f>
        <v>No</v>
      </c>
      <c r="E468" s="3" t="str">
        <f>IF(COUNTIF(Hoja1!$A$2:$A$1000,Hoja1!A468)&gt;1,"Sí","No")</f>
        <v>No</v>
      </c>
      <c r="F468" s="3" t="str">
        <f>IF(COUNTIF(Hoja1!$G$2:$G$1000,Hoja1!G468)&gt;1,"Sí","No")</f>
        <v>No</v>
      </c>
      <c r="G468" s="3" t="str">
        <f>IF(OR(ISERROR(FIND("@",Hoja1!G468)),ISERROR(FIND(".",Hoja1!G468,FIND("@",Hoja1!G468)))),"Sí","No")</f>
        <v>No</v>
      </c>
      <c r="H468" s="3" t="str">
        <f>IF(LEN(Hoja1!F468)&lt;&gt;14,"Sí","No")</f>
        <v>No</v>
      </c>
      <c r="I468" s="3" t="str">
        <f>IF(Hoja1!C468&gt;Hoja1!H468,"Sí","No")</f>
        <v>No</v>
      </c>
      <c r="J468" s="3" t="str">
        <f>IF(SUMPRODUCT(--ISNUMBER(SEARCH({"0";"1";"2";"3";"4";"5";"6";"7";"8";"9"},Hoja1!D468)))=0,"Sí","No")</f>
        <v>No</v>
      </c>
      <c r="K468" s="3" t="str">
        <f t="shared" si="7"/>
        <v>No</v>
      </c>
    </row>
    <row r="469" spans="1:11" ht="15" customHeight="1" x14ac:dyDescent="0.3">
      <c r="A469" s="3" t="str">
        <f>Hoja1!A469</f>
        <v>C0468</v>
      </c>
      <c r="B469" s="3" t="str">
        <f>Hoja1!B469</f>
        <v>Dorotea Diez Aznar</v>
      </c>
      <c r="C469" s="3" t="str">
        <f>IF(COUNTA(Hoja1!A469:I469)=0,"Sí","No")</f>
        <v>No</v>
      </c>
      <c r="D469" s="3" t="str">
        <f>IF(COUNTBLANK(Hoja1!A469:I469)&gt;0,"Sí","No")</f>
        <v>No</v>
      </c>
      <c r="E469" s="3" t="str">
        <f>IF(COUNTIF(Hoja1!$A$2:$A$1000,Hoja1!A469)&gt;1,"Sí","No")</f>
        <v>No</v>
      </c>
      <c r="F469" s="3" t="str">
        <f>IF(COUNTIF(Hoja1!$G$2:$G$1000,Hoja1!G469)&gt;1,"Sí","No")</f>
        <v>No</v>
      </c>
      <c r="G469" s="3" t="str">
        <f>IF(OR(ISERROR(FIND("@",Hoja1!G469)),ISERROR(FIND(".",Hoja1!G469,FIND("@",Hoja1!G469)))),"Sí","No")</f>
        <v>No</v>
      </c>
      <c r="H469" s="3" t="str">
        <f>IF(LEN(Hoja1!F469)&lt;&gt;14,"Sí","No")</f>
        <v>No</v>
      </c>
      <c r="I469" s="3" t="str">
        <f>IF(Hoja1!C469&gt;Hoja1!H469,"Sí","No")</f>
        <v>No</v>
      </c>
      <c r="J469" s="3" t="str">
        <f>IF(SUMPRODUCT(--ISNUMBER(SEARCH({"0";"1";"2";"3";"4";"5";"6";"7";"8";"9"},Hoja1!D469)))=0,"Sí","No")</f>
        <v>No</v>
      </c>
      <c r="K469" s="3" t="str">
        <f t="shared" si="7"/>
        <v>No</v>
      </c>
    </row>
    <row r="470" spans="1:11" ht="15" customHeight="1" x14ac:dyDescent="0.3">
      <c r="A470" s="3" t="str">
        <f>Hoja1!A470</f>
        <v>C0469</v>
      </c>
      <c r="B470" s="3" t="str">
        <f>Hoja1!B470</f>
        <v>Donato Noguera Mármol</v>
      </c>
      <c r="C470" s="3" t="str">
        <f>IF(COUNTA(Hoja1!A470:I470)=0,"Sí","No")</f>
        <v>No</v>
      </c>
      <c r="D470" s="3" t="str">
        <f>IF(COUNTBLANK(Hoja1!A470:I470)&gt;0,"Sí","No")</f>
        <v>No</v>
      </c>
      <c r="E470" s="3" t="str">
        <f>IF(COUNTIF(Hoja1!$A$2:$A$1000,Hoja1!A470)&gt;1,"Sí","No")</f>
        <v>No</v>
      </c>
      <c r="F470" s="3" t="str">
        <f>IF(COUNTIF(Hoja1!$G$2:$G$1000,Hoja1!G470)&gt;1,"Sí","No")</f>
        <v>No</v>
      </c>
      <c r="G470" s="3" t="str">
        <f>IF(OR(ISERROR(FIND("@",Hoja1!G470)),ISERROR(FIND(".",Hoja1!G470,FIND("@",Hoja1!G470)))),"Sí","No")</f>
        <v>No</v>
      </c>
      <c r="H470" s="3" t="str">
        <f>IF(LEN(Hoja1!F470)&lt;&gt;14,"Sí","No")</f>
        <v>No</v>
      </c>
      <c r="I470" s="3" t="str">
        <f>IF(Hoja1!C470&gt;Hoja1!H470,"Sí","No")</f>
        <v>No</v>
      </c>
      <c r="J470" s="3" t="str">
        <f>IF(SUMPRODUCT(--ISNUMBER(SEARCH({"0";"1";"2";"3";"4";"5";"6";"7";"8";"9"},Hoja1!D470)))=0,"Sí","No")</f>
        <v>No</v>
      </c>
      <c r="K470" s="3" t="str">
        <f t="shared" si="7"/>
        <v>No</v>
      </c>
    </row>
    <row r="471" spans="1:11" ht="15" customHeight="1" x14ac:dyDescent="0.3">
      <c r="A471" s="3" t="str">
        <f>Hoja1!A471</f>
        <v>C0470</v>
      </c>
      <c r="B471" s="3" t="str">
        <f>Hoja1!B471</f>
        <v>María Del Carmen Benítez-Lozano</v>
      </c>
      <c r="C471" s="3" t="str">
        <f>IF(COUNTA(Hoja1!A471:I471)=0,"Sí","No")</f>
        <v>No</v>
      </c>
      <c r="D471" s="3" t="str">
        <f>IF(COUNTBLANK(Hoja1!A471:I471)&gt;0,"Sí","No")</f>
        <v>No</v>
      </c>
      <c r="E471" s="3" t="str">
        <f>IF(COUNTIF(Hoja1!$A$2:$A$1000,Hoja1!A471)&gt;1,"Sí","No")</f>
        <v>No</v>
      </c>
      <c r="F471" s="3" t="str">
        <f>IF(COUNTIF(Hoja1!$G$2:$G$1000,Hoja1!G471)&gt;1,"Sí","No")</f>
        <v>No</v>
      </c>
      <c r="G471" s="3" t="str">
        <f>IF(OR(ISERROR(FIND("@",Hoja1!G471)),ISERROR(FIND(".",Hoja1!G471,FIND("@",Hoja1!G471)))),"Sí","No")</f>
        <v>No</v>
      </c>
      <c r="H471" s="3" t="str">
        <f>IF(LEN(Hoja1!F471)&lt;&gt;14,"Sí","No")</f>
        <v>No</v>
      </c>
      <c r="I471" s="3" t="str">
        <f>IF(Hoja1!C471&gt;Hoja1!H471,"Sí","No")</f>
        <v>No</v>
      </c>
      <c r="J471" s="3" t="str">
        <f>IF(SUMPRODUCT(--ISNUMBER(SEARCH({"0";"1";"2";"3";"4";"5";"6";"7";"8";"9"},Hoja1!D471)))=0,"Sí","No")</f>
        <v>No</v>
      </c>
      <c r="K471" s="3" t="str">
        <f t="shared" si="7"/>
        <v>No</v>
      </c>
    </row>
    <row r="472" spans="1:11" ht="15" customHeight="1" x14ac:dyDescent="0.3">
      <c r="A472" s="3" t="str">
        <f>Hoja1!A472</f>
        <v>C0471</v>
      </c>
      <c r="B472" s="3" t="str">
        <f>Hoja1!B472</f>
        <v>Roxana Sanjuan Nieto</v>
      </c>
      <c r="C472" s="3" t="str">
        <f>IF(COUNTA(Hoja1!A472:I472)=0,"Sí","No")</f>
        <v>No</v>
      </c>
      <c r="D472" s="3" t="str">
        <f>IF(COUNTBLANK(Hoja1!A472:I472)&gt;0,"Sí","No")</f>
        <v>No</v>
      </c>
      <c r="E472" s="3" t="str">
        <f>IF(COUNTIF(Hoja1!$A$2:$A$1000,Hoja1!A472)&gt;1,"Sí","No")</f>
        <v>No</v>
      </c>
      <c r="F472" s="3" t="str">
        <f>IF(COUNTIF(Hoja1!$G$2:$G$1000,Hoja1!G472)&gt;1,"Sí","No")</f>
        <v>No</v>
      </c>
      <c r="G472" s="3" t="str">
        <f>IF(OR(ISERROR(FIND("@",Hoja1!G472)),ISERROR(FIND(".",Hoja1!G472,FIND("@",Hoja1!G472)))),"Sí","No")</f>
        <v>No</v>
      </c>
      <c r="H472" s="3" t="str">
        <f>IF(LEN(Hoja1!F472)&lt;&gt;14,"Sí","No")</f>
        <v>No</v>
      </c>
      <c r="I472" s="3" t="str">
        <f>IF(Hoja1!C472&gt;Hoja1!H472,"Sí","No")</f>
        <v>No</v>
      </c>
      <c r="J472" s="3" t="str">
        <f>IF(SUMPRODUCT(--ISNUMBER(SEARCH({"0";"1";"2";"3";"4";"5";"6";"7";"8";"9"},Hoja1!D472)))=0,"Sí","No")</f>
        <v>No</v>
      </c>
      <c r="K472" s="3" t="str">
        <f t="shared" si="7"/>
        <v>No</v>
      </c>
    </row>
    <row r="473" spans="1:11" ht="15" customHeight="1" x14ac:dyDescent="0.3">
      <c r="A473" s="3" t="str">
        <f>Hoja1!A473</f>
        <v>C0472</v>
      </c>
      <c r="B473" s="3" t="str">
        <f>Hoja1!B473</f>
        <v>Primitiva Villalba Valenciano</v>
      </c>
      <c r="C473" s="3" t="str">
        <f>IF(COUNTA(Hoja1!A473:I473)=0,"Sí","No")</f>
        <v>No</v>
      </c>
      <c r="D473" s="3" t="str">
        <f>IF(COUNTBLANK(Hoja1!A473:I473)&gt;0,"Sí","No")</f>
        <v>No</v>
      </c>
      <c r="E473" s="3" t="str">
        <f>IF(COUNTIF(Hoja1!$A$2:$A$1000,Hoja1!A473)&gt;1,"Sí","No")</f>
        <v>No</v>
      </c>
      <c r="F473" s="3" t="str">
        <f>IF(COUNTIF(Hoja1!$G$2:$G$1000,Hoja1!G473)&gt;1,"Sí","No")</f>
        <v>No</v>
      </c>
      <c r="G473" s="3" t="str">
        <f>IF(OR(ISERROR(FIND("@",Hoja1!G473)),ISERROR(FIND(".",Hoja1!G473,FIND("@",Hoja1!G473)))),"Sí","No")</f>
        <v>No</v>
      </c>
      <c r="H473" s="3" t="str">
        <f>IF(LEN(Hoja1!F473)&lt;&gt;14,"Sí","No")</f>
        <v>No</v>
      </c>
      <c r="I473" s="3" t="str">
        <f>IF(Hoja1!C473&gt;Hoja1!H473,"Sí","No")</f>
        <v>No</v>
      </c>
      <c r="J473" s="3" t="str">
        <f>IF(SUMPRODUCT(--ISNUMBER(SEARCH({"0";"1";"2";"3";"4";"5";"6";"7";"8";"9"},Hoja1!D473)))=0,"Sí","No")</f>
        <v>No</v>
      </c>
      <c r="K473" s="3" t="str">
        <f t="shared" si="7"/>
        <v>No</v>
      </c>
    </row>
    <row r="474" spans="1:11" ht="15" customHeight="1" x14ac:dyDescent="0.3">
      <c r="A474" s="3" t="str">
        <f>Hoja1!A474</f>
        <v>C0473</v>
      </c>
      <c r="B474" s="3" t="str">
        <f>Hoja1!B474</f>
        <v>Aura Manzano Pedrero</v>
      </c>
      <c r="C474" s="3" t="str">
        <f>IF(COUNTA(Hoja1!A474:I474)=0,"Sí","No")</f>
        <v>No</v>
      </c>
      <c r="D474" s="3" t="str">
        <f>IF(COUNTBLANK(Hoja1!A474:I474)&gt;0,"Sí","No")</f>
        <v>No</v>
      </c>
      <c r="E474" s="3" t="str">
        <f>IF(COUNTIF(Hoja1!$A$2:$A$1000,Hoja1!A474)&gt;1,"Sí","No")</f>
        <v>No</v>
      </c>
      <c r="F474" s="3" t="str">
        <f>IF(COUNTIF(Hoja1!$G$2:$G$1000,Hoja1!G474)&gt;1,"Sí","No")</f>
        <v>No</v>
      </c>
      <c r="G474" s="3" t="str">
        <f>IF(OR(ISERROR(FIND("@",Hoja1!G474)),ISERROR(FIND(".",Hoja1!G474,FIND("@",Hoja1!G474)))),"Sí","No")</f>
        <v>No</v>
      </c>
      <c r="H474" s="3" t="str">
        <f>IF(LEN(Hoja1!F474)&lt;&gt;14,"Sí","No")</f>
        <v>No</v>
      </c>
      <c r="I474" s="3" t="str">
        <f>IF(Hoja1!C474&gt;Hoja1!H474,"Sí","No")</f>
        <v>No</v>
      </c>
      <c r="J474" s="3" t="str">
        <f>IF(SUMPRODUCT(--ISNUMBER(SEARCH({"0";"1";"2";"3";"4";"5";"6";"7";"8";"9"},Hoja1!D474)))=0,"Sí","No")</f>
        <v>No</v>
      </c>
      <c r="K474" s="3" t="str">
        <f t="shared" si="7"/>
        <v>No</v>
      </c>
    </row>
    <row r="475" spans="1:11" ht="15" customHeight="1" x14ac:dyDescent="0.3">
      <c r="A475" s="3" t="str">
        <f>Hoja1!A475</f>
        <v>C0474</v>
      </c>
      <c r="B475" s="3" t="str">
        <f>Hoja1!B475</f>
        <v>Sabas Macario Murcia Quintanilla</v>
      </c>
      <c r="C475" s="3" t="str">
        <f>IF(COUNTA(Hoja1!A475:I475)=0,"Sí","No")</f>
        <v>No</v>
      </c>
      <c r="D475" s="3" t="str">
        <f>IF(COUNTBLANK(Hoja1!A475:I475)&gt;0,"Sí","No")</f>
        <v>No</v>
      </c>
      <c r="E475" s="3" t="str">
        <f>IF(COUNTIF(Hoja1!$A$2:$A$1000,Hoja1!A475)&gt;1,"Sí","No")</f>
        <v>No</v>
      </c>
      <c r="F475" s="3" t="str">
        <f>IF(COUNTIF(Hoja1!$G$2:$G$1000,Hoja1!G475)&gt;1,"Sí","No")</f>
        <v>No</v>
      </c>
      <c r="G475" s="3" t="str">
        <f>IF(OR(ISERROR(FIND("@",Hoja1!G475)),ISERROR(FIND(".",Hoja1!G475,FIND("@",Hoja1!G475)))),"Sí","No")</f>
        <v>No</v>
      </c>
      <c r="H475" s="3" t="str">
        <f>IF(LEN(Hoja1!F475)&lt;&gt;14,"Sí","No")</f>
        <v>No</v>
      </c>
      <c r="I475" s="3" t="str">
        <f>IF(Hoja1!C475&gt;Hoja1!H475,"Sí","No")</f>
        <v>No</v>
      </c>
      <c r="J475" s="3" t="str">
        <f>IF(SUMPRODUCT(--ISNUMBER(SEARCH({"0";"1";"2";"3";"4";"5";"6";"7";"8";"9"},Hoja1!D475)))=0,"Sí","No")</f>
        <v>No</v>
      </c>
      <c r="K475" s="3" t="str">
        <f t="shared" si="7"/>
        <v>No</v>
      </c>
    </row>
    <row r="476" spans="1:11" ht="15" customHeight="1" x14ac:dyDescent="0.3">
      <c r="A476" s="3" t="str">
        <f>Hoja1!A476</f>
        <v>C0475</v>
      </c>
      <c r="B476" s="3" t="str">
        <f>Hoja1!B476</f>
        <v>Apolinar Falcón-Cadenas</v>
      </c>
      <c r="C476" s="3" t="str">
        <f>IF(COUNTA(Hoja1!A476:I476)=0,"Sí","No")</f>
        <v>No</v>
      </c>
      <c r="D476" s="3" t="str">
        <f>IF(COUNTBLANK(Hoja1!A476:I476)&gt;0,"Sí","No")</f>
        <v>No</v>
      </c>
      <c r="E476" s="3" t="str">
        <f>IF(COUNTIF(Hoja1!$A$2:$A$1000,Hoja1!A476)&gt;1,"Sí","No")</f>
        <v>No</v>
      </c>
      <c r="F476" s="3" t="str">
        <f>IF(COUNTIF(Hoja1!$G$2:$G$1000,Hoja1!G476)&gt;1,"Sí","No")</f>
        <v>No</v>
      </c>
      <c r="G476" s="3" t="str">
        <f>IF(OR(ISERROR(FIND("@",Hoja1!G476)),ISERROR(FIND(".",Hoja1!G476,FIND("@",Hoja1!G476)))),"Sí","No")</f>
        <v>No</v>
      </c>
      <c r="H476" s="3" t="str">
        <f>IF(LEN(Hoja1!F476)&lt;&gt;14,"Sí","No")</f>
        <v>No</v>
      </c>
      <c r="I476" s="3" t="str">
        <f>IF(Hoja1!C476&gt;Hoja1!H476,"Sí","No")</f>
        <v>No</v>
      </c>
      <c r="J476" s="3" t="str">
        <f>IF(SUMPRODUCT(--ISNUMBER(SEARCH({"0";"1";"2";"3";"4";"5";"6";"7";"8";"9"},Hoja1!D476)))=0,"Sí","No")</f>
        <v>No</v>
      </c>
      <c r="K476" s="3" t="str">
        <f t="shared" si="7"/>
        <v>No</v>
      </c>
    </row>
    <row r="477" spans="1:11" ht="15" customHeight="1" x14ac:dyDescent="0.3">
      <c r="A477" s="3" t="str">
        <f>Hoja1!A477</f>
        <v>C0476</v>
      </c>
      <c r="B477" s="3" t="str">
        <f>Hoja1!B477</f>
        <v>Horacio Gallego Matas</v>
      </c>
      <c r="C477" s="3" t="str">
        <f>IF(COUNTA(Hoja1!A477:I477)=0,"Sí","No")</f>
        <v>No</v>
      </c>
      <c r="D477" s="3" t="str">
        <f>IF(COUNTBLANK(Hoja1!A477:I477)&gt;0,"Sí","No")</f>
        <v>No</v>
      </c>
      <c r="E477" s="3" t="str">
        <f>IF(COUNTIF(Hoja1!$A$2:$A$1000,Hoja1!A477)&gt;1,"Sí","No")</f>
        <v>No</v>
      </c>
      <c r="F477" s="3" t="str">
        <f>IF(COUNTIF(Hoja1!$G$2:$G$1000,Hoja1!G477)&gt;1,"Sí","No")</f>
        <v>No</v>
      </c>
      <c r="G477" s="3" t="str">
        <f>IF(OR(ISERROR(FIND("@",Hoja1!G477)),ISERROR(FIND(".",Hoja1!G477,FIND("@",Hoja1!G477)))),"Sí","No")</f>
        <v>No</v>
      </c>
      <c r="H477" s="3" t="str">
        <f>IF(LEN(Hoja1!F477)&lt;&gt;14,"Sí","No")</f>
        <v>No</v>
      </c>
      <c r="I477" s="3" t="str">
        <f>IF(Hoja1!C477&gt;Hoja1!H477,"Sí","No")</f>
        <v>No</v>
      </c>
      <c r="J477" s="3" t="str">
        <f>IF(SUMPRODUCT(--ISNUMBER(SEARCH({"0";"1";"2";"3";"4";"5";"6";"7";"8";"9"},Hoja1!D477)))=0,"Sí","No")</f>
        <v>No</v>
      </c>
      <c r="K477" s="3" t="str">
        <f t="shared" si="7"/>
        <v>No</v>
      </c>
    </row>
    <row r="478" spans="1:11" ht="15" customHeight="1" x14ac:dyDescent="0.3">
      <c r="A478" s="3" t="str">
        <f>Hoja1!A478</f>
        <v>C0477</v>
      </c>
      <c r="B478" s="3" t="str">
        <f>Hoja1!B478</f>
        <v>Curro Cañellas-Abad</v>
      </c>
      <c r="C478" s="3" t="str">
        <f>IF(COUNTA(Hoja1!A478:I478)=0,"Sí","No")</f>
        <v>No</v>
      </c>
      <c r="D478" s="3" t="str">
        <f>IF(COUNTBLANK(Hoja1!A478:I478)&gt;0,"Sí","No")</f>
        <v>No</v>
      </c>
      <c r="E478" s="3" t="str">
        <f>IF(COUNTIF(Hoja1!$A$2:$A$1000,Hoja1!A478)&gt;1,"Sí","No")</f>
        <v>No</v>
      </c>
      <c r="F478" s="3" t="str">
        <f>IF(COUNTIF(Hoja1!$G$2:$G$1000,Hoja1!G478)&gt;1,"Sí","No")</f>
        <v>No</v>
      </c>
      <c r="G478" s="3" t="str">
        <f>IF(OR(ISERROR(FIND("@",Hoja1!G478)),ISERROR(FIND(".",Hoja1!G478,FIND("@",Hoja1!G478)))),"Sí","No")</f>
        <v>No</v>
      </c>
      <c r="H478" s="3" t="str">
        <f>IF(LEN(Hoja1!F478)&lt;&gt;14,"Sí","No")</f>
        <v>No</v>
      </c>
      <c r="I478" s="3" t="str">
        <f>IF(Hoja1!C478&gt;Hoja1!H478,"Sí","No")</f>
        <v>No</v>
      </c>
      <c r="J478" s="3" t="str">
        <f>IF(SUMPRODUCT(--ISNUMBER(SEARCH({"0";"1";"2";"3";"4";"5";"6";"7";"8";"9"},Hoja1!D478)))=0,"Sí","No")</f>
        <v>No</v>
      </c>
      <c r="K478" s="3" t="str">
        <f t="shared" si="7"/>
        <v>No</v>
      </c>
    </row>
    <row r="479" spans="1:11" ht="15" customHeight="1" x14ac:dyDescent="0.3">
      <c r="A479" s="3" t="str">
        <f>Hoja1!A479</f>
        <v>C0478</v>
      </c>
      <c r="B479" s="3" t="str">
        <f>Hoja1!B479</f>
        <v>Julio Corominas</v>
      </c>
      <c r="C479" s="3" t="str">
        <f>IF(COUNTA(Hoja1!A479:I479)=0,"Sí","No")</f>
        <v>No</v>
      </c>
      <c r="D479" s="3" t="str">
        <f>IF(COUNTBLANK(Hoja1!A479:I479)&gt;0,"Sí","No")</f>
        <v>No</v>
      </c>
      <c r="E479" s="3" t="str">
        <f>IF(COUNTIF(Hoja1!$A$2:$A$1000,Hoja1!A479)&gt;1,"Sí","No")</f>
        <v>No</v>
      </c>
      <c r="F479" s="3" t="str">
        <f>IF(COUNTIF(Hoja1!$G$2:$G$1000,Hoja1!G479)&gt;1,"Sí","No")</f>
        <v>No</v>
      </c>
      <c r="G479" s="3" t="str">
        <f>IF(OR(ISERROR(FIND("@",Hoja1!G479)),ISERROR(FIND(".",Hoja1!G479,FIND("@",Hoja1!G479)))),"Sí","No")</f>
        <v>No</v>
      </c>
      <c r="H479" s="3" t="str">
        <f>IF(LEN(Hoja1!F479)&lt;&gt;14,"Sí","No")</f>
        <v>No</v>
      </c>
      <c r="I479" s="3" t="str">
        <f>IF(Hoja1!C479&gt;Hoja1!H479,"Sí","No")</f>
        <v>No</v>
      </c>
      <c r="J479" s="3" t="str">
        <f>IF(SUMPRODUCT(--ISNUMBER(SEARCH({"0";"1";"2";"3";"4";"5";"6";"7";"8";"9"},Hoja1!D479)))=0,"Sí","No")</f>
        <v>No</v>
      </c>
      <c r="K479" s="3" t="str">
        <f t="shared" si="7"/>
        <v>No</v>
      </c>
    </row>
    <row r="480" spans="1:11" ht="15" customHeight="1" x14ac:dyDescent="0.3">
      <c r="A480" s="3" t="str">
        <f>Hoja1!A480</f>
        <v>C0479</v>
      </c>
      <c r="B480" s="3" t="str">
        <f>Hoja1!B480</f>
        <v>Dominga Olmedo Lara</v>
      </c>
      <c r="C480" s="3" t="str">
        <f>IF(COUNTA(Hoja1!A480:I480)=0,"Sí","No")</f>
        <v>No</v>
      </c>
      <c r="D480" s="3" t="str">
        <f>IF(COUNTBLANK(Hoja1!A480:I480)&gt;0,"Sí","No")</f>
        <v>No</v>
      </c>
      <c r="E480" s="3" t="str">
        <f>IF(COUNTIF(Hoja1!$A$2:$A$1000,Hoja1!A480)&gt;1,"Sí","No")</f>
        <v>No</v>
      </c>
      <c r="F480" s="3" t="str">
        <f>IF(COUNTIF(Hoja1!$G$2:$G$1000,Hoja1!G480)&gt;1,"Sí","No")</f>
        <v>No</v>
      </c>
      <c r="G480" s="3" t="str">
        <f>IF(OR(ISERROR(FIND("@",Hoja1!G480)),ISERROR(FIND(".",Hoja1!G480,FIND("@",Hoja1!G480)))),"Sí","No")</f>
        <v>No</v>
      </c>
      <c r="H480" s="3" t="str">
        <f>IF(LEN(Hoja1!F480)&lt;&gt;14,"Sí","No")</f>
        <v>No</v>
      </c>
      <c r="I480" s="3" t="str">
        <f>IF(Hoja1!C480&gt;Hoja1!H480,"Sí","No")</f>
        <v>No</v>
      </c>
      <c r="J480" s="3" t="str">
        <f>IF(SUMPRODUCT(--ISNUMBER(SEARCH({"0";"1";"2";"3";"4";"5";"6";"7";"8";"9"},Hoja1!D480)))=0,"Sí","No")</f>
        <v>No</v>
      </c>
      <c r="K480" s="3" t="str">
        <f t="shared" si="7"/>
        <v>No</v>
      </c>
    </row>
    <row r="481" spans="1:11" ht="15" customHeight="1" x14ac:dyDescent="0.3">
      <c r="A481" s="3" t="str">
        <f>Hoja1!A481</f>
        <v>C0480</v>
      </c>
      <c r="B481" s="3" t="str">
        <f>Hoja1!B481</f>
        <v>Norberto Cortés Coca</v>
      </c>
      <c r="C481" s="3" t="str">
        <f>IF(COUNTA(Hoja1!A481:I481)=0,"Sí","No")</f>
        <v>No</v>
      </c>
      <c r="D481" s="3" t="str">
        <f>IF(COUNTBLANK(Hoja1!A481:I481)&gt;0,"Sí","No")</f>
        <v>No</v>
      </c>
      <c r="E481" s="3" t="str">
        <f>IF(COUNTIF(Hoja1!$A$2:$A$1000,Hoja1!A481)&gt;1,"Sí","No")</f>
        <v>No</v>
      </c>
      <c r="F481" s="3" t="str">
        <f>IF(COUNTIF(Hoja1!$G$2:$G$1000,Hoja1!G481)&gt;1,"Sí","No")</f>
        <v>No</v>
      </c>
      <c r="G481" s="3" t="str">
        <f>IF(OR(ISERROR(FIND("@",Hoja1!G481)),ISERROR(FIND(".",Hoja1!G481,FIND("@",Hoja1!G481)))),"Sí","No")</f>
        <v>No</v>
      </c>
      <c r="H481" s="3" t="str">
        <f>IF(LEN(Hoja1!F481)&lt;&gt;14,"Sí","No")</f>
        <v>No</v>
      </c>
      <c r="I481" s="3" t="str">
        <f>IF(Hoja1!C481&gt;Hoja1!H481,"Sí","No")</f>
        <v>No</v>
      </c>
      <c r="J481" s="3" t="str">
        <f>IF(SUMPRODUCT(--ISNUMBER(SEARCH({"0";"1";"2";"3";"4";"5";"6";"7";"8";"9"},Hoja1!D481)))=0,"Sí","No")</f>
        <v>No</v>
      </c>
      <c r="K481" s="3" t="str">
        <f t="shared" si="7"/>
        <v>No</v>
      </c>
    </row>
    <row r="482" spans="1:11" ht="15" customHeight="1" x14ac:dyDescent="0.3">
      <c r="A482" s="3" t="str">
        <f>Hoja1!A482</f>
        <v>C0481</v>
      </c>
      <c r="B482" s="3" t="str">
        <f>Hoja1!B482</f>
        <v>Juana Valls Ruiz</v>
      </c>
      <c r="C482" s="3" t="str">
        <f>IF(COUNTA(Hoja1!A482:I482)=0,"Sí","No")</f>
        <v>No</v>
      </c>
      <c r="D482" s="3" t="str">
        <f>IF(COUNTBLANK(Hoja1!A482:I482)&gt;0,"Sí","No")</f>
        <v>No</v>
      </c>
      <c r="E482" s="3" t="str">
        <f>IF(COUNTIF(Hoja1!$A$2:$A$1000,Hoja1!A482)&gt;1,"Sí","No")</f>
        <v>No</v>
      </c>
      <c r="F482" s="3" t="str">
        <f>IF(COUNTIF(Hoja1!$G$2:$G$1000,Hoja1!G482)&gt;1,"Sí","No")</f>
        <v>Sí</v>
      </c>
      <c r="G482" s="3" t="str">
        <f>IF(OR(ISERROR(FIND("@",Hoja1!G482)),ISERROR(FIND(".",Hoja1!G482,FIND("@",Hoja1!G482)))),"Sí","No")</f>
        <v>No</v>
      </c>
      <c r="H482" s="3" t="str">
        <f>IF(LEN(Hoja1!F482)&lt;&gt;14,"Sí","No")</f>
        <v>No</v>
      </c>
      <c r="I482" s="3" t="str">
        <f>IF(Hoja1!C482&gt;Hoja1!H482,"Sí","No")</f>
        <v>No</v>
      </c>
      <c r="J482" s="3" t="str">
        <f>IF(SUMPRODUCT(--ISNUMBER(SEARCH({"0";"1";"2";"3";"4";"5";"6";"7";"8";"9"},Hoja1!D482)))=0,"Sí","No")</f>
        <v>Sí</v>
      </c>
      <c r="K482" s="3" t="str">
        <f t="shared" si="7"/>
        <v>Sí</v>
      </c>
    </row>
    <row r="483" spans="1:11" ht="15" customHeight="1" x14ac:dyDescent="0.3">
      <c r="A483" s="3" t="str">
        <f>Hoja1!A483</f>
        <v>C0482</v>
      </c>
      <c r="B483" s="3" t="str">
        <f>Hoja1!B483</f>
        <v>Inés García Nevado</v>
      </c>
      <c r="C483" s="3" t="str">
        <f>IF(COUNTA(Hoja1!A483:I483)=0,"Sí","No")</f>
        <v>No</v>
      </c>
      <c r="D483" s="3" t="str">
        <f>IF(COUNTBLANK(Hoja1!A483:I483)&gt;0,"Sí","No")</f>
        <v>No</v>
      </c>
      <c r="E483" s="3" t="str">
        <f>IF(COUNTIF(Hoja1!$A$2:$A$1000,Hoja1!A483)&gt;1,"Sí","No")</f>
        <v>No</v>
      </c>
      <c r="F483" s="3" t="str">
        <f>IF(COUNTIF(Hoja1!$G$2:$G$1000,Hoja1!G483)&gt;1,"Sí","No")</f>
        <v>No</v>
      </c>
      <c r="G483" s="3" t="str">
        <f>IF(OR(ISERROR(FIND("@",Hoja1!G483)),ISERROR(FIND(".",Hoja1!G483,FIND("@",Hoja1!G483)))),"Sí","No")</f>
        <v>No</v>
      </c>
      <c r="H483" s="3" t="str">
        <f>IF(LEN(Hoja1!F483)&lt;&gt;14,"Sí","No")</f>
        <v>No</v>
      </c>
      <c r="I483" s="3" t="str">
        <f>IF(Hoja1!C483&gt;Hoja1!H483,"Sí","No")</f>
        <v>No</v>
      </c>
      <c r="J483" s="3" t="str">
        <f>IF(SUMPRODUCT(--ISNUMBER(SEARCH({"0";"1";"2";"3";"4";"5";"6";"7";"8";"9"},Hoja1!D483)))=0,"Sí","No")</f>
        <v>No</v>
      </c>
      <c r="K483" s="3" t="str">
        <f t="shared" si="7"/>
        <v>No</v>
      </c>
    </row>
    <row r="484" spans="1:11" ht="15" customHeight="1" x14ac:dyDescent="0.3">
      <c r="A484" s="3" t="str">
        <f>Hoja1!A484</f>
        <v>C0483</v>
      </c>
      <c r="B484" s="3" t="str">
        <f>Hoja1!B484</f>
        <v>Marianela Pablo Samper</v>
      </c>
      <c r="C484" s="3" t="str">
        <f>IF(COUNTA(Hoja1!A484:I484)=0,"Sí","No")</f>
        <v>No</v>
      </c>
      <c r="D484" s="3" t="str">
        <f>IF(COUNTBLANK(Hoja1!A484:I484)&gt;0,"Sí","No")</f>
        <v>No</v>
      </c>
      <c r="E484" s="3" t="str">
        <f>IF(COUNTIF(Hoja1!$A$2:$A$1000,Hoja1!A484)&gt;1,"Sí","No")</f>
        <v>No</v>
      </c>
      <c r="F484" s="3" t="str">
        <f>IF(COUNTIF(Hoja1!$G$2:$G$1000,Hoja1!G484)&gt;1,"Sí","No")</f>
        <v>No</v>
      </c>
      <c r="G484" s="3" t="str">
        <f>IF(OR(ISERROR(FIND("@",Hoja1!G484)),ISERROR(FIND(".",Hoja1!G484,FIND("@",Hoja1!G484)))),"Sí","No")</f>
        <v>No</v>
      </c>
      <c r="H484" s="3" t="str">
        <f>IF(LEN(Hoja1!F484)&lt;&gt;14,"Sí","No")</f>
        <v>No</v>
      </c>
      <c r="I484" s="3" t="str">
        <f>IF(Hoja1!C484&gt;Hoja1!H484,"Sí","No")</f>
        <v>No</v>
      </c>
      <c r="J484" s="3" t="str">
        <f>IF(SUMPRODUCT(--ISNUMBER(SEARCH({"0";"1";"2";"3";"4";"5";"6";"7";"8";"9"},Hoja1!D484)))=0,"Sí","No")</f>
        <v>No</v>
      </c>
      <c r="K484" s="3" t="str">
        <f t="shared" si="7"/>
        <v>No</v>
      </c>
    </row>
    <row r="485" spans="1:11" ht="15" customHeight="1" x14ac:dyDescent="0.3">
      <c r="A485" s="3" t="str">
        <f>Hoja1!A485</f>
        <v>C0484</v>
      </c>
      <c r="B485" s="3" t="str">
        <f>Hoja1!B485</f>
        <v>Azahar Solsona</v>
      </c>
      <c r="C485" s="3" t="str">
        <f>IF(COUNTA(Hoja1!A485:I485)=0,"Sí","No")</f>
        <v>No</v>
      </c>
      <c r="D485" s="3" t="str">
        <f>IF(COUNTBLANK(Hoja1!A485:I485)&gt;0,"Sí","No")</f>
        <v>No</v>
      </c>
      <c r="E485" s="3" t="str">
        <f>IF(COUNTIF(Hoja1!$A$2:$A$1000,Hoja1!A485)&gt;1,"Sí","No")</f>
        <v>No</v>
      </c>
      <c r="F485" s="3" t="str">
        <f>IF(COUNTIF(Hoja1!$G$2:$G$1000,Hoja1!G485)&gt;1,"Sí","No")</f>
        <v>No</v>
      </c>
      <c r="G485" s="3" t="str">
        <f>IF(OR(ISERROR(FIND("@",Hoja1!G485)),ISERROR(FIND(".",Hoja1!G485,FIND("@",Hoja1!G485)))),"Sí","No")</f>
        <v>No</v>
      </c>
      <c r="H485" s="3" t="str">
        <f>IF(LEN(Hoja1!F485)&lt;&gt;14,"Sí","No")</f>
        <v>No</v>
      </c>
      <c r="I485" s="3" t="str">
        <f>IF(Hoja1!C485&gt;Hoja1!H485,"Sí","No")</f>
        <v>No</v>
      </c>
      <c r="J485" s="3" t="str">
        <f>IF(SUMPRODUCT(--ISNUMBER(SEARCH({"0";"1";"2";"3";"4";"5";"6";"7";"8";"9"},Hoja1!D485)))=0,"Sí","No")</f>
        <v>Sí</v>
      </c>
      <c r="K485" s="3" t="str">
        <f t="shared" si="7"/>
        <v>Sí</v>
      </c>
    </row>
    <row r="486" spans="1:11" ht="15" customHeight="1" x14ac:dyDescent="0.3">
      <c r="A486" s="3" t="str">
        <f>Hoja1!A486</f>
        <v>C0485</v>
      </c>
      <c r="B486" s="3" t="str">
        <f>Hoja1!B486</f>
        <v>Patricia Leon Grande</v>
      </c>
      <c r="C486" s="3" t="str">
        <f>IF(COUNTA(Hoja1!A486:I486)=0,"Sí","No")</f>
        <v>No</v>
      </c>
      <c r="D486" s="3" t="str">
        <f>IF(COUNTBLANK(Hoja1!A486:I486)&gt;0,"Sí","No")</f>
        <v>No</v>
      </c>
      <c r="E486" s="3" t="str">
        <f>IF(COUNTIF(Hoja1!$A$2:$A$1000,Hoja1!A486)&gt;1,"Sí","No")</f>
        <v>No</v>
      </c>
      <c r="F486" s="3" t="str">
        <f>IF(COUNTIF(Hoja1!$G$2:$G$1000,Hoja1!G486)&gt;1,"Sí","No")</f>
        <v>No</v>
      </c>
      <c r="G486" s="3" t="str">
        <f>IF(OR(ISERROR(FIND("@",Hoja1!G486)),ISERROR(FIND(".",Hoja1!G486,FIND("@",Hoja1!G486)))),"Sí","No")</f>
        <v>No</v>
      </c>
      <c r="H486" s="3" t="str">
        <f>IF(LEN(Hoja1!F486)&lt;&gt;14,"Sí","No")</f>
        <v>No</v>
      </c>
      <c r="I486" s="3" t="str">
        <f>IF(Hoja1!C486&gt;Hoja1!H486,"Sí","No")</f>
        <v>No</v>
      </c>
      <c r="J486" s="3" t="str">
        <f>IF(SUMPRODUCT(--ISNUMBER(SEARCH({"0";"1";"2";"3";"4";"5";"6";"7";"8";"9"},Hoja1!D486)))=0,"Sí","No")</f>
        <v>No</v>
      </c>
      <c r="K486" s="3" t="str">
        <f t="shared" si="7"/>
        <v>No</v>
      </c>
    </row>
    <row r="487" spans="1:11" ht="15" customHeight="1" x14ac:dyDescent="0.3">
      <c r="A487" s="3" t="str">
        <f>Hoja1!A487</f>
        <v>C0486</v>
      </c>
      <c r="B487" s="3" t="str">
        <f>Hoja1!B487</f>
        <v>Inmaculada Moles-Verdú</v>
      </c>
      <c r="C487" s="3" t="str">
        <f>IF(COUNTA(Hoja1!A487:I487)=0,"Sí","No")</f>
        <v>No</v>
      </c>
      <c r="D487" s="3" t="str">
        <f>IF(COUNTBLANK(Hoja1!A487:I487)&gt;0,"Sí","No")</f>
        <v>No</v>
      </c>
      <c r="E487" s="3" t="str">
        <f>IF(COUNTIF(Hoja1!$A$2:$A$1000,Hoja1!A487)&gt;1,"Sí","No")</f>
        <v>No</v>
      </c>
      <c r="F487" s="3" t="str">
        <f>IF(COUNTIF(Hoja1!$G$2:$G$1000,Hoja1!G487)&gt;1,"Sí","No")</f>
        <v>No</v>
      </c>
      <c r="G487" s="3" t="str">
        <f>IF(OR(ISERROR(FIND("@",Hoja1!G487)),ISERROR(FIND(".",Hoja1!G487,FIND("@",Hoja1!G487)))),"Sí","No")</f>
        <v>No</v>
      </c>
      <c r="H487" s="3" t="str">
        <f>IF(LEN(Hoja1!F487)&lt;&gt;14,"Sí","No")</f>
        <v>No</v>
      </c>
      <c r="I487" s="3" t="str">
        <f>IF(Hoja1!C487&gt;Hoja1!H487,"Sí","No")</f>
        <v>No</v>
      </c>
      <c r="J487" s="3" t="str">
        <f>IF(SUMPRODUCT(--ISNUMBER(SEARCH({"0";"1";"2";"3";"4";"5";"6";"7";"8";"9"},Hoja1!D487)))=0,"Sí","No")</f>
        <v>No</v>
      </c>
      <c r="K487" s="3" t="str">
        <f t="shared" si="7"/>
        <v>No</v>
      </c>
    </row>
    <row r="488" spans="1:11" ht="15" customHeight="1" x14ac:dyDescent="0.3">
      <c r="A488" s="3" t="str">
        <f>Hoja1!A488</f>
        <v>C0487</v>
      </c>
      <c r="B488" s="3" t="str">
        <f>Hoja1!B488</f>
        <v>Piedad Casanova</v>
      </c>
      <c r="C488" s="3" t="str">
        <f>IF(COUNTA(Hoja1!A488:I488)=0,"Sí","No")</f>
        <v>No</v>
      </c>
      <c r="D488" s="3" t="str">
        <f>IF(COUNTBLANK(Hoja1!A488:I488)&gt;0,"Sí","No")</f>
        <v>No</v>
      </c>
      <c r="E488" s="3" t="str">
        <f>IF(COUNTIF(Hoja1!$A$2:$A$1000,Hoja1!A488)&gt;1,"Sí","No")</f>
        <v>No</v>
      </c>
      <c r="F488" s="3" t="str">
        <f>IF(COUNTIF(Hoja1!$G$2:$G$1000,Hoja1!G488)&gt;1,"Sí","No")</f>
        <v>No</v>
      </c>
      <c r="G488" s="3" t="str">
        <f>IF(OR(ISERROR(FIND("@",Hoja1!G488)),ISERROR(FIND(".",Hoja1!G488,FIND("@",Hoja1!G488)))),"Sí","No")</f>
        <v>No</v>
      </c>
      <c r="H488" s="3" t="str">
        <f>IF(LEN(Hoja1!F488)&lt;&gt;14,"Sí","No")</f>
        <v>No</v>
      </c>
      <c r="I488" s="3" t="str">
        <f>IF(Hoja1!C488&gt;Hoja1!H488,"Sí","No")</f>
        <v>No</v>
      </c>
      <c r="J488" s="3" t="str">
        <f>IF(SUMPRODUCT(--ISNUMBER(SEARCH({"0";"1";"2";"3";"4";"5";"6";"7";"8";"9"},Hoja1!D488)))=0,"Sí","No")</f>
        <v>Sí</v>
      </c>
      <c r="K488" s="3" t="str">
        <f t="shared" si="7"/>
        <v>Sí</v>
      </c>
    </row>
    <row r="489" spans="1:11" ht="15" customHeight="1" x14ac:dyDescent="0.3">
      <c r="A489" s="3" t="str">
        <f>Hoja1!A489</f>
        <v>C0488</v>
      </c>
      <c r="B489" s="3" t="str">
        <f>Hoja1!B489</f>
        <v>Dafne Amigó-Arias</v>
      </c>
      <c r="C489" s="3" t="str">
        <f>IF(COUNTA(Hoja1!A489:I489)=0,"Sí","No")</f>
        <v>No</v>
      </c>
      <c r="D489" s="3" t="str">
        <f>IF(COUNTBLANK(Hoja1!A489:I489)&gt;0,"Sí","No")</f>
        <v>No</v>
      </c>
      <c r="E489" s="3" t="str">
        <f>IF(COUNTIF(Hoja1!$A$2:$A$1000,Hoja1!A489)&gt;1,"Sí","No")</f>
        <v>No</v>
      </c>
      <c r="F489" s="3" t="str">
        <f>IF(COUNTIF(Hoja1!$G$2:$G$1000,Hoja1!G489)&gt;1,"Sí","No")</f>
        <v>Sí</v>
      </c>
      <c r="G489" s="3" t="str">
        <f>IF(OR(ISERROR(FIND("@",Hoja1!G489)),ISERROR(FIND(".",Hoja1!G489,FIND("@",Hoja1!G489)))),"Sí","No")</f>
        <v>No</v>
      </c>
      <c r="H489" s="3" t="str">
        <f>IF(LEN(Hoja1!F489)&lt;&gt;14,"Sí","No")</f>
        <v>No</v>
      </c>
      <c r="I489" s="3" t="str">
        <f>IF(Hoja1!C489&gt;Hoja1!H489,"Sí","No")</f>
        <v>No</v>
      </c>
      <c r="J489" s="3" t="str">
        <f>IF(SUMPRODUCT(--ISNUMBER(SEARCH({"0";"1";"2";"3";"4";"5";"6";"7";"8";"9"},Hoja1!D489)))=0,"Sí","No")</f>
        <v>No</v>
      </c>
      <c r="K489" s="3" t="str">
        <f t="shared" si="7"/>
        <v>Sí</v>
      </c>
    </row>
    <row r="490" spans="1:11" ht="15" customHeight="1" x14ac:dyDescent="0.3">
      <c r="A490" s="3" t="str">
        <f>Hoja1!A490</f>
        <v>C0489</v>
      </c>
      <c r="B490" s="3" t="str">
        <f>Hoja1!B490</f>
        <v>Anabel Tur Llorens</v>
      </c>
      <c r="C490" s="3" t="str">
        <f>IF(COUNTA(Hoja1!A490:I490)=0,"Sí","No")</f>
        <v>No</v>
      </c>
      <c r="D490" s="3" t="str">
        <f>IF(COUNTBLANK(Hoja1!A490:I490)&gt;0,"Sí","No")</f>
        <v>No</v>
      </c>
      <c r="E490" s="3" t="str">
        <f>IF(COUNTIF(Hoja1!$A$2:$A$1000,Hoja1!A490)&gt;1,"Sí","No")</f>
        <v>No</v>
      </c>
      <c r="F490" s="3" t="str">
        <f>IF(COUNTIF(Hoja1!$G$2:$G$1000,Hoja1!G490)&gt;1,"Sí","No")</f>
        <v>No</v>
      </c>
      <c r="G490" s="3" t="str">
        <f>IF(OR(ISERROR(FIND("@",Hoja1!G490)),ISERROR(FIND(".",Hoja1!G490,FIND("@",Hoja1!G490)))),"Sí","No")</f>
        <v>No</v>
      </c>
      <c r="H490" s="3" t="str">
        <f>IF(LEN(Hoja1!F490)&lt;&gt;14,"Sí","No")</f>
        <v>No</v>
      </c>
      <c r="I490" s="3" t="str">
        <f>IF(Hoja1!C490&gt;Hoja1!H490,"Sí","No")</f>
        <v>No</v>
      </c>
      <c r="J490" s="3" t="str">
        <f>IF(SUMPRODUCT(--ISNUMBER(SEARCH({"0";"1";"2";"3";"4";"5";"6";"7";"8";"9"},Hoja1!D490)))=0,"Sí","No")</f>
        <v>No</v>
      </c>
      <c r="K490" s="3" t="str">
        <f t="shared" si="7"/>
        <v>No</v>
      </c>
    </row>
    <row r="491" spans="1:11" ht="15" customHeight="1" x14ac:dyDescent="0.3">
      <c r="A491" s="3" t="str">
        <f>Hoja1!A491</f>
        <v>C0490</v>
      </c>
      <c r="B491" s="3" t="str">
        <f>Hoja1!B491</f>
        <v>Danilo Jose Antonio Escobar Muro</v>
      </c>
      <c r="C491" s="3" t="str">
        <f>IF(COUNTA(Hoja1!A491:I491)=0,"Sí","No")</f>
        <v>No</v>
      </c>
      <c r="D491" s="3" t="str">
        <f>IF(COUNTBLANK(Hoja1!A491:I491)&gt;0,"Sí","No")</f>
        <v>No</v>
      </c>
      <c r="E491" s="3" t="str">
        <f>IF(COUNTIF(Hoja1!$A$2:$A$1000,Hoja1!A491)&gt;1,"Sí","No")</f>
        <v>No</v>
      </c>
      <c r="F491" s="3" t="str">
        <f>IF(COUNTIF(Hoja1!$G$2:$G$1000,Hoja1!G491)&gt;1,"Sí","No")</f>
        <v>No</v>
      </c>
      <c r="G491" s="3" t="str">
        <f>IF(OR(ISERROR(FIND("@",Hoja1!G491)),ISERROR(FIND(".",Hoja1!G491,FIND("@",Hoja1!G491)))),"Sí","No")</f>
        <v>No</v>
      </c>
      <c r="H491" s="3" t="str">
        <f>IF(LEN(Hoja1!F491)&lt;&gt;14,"Sí","No")</f>
        <v>No</v>
      </c>
      <c r="I491" s="3" t="str">
        <f>IF(Hoja1!C491&gt;Hoja1!H491,"Sí","No")</f>
        <v>No</v>
      </c>
      <c r="J491" s="3" t="str">
        <f>IF(SUMPRODUCT(--ISNUMBER(SEARCH({"0";"1";"2";"3";"4";"5";"6";"7";"8";"9"},Hoja1!D491)))=0,"Sí","No")</f>
        <v>Sí</v>
      </c>
      <c r="K491" s="3" t="str">
        <f t="shared" si="7"/>
        <v>Sí</v>
      </c>
    </row>
    <row r="492" spans="1:11" ht="15" customHeight="1" x14ac:dyDescent="0.3">
      <c r="A492" s="3" t="str">
        <f>Hoja1!A492</f>
        <v>C0491</v>
      </c>
      <c r="B492" s="3" t="str">
        <f>Hoja1!B492</f>
        <v>Aura Salcedo Vigil</v>
      </c>
      <c r="C492" s="3" t="str">
        <f>IF(COUNTA(Hoja1!A492:I492)=0,"Sí","No")</f>
        <v>No</v>
      </c>
      <c r="D492" s="3" t="str">
        <f>IF(COUNTBLANK(Hoja1!A492:I492)&gt;0,"Sí","No")</f>
        <v>No</v>
      </c>
      <c r="E492" s="3" t="str">
        <f>IF(COUNTIF(Hoja1!$A$2:$A$1000,Hoja1!A492)&gt;1,"Sí","No")</f>
        <v>No</v>
      </c>
      <c r="F492" s="3" t="str">
        <f>IF(COUNTIF(Hoja1!$G$2:$G$1000,Hoja1!G492)&gt;1,"Sí","No")</f>
        <v>No</v>
      </c>
      <c r="G492" s="3" t="str">
        <f>IF(OR(ISERROR(FIND("@",Hoja1!G492)),ISERROR(FIND(".",Hoja1!G492,FIND("@",Hoja1!G492)))),"Sí","No")</f>
        <v>No</v>
      </c>
      <c r="H492" s="3" t="str">
        <f>IF(LEN(Hoja1!F492)&lt;&gt;14,"Sí","No")</f>
        <v>No</v>
      </c>
      <c r="I492" s="3" t="str">
        <f>IF(Hoja1!C492&gt;Hoja1!H492,"Sí","No")</f>
        <v>No</v>
      </c>
      <c r="J492" s="3" t="str">
        <f>IF(SUMPRODUCT(--ISNUMBER(SEARCH({"0";"1";"2";"3";"4";"5";"6";"7";"8";"9"},Hoja1!D492)))=0,"Sí","No")</f>
        <v>No</v>
      </c>
      <c r="K492" s="3" t="str">
        <f t="shared" si="7"/>
        <v>No</v>
      </c>
    </row>
    <row r="493" spans="1:11" ht="15" customHeight="1" x14ac:dyDescent="0.3">
      <c r="A493" s="3" t="str">
        <f>Hoja1!A493</f>
        <v>C0492</v>
      </c>
      <c r="B493" s="3" t="str">
        <f>Hoja1!B493</f>
        <v>Ramiro Cepeda Casanova</v>
      </c>
      <c r="C493" s="3" t="str">
        <f>IF(COUNTA(Hoja1!A493:I493)=0,"Sí","No")</f>
        <v>No</v>
      </c>
      <c r="D493" s="3" t="str">
        <f>IF(COUNTBLANK(Hoja1!A493:I493)&gt;0,"Sí","No")</f>
        <v>No</v>
      </c>
      <c r="E493" s="3" t="str">
        <f>IF(COUNTIF(Hoja1!$A$2:$A$1000,Hoja1!A493)&gt;1,"Sí","No")</f>
        <v>No</v>
      </c>
      <c r="F493" s="3" t="str">
        <f>IF(COUNTIF(Hoja1!$G$2:$G$1000,Hoja1!G493)&gt;1,"Sí","No")</f>
        <v>No</v>
      </c>
      <c r="G493" s="3" t="str">
        <f>IF(OR(ISERROR(FIND("@",Hoja1!G493)),ISERROR(FIND(".",Hoja1!G493,FIND("@",Hoja1!G493)))),"Sí","No")</f>
        <v>No</v>
      </c>
      <c r="H493" s="3" t="str">
        <f>IF(LEN(Hoja1!F493)&lt;&gt;14,"Sí","No")</f>
        <v>No</v>
      </c>
      <c r="I493" s="3" t="str">
        <f>IF(Hoja1!C493&gt;Hoja1!H493,"Sí","No")</f>
        <v>No</v>
      </c>
      <c r="J493" s="3" t="str">
        <f>IF(SUMPRODUCT(--ISNUMBER(SEARCH({"0";"1";"2";"3";"4";"5";"6";"7";"8";"9"},Hoja1!D493)))=0,"Sí","No")</f>
        <v>No</v>
      </c>
      <c r="K493" s="3" t="str">
        <f t="shared" si="7"/>
        <v>No</v>
      </c>
    </row>
    <row r="494" spans="1:11" ht="15" customHeight="1" x14ac:dyDescent="0.3">
      <c r="A494" s="3" t="str">
        <f>Hoja1!A494</f>
        <v>C0493</v>
      </c>
      <c r="B494" s="3" t="str">
        <f>Hoja1!B494</f>
        <v>Nadia Tormo</v>
      </c>
      <c r="C494" s="3" t="str">
        <f>IF(COUNTA(Hoja1!A494:I494)=0,"Sí","No")</f>
        <v>No</v>
      </c>
      <c r="D494" s="3" t="str">
        <f>IF(COUNTBLANK(Hoja1!A494:I494)&gt;0,"Sí","No")</f>
        <v>No</v>
      </c>
      <c r="E494" s="3" t="str">
        <f>IF(COUNTIF(Hoja1!$A$2:$A$1000,Hoja1!A494)&gt;1,"Sí","No")</f>
        <v>No</v>
      </c>
      <c r="F494" s="3" t="str">
        <f>IF(COUNTIF(Hoja1!$G$2:$G$1000,Hoja1!G494)&gt;1,"Sí","No")</f>
        <v>No</v>
      </c>
      <c r="G494" s="3" t="str">
        <f>IF(OR(ISERROR(FIND("@",Hoja1!G494)),ISERROR(FIND(".",Hoja1!G494,FIND("@",Hoja1!G494)))),"Sí","No")</f>
        <v>No</v>
      </c>
      <c r="H494" s="3" t="str">
        <f>IF(LEN(Hoja1!F494)&lt;&gt;14,"Sí","No")</f>
        <v>No</v>
      </c>
      <c r="I494" s="3" t="str">
        <f>IF(Hoja1!C494&gt;Hoja1!H494,"Sí","No")</f>
        <v>No</v>
      </c>
      <c r="J494" s="3" t="str">
        <f>IF(SUMPRODUCT(--ISNUMBER(SEARCH({"0";"1";"2";"3";"4";"5";"6";"7";"8";"9"},Hoja1!D494)))=0,"Sí","No")</f>
        <v>Sí</v>
      </c>
      <c r="K494" s="3" t="str">
        <f t="shared" si="7"/>
        <v>Sí</v>
      </c>
    </row>
    <row r="495" spans="1:11" ht="15" customHeight="1" x14ac:dyDescent="0.3">
      <c r="A495" s="3" t="str">
        <f>Hoja1!A495</f>
        <v>C0494</v>
      </c>
      <c r="B495" s="3" t="str">
        <f>Hoja1!B495</f>
        <v>Paola González Piquer</v>
      </c>
      <c r="C495" s="3" t="str">
        <f>IF(COUNTA(Hoja1!A495:I495)=0,"Sí","No")</f>
        <v>No</v>
      </c>
      <c r="D495" s="3" t="str">
        <f>IF(COUNTBLANK(Hoja1!A495:I495)&gt;0,"Sí","No")</f>
        <v>No</v>
      </c>
      <c r="E495" s="3" t="str">
        <f>IF(COUNTIF(Hoja1!$A$2:$A$1000,Hoja1!A495)&gt;1,"Sí","No")</f>
        <v>No</v>
      </c>
      <c r="F495" s="3" t="str">
        <f>IF(COUNTIF(Hoja1!$G$2:$G$1000,Hoja1!G495)&gt;1,"Sí","No")</f>
        <v>No</v>
      </c>
      <c r="G495" s="3" t="str">
        <f>IF(OR(ISERROR(FIND("@",Hoja1!G495)),ISERROR(FIND(".",Hoja1!G495,FIND("@",Hoja1!G495)))),"Sí","No")</f>
        <v>No</v>
      </c>
      <c r="H495" s="3" t="str">
        <f>IF(LEN(Hoja1!F495)&lt;&gt;14,"Sí","No")</f>
        <v>No</v>
      </c>
      <c r="I495" s="3" t="str">
        <f>IF(Hoja1!C495&gt;Hoja1!H495,"Sí","No")</f>
        <v>No</v>
      </c>
      <c r="J495" s="3" t="str">
        <f>IF(SUMPRODUCT(--ISNUMBER(SEARCH({"0";"1";"2";"3";"4";"5";"6";"7";"8";"9"},Hoja1!D495)))=0,"Sí","No")</f>
        <v>No</v>
      </c>
      <c r="K495" s="3" t="str">
        <f t="shared" si="7"/>
        <v>No</v>
      </c>
    </row>
    <row r="496" spans="1:11" ht="15" customHeight="1" x14ac:dyDescent="0.3">
      <c r="A496" s="3" t="str">
        <f>Hoja1!A496</f>
        <v>C0495</v>
      </c>
      <c r="B496" s="3" t="str">
        <f>Hoja1!B496</f>
        <v>Remedios Quesada Heredia</v>
      </c>
      <c r="C496" s="3" t="str">
        <f>IF(COUNTA(Hoja1!A496:I496)=0,"Sí","No")</f>
        <v>No</v>
      </c>
      <c r="D496" s="3" t="str">
        <f>IF(COUNTBLANK(Hoja1!A496:I496)&gt;0,"Sí","No")</f>
        <v>No</v>
      </c>
      <c r="E496" s="3" t="str">
        <f>IF(COUNTIF(Hoja1!$A$2:$A$1000,Hoja1!A496)&gt;1,"Sí","No")</f>
        <v>No</v>
      </c>
      <c r="F496" s="3" t="str">
        <f>IF(COUNTIF(Hoja1!$G$2:$G$1000,Hoja1!G496)&gt;1,"Sí","No")</f>
        <v>No</v>
      </c>
      <c r="G496" s="3" t="str">
        <f>IF(OR(ISERROR(FIND("@",Hoja1!G496)),ISERROR(FIND(".",Hoja1!G496,FIND("@",Hoja1!G496)))),"Sí","No")</f>
        <v>No</v>
      </c>
      <c r="H496" s="3" t="str">
        <f>IF(LEN(Hoja1!F496)&lt;&gt;14,"Sí","No")</f>
        <v>No</v>
      </c>
      <c r="I496" s="3" t="str">
        <f>IF(Hoja1!C496&gt;Hoja1!H496,"Sí","No")</f>
        <v>No</v>
      </c>
      <c r="J496" s="3" t="str">
        <f>IF(SUMPRODUCT(--ISNUMBER(SEARCH({"0";"1";"2";"3";"4";"5";"6";"7";"8";"9"},Hoja1!D496)))=0,"Sí","No")</f>
        <v>No</v>
      </c>
      <c r="K496" s="3" t="str">
        <f t="shared" si="7"/>
        <v>No</v>
      </c>
    </row>
    <row r="497" spans="1:11" ht="15" customHeight="1" x14ac:dyDescent="0.3">
      <c r="A497" s="3" t="str">
        <f>Hoja1!A497</f>
        <v>C0496</v>
      </c>
      <c r="B497" s="3" t="str">
        <f>Hoja1!B497</f>
        <v>Andrés Cortés Fuertes</v>
      </c>
      <c r="C497" s="3" t="str">
        <f>IF(COUNTA(Hoja1!A497:I497)=0,"Sí","No")</f>
        <v>No</v>
      </c>
      <c r="D497" s="3" t="str">
        <f>IF(COUNTBLANK(Hoja1!A497:I497)&gt;0,"Sí","No")</f>
        <v>No</v>
      </c>
      <c r="E497" s="3" t="str">
        <f>IF(COUNTIF(Hoja1!$A$2:$A$1000,Hoja1!A497)&gt;1,"Sí","No")</f>
        <v>No</v>
      </c>
      <c r="F497" s="3" t="str">
        <f>IF(COUNTIF(Hoja1!$G$2:$G$1000,Hoja1!G497)&gt;1,"Sí","No")</f>
        <v>No</v>
      </c>
      <c r="G497" s="3" t="str">
        <f>IF(OR(ISERROR(FIND("@",Hoja1!G497)),ISERROR(FIND(".",Hoja1!G497,FIND("@",Hoja1!G497)))),"Sí","No")</f>
        <v>No</v>
      </c>
      <c r="H497" s="3" t="str">
        <f>IF(LEN(Hoja1!F497)&lt;&gt;14,"Sí","No")</f>
        <v>No</v>
      </c>
      <c r="I497" s="3" t="str">
        <f>IF(Hoja1!C497&gt;Hoja1!H497,"Sí","No")</f>
        <v>No</v>
      </c>
      <c r="J497" s="3" t="str">
        <f>IF(SUMPRODUCT(--ISNUMBER(SEARCH({"0";"1";"2";"3";"4";"5";"6";"7";"8";"9"},Hoja1!D497)))=0,"Sí","No")</f>
        <v>Sí</v>
      </c>
      <c r="K497" s="3" t="str">
        <f t="shared" si="7"/>
        <v>Sí</v>
      </c>
    </row>
    <row r="498" spans="1:11" ht="15" customHeight="1" x14ac:dyDescent="0.3">
      <c r="A498" s="3" t="str">
        <f>Hoja1!A498</f>
        <v>C0497</v>
      </c>
      <c r="B498" s="3" t="str">
        <f>Hoja1!B498</f>
        <v>María Ángeles Infante-Cabanillas</v>
      </c>
      <c r="C498" s="3" t="str">
        <f>IF(COUNTA(Hoja1!A498:I498)=0,"Sí","No")</f>
        <v>No</v>
      </c>
      <c r="D498" s="3" t="str">
        <f>IF(COUNTBLANK(Hoja1!A498:I498)&gt;0,"Sí","No")</f>
        <v>No</v>
      </c>
      <c r="E498" s="3" t="str">
        <f>IF(COUNTIF(Hoja1!$A$2:$A$1000,Hoja1!A498)&gt;1,"Sí","No")</f>
        <v>No</v>
      </c>
      <c r="F498" s="3" t="str">
        <f>IF(COUNTIF(Hoja1!$G$2:$G$1000,Hoja1!G498)&gt;1,"Sí","No")</f>
        <v>No</v>
      </c>
      <c r="G498" s="3" t="str">
        <f>IF(OR(ISERROR(FIND("@",Hoja1!G498)),ISERROR(FIND(".",Hoja1!G498,FIND("@",Hoja1!G498)))),"Sí","No")</f>
        <v>No</v>
      </c>
      <c r="H498" s="3" t="str">
        <f>IF(LEN(Hoja1!F498)&lt;&gt;14,"Sí","No")</f>
        <v>No</v>
      </c>
      <c r="I498" s="3" t="str">
        <f>IF(Hoja1!C498&gt;Hoja1!H498,"Sí","No")</f>
        <v>No</v>
      </c>
      <c r="J498" s="3" t="str">
        <f>IF(SUMPRODUCT(--ISNUMBER(SEARCH({"0";"1";"2";"3";"4";"5";"6";"7";"8";"9"},Hoja1!D498)))=0,"Sí","No")</f>
        <v>No</v>
      </c>
      <c r="K498" s="3" t="str">
        <f t="shared" si="7"/>
        <v>No</v>
      </c>
    </row>
    <row r="499" spans="1:11" ht="15" customHeight="1" x14ac:dyDescent="0.3">
      <c r="A499" s="3" t="str">
        <f>Hoja1!A499</f>
        <v>C0498</v>
      </c>
      <c r="B499" s="3" t="str">
        <f>Hoja1!B499</f>
        <v>Heliodoro Antonio Baena Tejada</v>
      </c>
      <c r="C499" s="3" t="str">
        <f>IF(COUNTA(Hoja1!A499:I499)=0,"Sí","No")</f>
        <v>No</v>
      </c>
      <c r="D499" s="3" t="str">
        <f>IF(COUNTBLANK(Hoja1!A499:I499)&gt;0,"Sí","No")</f>
        <v>No</v>
      </c>
      <c r="E499" s="3" t="str">
        <f>IF(COUNTIF(Hoja1!$A$2:$A$1000,Hoja1!A499)&gt;1,"Sí","No")</f>
        <v>No</v>
      </c>
      <c r="F499" s="3" t="str">
        <f>IF(COUNTIF(Hoja1!$G$2:$G$1000,Hoja1!G499)&gt;1,"Sí","No")</f>
        <v>No</v>
      </c>
      <c r="G499" s="3" t="str">
        <f>IF(OR(ISERROR(FIND("@",Hoja1!G499)),ISERROR(FIND(".",Hoja1!G499,FIND("@",Hoja1!G499)))),"Sí","No")</f>
        <v>No</v>
      </c>
      <c r="H499" s="3" t="str">
        <f>IF(LEN(Hoja1!F499)&lt;&gt;14,"Sí","No")</f>
        <v>No</v>
      </c>
      <c r="I499" s="3" t="str">
        <f>IF(Hoja1!C499&gt;Hoja1!H499,"Sí","No")</f>
        <v>No</v>
      </c>
      <c r="J499" s="3" t="str">
        <f>IF(SUMPRODUCT(--ISNUMBER(SEARCH({"0";"1";"2";"3";"4";"5";"6";"7";"8";"9"},Hoja1!D499)))=0,"Sí","No")</f>
        <v>No</v>
      </c>
      <c r="K499" s="3" t="str">
        <f t="shared" si="7"/>
        <v>No</v>
      </c>
    </row>
    <row r="500" spans="1:11" ht="15" customHeight="1" x14ac:dyDescent="0.3">
      <c r="A500" s="3" t="str">
        <f>Hoja1!A500</f>
        <v>C0499</v>
      </c>
      <c r="B500" s="3" t="str">
        <f>Hoja1!B500</f>
        <v>Belen Carballo Lladó</v>
      </c>
      <c r="C500" s="3" t="str">
        <f>IF(COUNTA(Hoja1!A500:I500)=0,"Sí","No")</f>
        <v>No</v>
      </c>
      <c r="D500" s="3" t="str">
        <f>IF(COUNTBLANK(Hoja1!A500:I500)&gt;0,"Sí","No")</f>
        <v>No</v>
      </c>
      <c r="E500" s="3" t="str">
        <f>IF(COUNTIF(Hoja1!$A$2:$A$1000,Hoja1!A500)&gt;1,"Sí","No")</f>
        <v>No</v>
      </c>
      <c r="F500" s="3" t="str">
        <f>IF(COUNTIF(Hoja1!$G$2:$G$1000,Hoja1!G500)&gt;1,"Sí","No")</f>
        <v>No</v>
      </c>
      <c r="G500" s="3" t="str">
        <f>IF(OR(ISERROR(FIND("@",Hoja1!G500)),ISERROR(FIND(".",Hoja1!G500,FIND("@",Hoja1!G500)))),"Sí","No")</f>
        <v>No</v>
      </c>
      <c r="H500" s="3" t="str">
        <f>IF(LEN(Hoja1!F500)&lt;&gt;14,"Sí","No")</f>
        <v>No</v>
      </c>
      <c r="I500" s="3" t="str">
        <f>IF(Hoja1!C500&gt;Hoja1!H500,"Sí","No")</f>
        <v>No</v>
      </c>
      <c r="J500" s="3" t="str">
        <f>IF(SUMPRODUCT(--ISNUMBER(SEARCH({"0";"1";"2";"3";"4";"5";"6";"7";"8";"9"},Hoja1!D500)))=0,"Sí","No")</f>
        <v>Sí</v>
      </c>
      <c r="K500" s="3" t="str">
        <f t="shared" si="7"/>
        <v>Sí</v>
      </c>
    </row>
    <row r="501" spans="1:11" ht="15" customHeight="1" x14ac:dyDescent="0.3">
      <c r="A501" s="3" t="str">
        <f>Hoja1!A501</f>
        <v>C0500</v>
      </c>
      <c r="B501" s="3" t="str">
        <f>Hoja1!B501</f>
        <v>Quique Márquez Torralba</v>
      </c>
      <c r="C501" s="3" t="str">
        <f>IF(COUNTA(Hoja1!A501:I501)=0,"Sí","No")</f>
        <v>No</v>
      </c>
      <c r="D501" s="3" t="str">
        <f>IF(COUNTBLANK(Hoja1!A501:I501)&gt;0,"Sí","No")</f>
        <v>No</v>
      </c>
      <c r="E501" s="3" t="str">
        <f>IF(COUNTIF(Hoja1!$A$2:$A$1000,Hoja1!A501)&gt;1,"Sí","No")</f>
        <v>No</v>
      </c>
      <c r="F501" s="3" t="str">
        <f>IF(COUNTIF(Hoja1!$G$2:$G$1000,Hoja1!G501)&gt;1,"Sí","No")</f>
        <v>No</v>
      </c>
      <c r="G501" s="3" t="str">
        <f>IF(OR(ISERROR(FIND("@",Hoja1!G501)),ISERROR(FIND(".",Hoja1!G501,FIND("@",Hoja1!G501)))),"Sí","No")</f>
        <v>No</v>
      </c>
      <c r="H501" s="3" t="str">
        <f>IF(LEN(Hoja1!F501)&lt;&gt;14,"Sí","No")</f>
        <v>No</v>
      </c>
      <c r="I501" s="3" t="str">
        <f>IF(Hoja1!C501&gt;Hoja1!H501,"Sí","No")</f>
        <v>No</v>
      </c>
      <c r="J501" s="3" t="str">
        <f>IF(SUMPRODUCT(--ISNUMBER(SEARCH({"0";"1";"2";"3";"4";"5";"6";"7";"8";"9"},Hoja1!D501)))=0,"Sí","No")</f>
        <v>No</v>
      </c>
      <c r="K501" s="3" t="str">
        <f t="shared" si="7"/>
        <v>No</v>
      </c>
    </row>
    <row r="502" spans="1:11" ht="15" customHeight="1" x14ac:dyDescent="0.3">
      <c r="A502" s="3" t="str">
        <f>Hoja1!A502</f>
        <v>C0501</v>
      </c>
      <c r="B502" s="3" t="str">
        <f>Hoja1!B502</f>
        <v>Felicidad Amor Cerdán</v>
      </c>
      <c r="C502" s="3" t="str">
        <f>IF(COUNTA(Hoja1!A502:I502)=0,"Sí","No")</f>
        <v>No</v>
      </c>
      <c r="D502" s="3" t="str">
        <f>IF(COUNTBLANK(Hoja1!A502:I502)&gt;0,"Sí","No")</f>
        <v>No</v>
      </c>
      <c r="E502" s="3" t="str">
        <f>IF(COUNTIF(Hoja1!$A$2:$A$1000,Hoja1!A502)&gt;1,"Sí","No")</f>
        <v>No</v>
      </c>
      <c r="F502" s="3" t="str">
        <f>IF(COUNTIF(Hoja1!$G$2:$G$1000,Hoja1!G502)&gt;1,"Sí","No")</f>
        <v>No</v>
      </c>
      <c r="G502" s="3" t="str">
        <f>IF(OR(ISERROR(FIND("@",Hoja1!G502)),ISERROR(FIND(".",Hoja1!G502,FIND("@",Hoja1!G502)))),"Sí","No")</f>
        <v>No</v>
      </c>
      <c r="H502" s="3" t="str">
        <f>IF(LEN(Hoja1!F502)&lt;&gt;14,"Sí","No")</f>
        <v>No</v>
      </c>
      <c r="I502" s="3" t="str">
        <f>IF(Hoja1!C502&gt;Hoja1!H502,"Sí","No")</f>
        <v>No</v>
      </c>
      <c r="J502" s="3" t="str">
        <f>IF(SUMPRODUCT(--ISNUMBER(SEARCH({"0";"1";"2";"3";"4";"5";"6";"7";"8";"9"},Hoja1!D502)))=0,"Sí","No")</f>
        <v>No</v>
      </c>
      <c r="K502" s="3" t="str">
        <f t="shared" si="7"/>
        <v>No</v>
      </c>
    </row>
    <row r="503" spans="1:11" ht="15" customHeight="1" x14ac:dyDescent="0.3">
      <c r="A503" s="3" t="str">
        <f>Hoja1!A503</f>
        <v>C0502</v>
      </c>
      <c r="B503" s="3" t="str">
        <f>Hoja1!B503</f>
        <v>Esteban de Serrano</v>
      </c>
      <c r="C503" s="3" t="str">
        <f>IF(COUNTA(Hoja1!A503:I503)=0,"Sí","No")</f>
        <v>No</v>
      </c>
      <c r="D503" s="3" t="str">
        <f>IF(COUNTBLANK(Hoja1!A503:I503)&gt;0,"Sí","No")</f>
        <v>No</v>
      </c>
      <c r="E503" s="3" t="str">
        <f>IF(COUNTIF(Hoja1!$A$2:$A$1000,Hoja1!A503)&gt;1,"Sí","No")</f>
        <v>No</v>
      </c>
      <c r="F503" s="3" t="str">
        <f>IF(COUNTIF(Hoja1!$G$2:$G$1000,Hoja1!G503)&gt;1,"Sí","No")</f>
        <v>No</v>
      </c>
      <c r="G503" s="3" t="str">
        <f>IF(OR(ISERROR(FIND("@",Hoja1!G503)),ISERROR(FIND(".",Hoja1!G503,FIND("@",Hoja1!G503)))),"Sí","No")</f>
        <v>No</v>
      </c>
      <c r="H503" s="3" t="str">
        <f>IF(LEN(Hoja1!F503)&lt;&gt;14,"Sí","No")</f>
        <v>No</v>
      </c>
      <c r="I503" s="3" t="str">
        <f>IF(Hoja1!C503&gt;Hoja1!H503,"Sí","No")</f>
        <v>No</v>
      </c>
      <c r="J503" s="3" t="str">
        <f>IF(SUMPRODUCT(--ISNUMBER(SEARCH({"0";"1";"2";"3";"4";"5";"6";"7";"8";"9"},Hoja1!D503)))=0,"Sí","No")</f>
        <v>Sí</v>
      </c>
      <c r="K503" s="3" t="str">
        <f t="shared" si="7"/>
        <v>Sí</v>
      </c>
    </row>
    <row r="504" spans="1:11" ht="15" customHeight="1" x14ac:dyDescent="0.3">
      <c r="A504" s="3" t="str">
        <f>Hoja1!A504</f>
        <v>C0503</v>
      </c>
      <c r="B504" s="3" t="str">
        <f>Hoja1!B504</f>
        <v>Eligia Javiera Lladó Pla</v>
      </c>
      <c r="C504" s="3" t="str">
        <f>IF(COUNTA(Hoja1!A504:I504)=0,"Sí","No")</f>
        <v>No</v>
      </c>
      <c r="D504" s="3" t="str">
        <f>IF(COUNTBLANK(Hoja1!A504:I504)&gt;0,"Sí","No")</f>
        <v>No</v>
      </c>
      <c r="E504" s="3" t="str">
        <f>IF(COUNTIF(Hoja1!$A$2:$A$1000,Hoja1!A504)&gt;1,"Sí","No")</f>
        <v>No</v>
      </c>
      <c r="F504" s="3" t="str">
        <f>IF(COUNTIF(Hoja1!$G$2:$G$1000,Hoja1!G504)&gt;1,"Sí","No")</f>
        <v>No</v>
      </c>
      <c r="G504" s="3" t="str">
        <f>IF(OR(ISERROR(FIND("@",Hoja1!G504)),ISERROR(FIND(".",Hoja1!G504,FIND("@",Hoja1!G504)))),"Sí","No")</f>
        <v>No</v>
      </c>
      <c r="H504" s="3" t="str">
        <f>IF(LEN(Hoja1!F504)&lt;&gt;14,"Sí","No")</f>
        <v>No</v>
      </c>
      <c r="I504" s="3" t="str">
        <f>IF(Hoja1!C504&gt;Hoja1!H504,"Sí","No")</f>
        <v>No</v>
      </c>
      <c r="J504" s="3" t="str">
        <f>IF(SUMPRODUCT(--ISNUMBER(SEARCH({"0";"1";"2";"3";"4";"5";"6";"7";"8";"9"},Hoja1!D504)))=0,"Sí","No")</f>
        <v>No</v>
      </c>
      <c r="K504" s="3" t="str">
        <f t="shared" si="7"/>
        <v>No</v>
      </c>
    </row>
    <row r="505" spans="1:11" ht="15" customHeight="1" x14ac:dyDescent="0.3">
      <c r="A505" s="3" t="str">
        <f>Hoja1!A505</f>
        <v>C0504</v>
      </c>
      <c r="B505" s="3" t="str">
        <f>Hoja1!B505</f>
        <v>Nidia Ordóñez Cañas</v>
      </c>
      <c r="C505" s="3" t="str">
        <f>IF(COUNTA(Hoja1!A505:I505)=0,"Sí","No")</f>
        <v>No</v>
      </c>
      <c r="D505" s="3" t="str">
        <f>IF(COUNTBLANK(Hoja1!A505:I505)&gt;0,"Sí","No")</f>
        <v>No</v>
      </c>
      <c r="E505" s="3" t="str">
        <f>IF(COUNTIF(Hoja1!$A$2:$A$1000,Hoja1!A505)&gt;1,"Sí","No")</f>
        <v>No</v>
      </c>
      <c r="F505" s="3" t="str">
        <f>IF(COUNTIF(Hoja1!$G$2:$G$1000,Hoja1!G505)&gt;1,"Sí","No")</f>
        <v>No</v>
      </c>
      <c r="G505" s="3" t="str">
        <f>IF(OR(ISERROR(FIND("@",Hoja1!G505)),ISERROR(FIND(".",Hoja1!G505,FIND("@",Hoja1!G505)))),"Sí","No")</f>
        <v>No</v>
      </c>
      <c r="H505" s="3" t="str">
        <f>IF(LEN(Hoja1!F505)&lt;&gt;14,"Sí","No")</f>
        <v>No</v>
      </c>
      <c r="I505" s="3" t="str">
        <f>IF(Hoja1!C505&gt;Hoja1!H505,"Sí","No")</f>
        <v>No</v>
      </c>
      <c r="J505" s="3" t="str">
        <f>IF(SUMPRODUCT(--ISNUMBER(SEARCH({"0";"1";"2";"3";"4";"5";"6";"7";"8";"9"},Hoja1!D505)))=0,"Sí","No")</f>
        <v>No</v>
      </c>
      <c r="K505" s="3" t="str">
        <f t="shared" si="7"/>
        <v>No</v>
      </c>
    </row>
    <row r="506" spans="1:11" ht="15" customHeight="1" x14ac:dyDescent="0.3">
      <c r="A506" s="3" t="str">
        <f>Hoja1!A506</f>
        <v>C0505</v>
      </c>
      <c r="B506" s="3" t="str">
        <f>Hoja1!B506</f>
        <v>Adelaida de Egea</v>
      </c>
      <c r="C506" s="3" t="str">
        <f>IF(COUNTA(Hoja1!A506:I506)=0,"Sí","No")</f>
        <v>No</v>
      </c>
      <c r="D506" s="3" t="str">
        <f>IF(COUNTBLANK(Hoja1!A506:I506)&gt;0,"Sí","No")</f>
        <v>No</v>
      </c>
      <c r="E506" s="3" t="str">
        <f>IF(COUNTIF(Hoja1!$A$2:$A$1000,Hoja1!A506)&gt;1,"Sí","No")</f>
        <v>No</v>
      </c>
      <c r="F506" s="3" t="str">
        <f>IF(COUNTIF(Hoja1!$G$2:$G$1000,Hoja1!G506)&gt;1,"Sí","No")</f>
        <v>No</v>
      </c>
      <c r="G506" s="3" t="str">
        <f>IF(OR(ISERROR(FIND("@",Hoja1!G506)),ISERROR(FIND(".",Hoja1!G506,FIND("@",Hoja1!G506)))),"Sí","No")</f>
        <v>No</v>
      </c>
      <c r="H506" s="3" t="str">
        <f>IF(LEN(Hoja1!F506)&lt;&gt;14,"Sí","No")</f>
        <v>No</v>
      </c>
      <c r="I506" s="3" t="str">
        <f>IF(Hoja1!C506&gt;Hoja1!H506,"Sí","No")</f>
        <v>No</v>
      </c>
      <c r="J506" s="3" t="str">
        <f>IF(SUMPRODUCT(--ISNUMBER(SEARCH({"0";"1";"2";"3";"4";"5";"6";"7";"8";"9"},Hoja1!D506)))=0,"Sí","No")</f>
        <v>Sí</v>
      </c>
      <c r="K506" s="3" t="str">
        <f t="shared" si="7"/>
        <v>Sí</v>
      </c>
    </row>
    <row r="507" spans="1:11" ht="15" customHeight="1" x14ac:dyDescent="0.3">
      <c r="A507" s="3" t="str">
        <f>Hoja1!A507</f>
        <v>C0506</v>
      </c>
      <c r="B507" s="3" t="str">
        <f>Hoja1!B507</f>
        <v>Dalila Torre Amores</v>
      </c>
      <c r="C507" s="3" t="str">
        <f>IF(COUNTA(Hoja1!A507:I507)=0,"Sí","No")</f>
        <v>No</v>
      </c>
      <c r="D507" s="3" t="str">
        <f>IF(COUNTBLANK(Hoja1!A507:I507)&gt;0,"Sí","No")</f>
        <v>No</v>
      </c>
      <c r="E507" s="3" t="str">
        <f>IF(COUNTIF(Hoja1!$A$2:$A$1000,Hoja1!A507)&gt;1,"Sí","No")</f>
        <v>No</v>
      </c>
      <c r="F507" s="3" t="str">
        <f>IF(COUNTIF(Hoja1!$G$2:$G$1000,Hoja1!G507)&gt;1,"Sí","No")</f>
        <v>No</v>
      </c>
      <c r="G507" s="3" t="str">
        <f>IF(OR(ISERROR(FIND("@",Hoja1!G507)),ISERROR(FIND(".",Hoja1!G507,FIND("@",Hoja1!G507)))),"Sí","No")</f>
        <v>No</v>
      </c>
      <c r="H507" s="3" t="str">
        <f>IF(LEN(Hoja1!F507)&lt;&gt;14,"Sí","No")</f>
        <v>No</v>
      </c>
      <c r="I507" s="3" t="str">
        <f>IF(Hoja1!C507&gt;Hoja1!H507,"Sí","No")</f>
        <v>No</v>
      </c>
      <c r="J507" s="3" t="str">
        <f>IF(SUMPRODUCT(--ISNUMBER(SEARCH({"0";"1";"2";"3";"4";"5";"6";"7";"8";"9"},Hoja1!D507)))=0,"Sí","No")</f>
        <v>No</v>
      </c>
      <c r="K507" s="3" t="str">
        <f t="shared" si="7"/>
        <v>No</v>
      </c>
    </row>
    <row r="508" spans="1:11" ht="15" customHeight="1" x14ac:dyDescent="0.3">
      <c r="A508" s="3" t="str">
        <f>Hoja1!A508</f>
        <v>C0507</v>
      </c>
      <c r="B508" s="3" t="str">
        <f>Hoja1!B508</f>
        <v>Roldán Guardia</v>
      </c>
      <c r="C508" s="3" t="str">
        <f>IF(COUNTA(Hoja1!A508:I508)=0,"Sí","No")</f>
        <v>No</v>
      </c>
      <c r="D508" s="3" t="str">
        <f>IF(COUNTBLANK(Hoja1!A508:I508)&gt;0,"Sí","No")</f>
        <v>No</v>
      </c>
      <c r="E508" s="3" t="str">
        <f>IF(COUNTIF(Hoja1!$A$2:$A$1000,Hoja1!A508)&gt;1,"Sí","No")</f>
        <v>No</v>
      </c>
      <c r="F508" s="3" t="str">
        <f>IF(COUNTIF(Hoja1!$G$2:$G$1000,Hoja1!G508)&gt;1,"Sí","No")</f>
        <v>No</v>
      </c>
      <c r="G508" s="3" t="str">
        <f>IF(OR(ISERROR(FIND("@",Hoja1!G508)),ISERROR(FIND(".",Hoja1!G508,FIND("@",Hoja1!G508)))),"Sí","No")</f>
        <v>No</v>
      </c>
      <c r="H508" s="3" t="str">
        <f>IF(LEN(Hoja1!F508)&lt;&gt;14,"Sí","No")</f>
        <v>No</v>
      </c>
      <c r="I508" s="3" t="str">
        <f>IF(Hoja1!C508&gt;Hoja1!H508,"Sí","No")</f>
        <v>No</v>
      </c>
      <c r="J508" s="3" t="str">
        <f>IF(SUMPRODUCT(--ISNUMBER(SEARCH({"0";"1";"2";"3";"4";"5";"6";"7";"8";"9"},Hoja1!D508)))=0,"Sí","No")</f>
        <v>No</v>
      </c>
      <c r="K508" s="3" t="str">
        <f t="shared" si="7"/>
        <v>No</v>
      </c>
    </row>
    <row r="509" spans="1:11" ht="15" customHeight="1" x14ac:dyDescent="0.3">
      <c r="A509" s="3" t="str">
        <f>Hoja1!A509</f>
        <v>C0508</v>
      </c>
      <c r="B509" s="3" t="str">
        <f>Hoja1!B509</f>
        <v>Gabino Barragán Figueroa</v>
      </c>
      <c r="C509" s="3" t="str">
        <f>IF(COUNTA(Hoja1!A509:I509)=0,"Sí","No")</f>
        <v>No</v>
      </c>
      <c r="D509" s="3" t="str">
        <f>IF(COUNTBLANK(Hoja1!A509:I509)&gt;0,"Sí","No")</f>
        <v>No</v>
      </c>
      <c r="E509" s="3" t="str">
        <f>IF(COUNTIF(Hoja1!$A$2:$A$1000,Hoja1!A509)&gt;1,"Sí","No")</f>
        <v>No</v>
      </c>
      <c r="F509" s="3" t="str">
        <f>IF(COUNTIF(Hoja1!$G$2:$G$1000,Hoja1!G509)&gt;1,"Sí","No")</f>
        <v>No</v>
      </c>
      <c r="G509" s="3" t="str">
        <f>IF(OR(ISERROR(FIND("@",Hoja1!G509)),ISERROR(FIND(".",Hoja1!G509,FIND("@",Hoja1!G509)))),"Sí","No")</f>
        <v>No</v>
      </c>
      <c r="H509" s="3" t="str">
        <f>IF(LEN(Hoja1!F509)&lt;&gt;14,"Sí","No")</f>
        <v>No</v>
      </c>
      <c r="I509" s="3" t="str">
        <f>IF(Hoja1!C509&gt;Hoja1!H509,"Sí","No")</f>
        <v>No</v>
      </c>
      <c r="J509" s="3" t="str">
        <f>IF(SUMPRODUCT(--ISNUMBER(SEARCH({"0";"1";"2";"3";"4";"5";"6";"7";"8";"9"},Hoja1!D509)))=0,"Sí","No")</f>
        <v>Sí</v>
      </c>
      <c r="K509" s="3" t="str">
        <f t="shared" si="7"/>
        <v>Sí</v>
      </c>
    </row>
    <row r="510" spans="1:11" ht="15" customHeight="1" x14ac:dyDescent="0.3">
      <c r="A510" s="3" t="str">
        <f>Hoja1!A510</f>
        <v>C0509</v>
      </c>
      <c r="B510" s="3" t="str">
        <f>Hoja1!B510</f>
        <v>Amanda Chamorro-Vives</v>
      </c>
      <c r="C510" s="3" t="str">
        <f>IF(COUNTA(Hoja1!A510:I510)=0,"Sí","No")</f>
        <v>No</v>
      </c>
      <c r="D510" s="3" t="str">
        <f>IF(COUNTBLANK(Hoja1!A510:I510)&gt;0,"Sí","No")</f>
        <v>No</v>
      </c>
      <c r="E510" s="3" t="str">
        <f>IF(COUNTIF(Hoja1!$A$2:$A$1000,Hoja1!A510)&gt;1,"Sí","No")</f>
        <v>No</v>
      </c>
      <c r="F510" s="3" t="str">
        <f>IF(COUNTIF(Hoja1!$G$2:$G$1000,Hoja1!G510)&gt;1,"Sí","No")</f>
        <v>No</v>
      </c>
      <c r="G510" s="3" t="str">
        <f>IF(OR(ISERROR(FIND("@",Hoja1!G510)),ISERROR(FIND(".",Hoja1!G510,FIND("@",Hoja1!G510)))),"Sí","No")</f>
        <v>No</v>
      </c>
      <c r="H510" s="3" t="str">
        <f>IF(LEN(Hoja1!F510)&lt;&gt;14,"Sí","No")</f>
        <v>No</v>
      </c>
      <c r="I510" s="3" t="str">
        <f>IF(Hoja1!C510&gt;Hoja1!H510,"Sí","No")</f>
        <v>No</v>
      </c>
      <c r="J510" s="3" t="str">
        <f>IF(SUMPRODUCT(--ISNUMBER(SEARCH({"0";"1";"2";"3";"4";"5";"6";"7";"8";"9"},Hoja1!D510)))=0,"Sí","No")</f>
        <v>No</v>
      </c>
      <c r="K510" s="3" t="str">
        <f t="shared" si="7"/>
        <v>No</v>
      </c>
    </row>
    <row r="511" spans="1:11" ht="15" customHeight="1" x14ac:dyDescent="0.3">
      <c r="A511" s="3" t="str">
        <f>Hoja1!A511</f>
        <v>C0510</v>
      </c>
      <c r="B511" s="3" t="str">
        <f>Hoja1!B511</f>
        <v>José Cañas Martinez</v>
      </c>
      <c r="C511" s="3" t="str">
        <f>IF(COUNTA(Hoja1!A511:I511)=0,"Sí","No")</f>
        <v>No</v>
      </c>
      <c r="D511" s="3" t="str">
        <f>IF(COUNTBLANK(Hoja1!A511:I511)&gt;0,"Sí","No")</f>
        <v>No</v>
      </c>
      <c r="E511" s="3" t="str">
        <f>IF(COUNTIF(Hoja1!$A$2:$A$1000,Hoja1!A511)&gt;1,"Sí","No")</f>
        <v>No</v>
      </c>
      <c r="F511" s="3" t="str">
        <f>IF(COUNTIF(Hoja1!$G$2:$G$1000,Hoja1!G511)&gt;1,"Sí","No")</f>
        <v>No</v>
      </c>
      <c r="G511" s="3" t="str">
        <f>IF(OR(ISERROR(FIND("@",Hoja1!G511)),ISERROR(FIND(".",Hoja1!G511,FIND("@",Hoja1!G511)))),"Sí","No")</f>
        <v>No</v>
      </c>
      <c r="H511" s="3" t="str">
        <f>IF(LEN(Hoja1!F511)&lt;&gt;14,"Sí","No")</f>
        <v>No</v>
      </c>
      <c r="I511" s="3" t="str">
        <f>IF(Hoja1!C511&gt;Hoja1!H511,"Sí","No")</f>
        <v>No</v>
      </c>
      <c r="J511" s="3" t="str">
        <f>IF(SUMPRODUCT(--ISNUMBER(SEARCH({"0";"1";"2";"3";"4";"5";"6";"7";"8";"9"},Hoja1!D511)))=0,"Sí","No")</f>
        <v>No</v>
      </c>
      <c r="K511" s="3" t="str">
        <f t="shared" si="7"/>
        <v>No</v>
      </c>
    </row>
    <row r="512" spans="1:11" ht="15" customHeight="1" x14ac:dyDescent="0.3">
      <c r="A512" s="3" t="str">
        <f>Hoja1!A512</f>
        <v>C0511</v>
      </c>
      <c r="B512" s="3" t="str">
        <f>Hoja1!B512</f>
        <v>Benita Exposito Mínguez</v>
      </c>
      <c r="C512" s="3" t="str">
        <f>IF(COUNTA(Hoja1!A512:I512)=0,"Sí","No")</f>
        <v>No</v>
      </c>
      <c r="D512" s="3" t="str">
        <f>IF(COUNTBLANK(Hoja1!A512:I512)&gt;0,"Sí","No")</f>
        <v>No</v>
      </c>
      <c r="E512" s="3" t="str">
        <f>IF(COUNTIF(Hoja1!$A$2:$A$1000,Hoja1!A512)&gt;1,"Sí","No")</f>
        <v>No</v>
      </c>
      <c r="F512" s="3" t="str">
        <f>IF(COUNTIF(Hoja1!$G$2:$G$1000,Hoja1!G512)&gt;1,"Sí","No")</f>
        <v>No</v>
      </c>
      <c r="G512" s="3" t="str">
        <f>IF(OR(ISERROR(FIND("@",Hoja1!G512)),ISERROR(FIND(".",Hoja1!G512,FIND("@",Hoja1!G512)))),"Sí","No")</f>
        <v>No</v>
      </c>
      <c r="H512" s="3" t="str">
        <f>IF(LEN(Hoja1!F512)&lt;&gt;14,"Sí","No")</f>
        <v>No</v>
      </c>
      <c r="I512" s="3" t="str">
        <f>IF(Hoja1!C512&gt;Hoja1!H512,"Sí","No")</f>
        <v>No</v>
      </c>
      <c r="J512" s="3" t="str">
        <f>IF(SUMPRODUCT(--ISNUMBER(SEARCH({"0";"1";"2";"3";"4";"5";"6";"7";"8";"9"},Hoja1!D512)))=0,"Sí","No")</f>
        <v>Sí</v>
      </c>
      <c r="K512" s="3" t="str">
        <f t="shared" si="7"/>
        <v>Sí</v>
      </c>
    </row>
    <row r="513" spans="1:11" ht="15" customHeight="1" x14ac:dyDescent="0.3">
      <c r="A513" s="3" t="str">
        <f>Hoja1!A513</f>
        <v>C0512</v>
      </c>
      <c r="B513" s="3" t="str">
        <f>Hoja1!B513</f>
        <v>Nerea de Portero</v>
      </c>
      <c r="C513" s="3" t="str">
        <f>IF(COUNTA(Hoja1!A513:I513)=0,"Sí","No")</f>
        <v>No</v>
      </c>
      <c r="D513" s="3" t="str">
        <f>IF(COUNTBLANK(Hoja1!A513:I513)&gt;0,"Sí","No")</f>
        <v>No</v>
      </c>
      <c r="E513" s="3" t="str">
        <f>IF(COUNTIF(Hoja1!$A$2:$A$1000,Hoja1!A513)&gt;1,"Sí","No")</f>
        <v>No</v>
      </c>
      <c r="F513" s="3" t="str">
        <f>IF(COUNTIF(Hoja1!$G$2:$G$1000,Hoja1!G513)&gt;1,"Sí","No")</f>
        <v>No</v>
      </c>
      <c r="G513" s="3" t="str">
        <f>IF(OR(ISERROR(FIND("@",Hoja1!G513)),ISERROR(FIND(".",Hoja1!G513,FIND("@",Hoja1!G513)))),"Sí","No")</f>
        <v>No</v>
      </c>
      <c r="H513" s="3" t="str">
        <f>IF(LEN(Hoja1!F513)&lt;&gt;14,"Sí","No")</f>
        <v>No</v>
      </c>
      <c r="I513" s="3" t="str">
        <f>IF(Hoja1!C513&gt;Hoja1!H513,"Sí","No")</f>
        <v>No</v>
      </c>
      <c r="J513" s="3" t="str">
        <f>IF(SUMPRODUCT(--ISNUMBER(SEARCH({"0";"1";"2";"3";"4";"5";"6";"7";"8";"9"},Hoja1!D513)))=0,"Sí","No")</f>
        <v>No</v>
      </c>
      <c r="K513" s="3" t="str">
        <f t="shared" si="7"/>
        <v>No</v>
      </c>
    </row>
    <row r="514" spans="1:11" ht="15" customHeight="1" x14ac:dyDescent="0.3">
      <c r="A514" s="3" t="str">
        <f>Hoja1!A514</f>
        <v>C0513</v>
      </c>
      <c r="B514" s="3" t="str">
        <f>Hoja1!B514</f>
        <v>Benjamín de Palau</v>
      </c>
      <c r="C514" s="3" t="str">
        <f>IF(COUNTA(Hoja1!A514:I514)=0,"Sí","No")</f>
        <v>No</v>
      </c>
      <c r="D514" s="3" t="str">
        <f>IF(COUNTBLANK(Hoja1!A514:I514)&gt;0,"Sí","No")</f>
        <v>No</v>
      </c>
      <c r="E514" s="3" t="str">
        <f>IF(COUNTIF(Hoja1!$A$2:$A$1000,Hoja1!A514)&gt;1,"Sí","No")</f>
        <v>No</v>
      </c>
      <c r="F514" s="3" t="str">
        <f>IF(COUNTIF(Hoja1!$G$2:$G$1000,Hoja1!G514)&gt;1,"Sí","No")</f>
        <v>No</v>
      </c>
      <c r="G514" s="3" t="str">
        <f>IF(OR(ISERROR(FIND("@",Hoja1!G514)),ISERROR(FIND(".",Hoja1!G514,FIND("@",Hoja1!G514)))),"Sí","No")</f>
        <v>No</v>
      </c>
      <c r="H514" s="3" t="str">
        <f>IF(LEN(Hoja1!F514)&lt;&gt;14,"Sí","No")</f>
        <v>No</v>
      </c>
      <c r="I514" s="3" t="str">
        <f>IF(Hoja1!C514&gt;Hoja1!H514,"Sí","No")</f>
        <v>No</v>
      </c>
      <c r="J514" s="3" t="str">
        <f>IF(SUMPRODUCT(--ISNUMBER(SEARCH({"0";"1";"2";"3";"4";"5";"6";"7";"8";"9"},Hoja1!D514)))=0,"Sí","No")</f>
        <v>No</v>
      </c>
      <c r="K514" s="3" t="str">
        <f t="shared" ref="K514:K577" si="8">IF(COUNTIF(C514:J514,"Sí")&gt;0,"Sí","No")</f>
        <v>No</v>
      </c>
    </row>
    <row r="515" spans="1:11" ht="15" customHeight="1" x14ac:dyDescent="0.3">
      <c r="A515" s="3" t="str">
        <f>Hoja1!A515</f>
        <v>C0514</v>
      </c>
      <c r="B515" s="3" t="str">
        <f>Hoja1!B515</f>
        <v>Cristina Arranz-Muro</v>
      </c>
      <c r="C515" s="3" t="str">
        <f>IF(COUNTA(Hoja1!A515:I515)=0,"Sí","No")</f>
        <v>No</v>
      </c>
      <c r="D515" s="3" t="str">
        <f>IF(COUNTBLANK(Hoja1!A515:I515)&gt;0,"Sí","No")</f>
        <v>No</v>
      </c>
      <c r="E515" s="3" t="str">
        <f>IF(COUNTIF(Hoja1!$A$2:$A$1000,Hoja1!A515)&gt;1,"Sí","No")</f>
        <v>No</v>
      </c>
      <c r="F515" s="3" t="str">
        <f>IF(COUNTIF(Hoja1!$G$2:$G$1000,Hoja1!G515)&gt;1,"Sí","No")</f>
        <v>No</v>
      </c>
      <c r="G515" s="3" t="str">
        <f>IF(OR(ISERROR(FIND("@",Hoja1!G515)),ISERROR(FIND(".",Hoja1!G515,FIND("@",Hoja1!G515)))),"Sí","No")</f>
        <v>No</v>
      </c>
      <c r="H515" s="3" t="str">
        <f>IF(LEN(Hoja1!F515)&lt;&gt;14,"Sí","No")</f>
        <v>No</v>
      </c>
      <c r="I515" s="3" t="str">
        <f>IF(Hoja1!C515&gt;Hoja1!H515,"Sí","No")</f>
        <v>No</v>
      </c>
      <c r="J515" s="3" t="str">
        <f>IF(SUMPRODUCT(--ISNUMBER(SEARCH({"0";"1";"2";"3";"4";"5";"6";"7";"8";"9"},Hoja1!D515)))=0,"Sí","No")</f>
        <v>Sí</v>
      </c>
      <c r="K515" s="3" t="str">
        <f t="shared" si="8"/>
        <v>Sí</v>
      </c>
    </row>
    <row r="516" spans="1:11" ht="15" customHeight="1" x14ac:dyDescent="0.3">
      <c r="A516" s="3" t="str">
        <f>Hoja1!A516</f>
        <v>C0515</v>
      </c>
      <c r="B516" s="3" t="str">
        <f>Hoja1!B516</f>
        <v>Lupe Pellicer Marco</v>
      </c>
      <c r="C516" s="3" t="str">
        <f>IF(COUNTA(Hoja1!A516:I516)=0,"Sí","No")</f>
        <v>No</v>
      </c>
      <c r="D516" s="3" t="str">
        <f>IF(COUNTBLANK(Hoja1!A516:I516)&gt;0,"Sí","No")</f>
        <v>No</v>
      </c>
      <c r="E516" s="3" t="str">
        <f>IF(COUNTIF(Hoja1!$A$2:$A$1000,Hoja1!A516)&gt;1,"Sí","No")</f>
        <v>No</v>
      </c>
      <c r="F516" s="3" t="str">
        <f>IF(COUNTIF(Hoja1!$G$2:$G$1000,Hoja1!G516)&gt;1,"Sí","No")</f>
        <v>No</v>
      </c>
      <c r="G516" s="3" t="str">
        <f>IF(OR(ISERROR(FIND("@",Hoja1!G516)),ISERROR(FIND(".",Hoja1!G516,FIND("@",Hoja1!G516)))),"Sí","No")</f>
        <v>No</v>
      </c>
      <c r="H516" s="3" t="str">
        <f>IF(LEN(Hoja1!F516)&lt;&gt;14,"Sí","No")</f>
        <v>No</v>
      </c>
      <c r="I516" s="3" t="str">
        <f>IF(Hoja1!C516&gt;Hoja1!H516,"Sí","No")</f>
        <v>No</v>
      </c>
      <c r="J516" s="3" t="str">
        <f>IF(SUMPRODUCT(--ISNUMBER(SEARCH({"0";"1";"2";"3";"4";"5";"6";"7";"8";"9"},Hoja1!D516)))=0,"Sí","No")</f>
        <v>No</v>
      </c>
      <c r="K516" s="3" t="str">
        <f t="shared" si="8"/>
        <v>No</v>
      </c>
    </row>
    <row r="517" spans="1:11" ht="15" customHeight="1" x14ac:dyDescent="0.3">
      <c r="A517" s="3" t="str">
        <f>Hoja1!A517</f>
        <v>C0516</v>
      </c>
      <c r="B517" s="3" t="str">
        <f>Hoja1!B517</f>
        <v>Cándida Pinedo Dalmau</v>
      </c>
      <c r="C517" s="3" t="str">
        <f>IF(COUNTA(Hoja1!A517:I517)=0,"Sí","No")</f>
        <v>No</v>
      </c>
      <c r="D517" s="3" t="str">
        <f>IF(COUNTBLANK(Hoja1!A517:I517)&gt;0,"Sí","No")</f>
        <v>No</v>
      </c>
      <c r="E517" s="3" t="str">
        <f>IF(COUNTIF(Hoja1!$A$2:$A$1000,Hoja1!A517)&gt;1,"Sí","No")</f>
        <v>No</v>
      </c>
      <c r="F517" s="3" t="str">
        <f>IF(COUNTIF(Hoja1!$G$2:$G$1000,Hoja1!G517)&gt;1,"Sí","No")</f>
        <v>No</v>
      </c>
      <c r="G517" s="3" t="str">
        <f>IF(OR(ISERROR(FIND("@",Hoja1!G517)),ISERROR(FIND(".",Hoja1!G517,FIND("@",Hoja1!G517)))),"Sí","No")</f>
        <v>No</v>
      </c>
      <c r="H517" s="3" t="str">
        <f>IF(LEN(Hoja1!F517)&lt;&gt;14,"Sí","No")</f>
        <v>No</v>
      </c>
      <c r="I517" s="3" t="str">
        <f>IF(Hoja1!C517&gt;Hoja1!H517,"Sí","No")</f>
        <v>No</v>
      </c>
      <c r="J517" s="3" t="str">
        <f>IF(SUMPRODUCT(--ISNUMBER(SEARCH({"0";"1";"2";"3";"4";"5";"6";"7";"8";"9"},Hoja1!D517)))=0,"Sí","No")</f>
        <v>No</v>
      </c>
      <c r="K517" s="3" t="str">
        <f t="shared" si="8"/>
        <v>No</v>
      </c>
    </row>
    <row r="518" spans="1:11" ht="15" customHeight="1" x14ac:dyDescent="0.3">
      <c r="A518" s="3" t="str">
        <f>Hoja1!A518</f>
        <v>C0517</v>
      </c>
      <c r="B518" s="3" t="str">
        <f>Hoja1!B518</f>
        <v>Carmelita Antón Escalona</v>
      </c>
      <c r="C518" s="3" t="str">
        <f>IF(COUNTA(Hoja1!A518:I518)=0,"Sí","No")</f>
        <v>No</v>
      </c>
      <c r="D518" s="3" t="str">
        <f>IF(COUNTBLANK(Hoja1!A518:I518)&gt;0,"Sí","No")</f>
        <v>No</v>
      </c>
      <c r="E518" s="3" t="str">
        <f>IF(COUNTIF(Hoja1!$A$2:$A$1000,Hoja1!A518)&gt;1,"Sí","No")</f>
        <v>No</v>
      </c>
      <c r="F518" s="3" t="str">
        <f>IF(COUNTIF(Hoja1!$G$2:$G$1000,Hoja1!G518)&gt;1,"Sí","No")</f>
        <v>No</v>
      </c>
      <c r="G518" s="3" t="str">
        <f>IF(OR(ISERROR(FIND("@",Hoja1!G518)),ISERROR(FIND(".",Hoja1!G518,FIND("@",Hoja1!G518)))),"Sí","No")</f>
        <v>No</v>
      </c>
      <c r="H518" s="3" t="str">
        <f>IF(LEN(Hoja1!F518)&lt;&gt;14,"Sí","No")</f>
        <v>No</v>
      </c>
      <c r="I518" s="3" t="str">
        <f>IF(Hoja1!C518&gt;Hoja1!H518,"Sí","No")</f>
        <v>No</v>
      </c>
      <c r="J518" s="3" t="str">
        <f>IF(SUMPRODUCT(--ISNUMBER(SEARCH({"0";"1";"2";"3";"4";"5";"6";"7";"8";"9"},Hoja1!D518)))=0,"Sí","No")</f>
        <v>Sí</v>
      </c>
      <c r="K518" s="3" t="str">
        <f t="shared" si="8"/>
        <v>Sí</v>
      </c>
    </row>
    <row r="519" spans="1:11" ht="15" customHeight="1" x14ac:dyDescent="0.3">
      <c r="A519" s="3" t="str">
        <f>Hoja1!A519</f>
        <v>C0518</v>
      </c>
      <c r="B519" s="3" t="str">
        <f>Hoja1!B519</f>
        <v>Felicidad Macias Vall</v>
      </c>
      <c r="C519" s="3" t="str">
        <f>IF(COUNTA(Hoja1!A519:I519)=0,"Sí","No")</f>
        <v>No</v>
      </c>
      <c r="D519" s="3" t="str">
        <f>IF(COUNTBLANK(Hoja1!A519:I519)&gt;0,"Sí","No")</f>
        <v>No</v>
      </c>
      <c r="E519" s="3" t="str">
        <f>IF(COUNTIF(Hoja1!$A$2:$A$1000,Hoja1!A519)&gt;1,"Sí","No")</f>
        <v>No</v>
      </c>
      <c r="F519" s="3" t="str">
        <f>IF(COUNTIF(Hoja1!$G$2:$G$1000,Hoja1!G519)&gt;1,"Sí","No")</f>
        <v>No</v>
      </c>
      <c r="G519" s="3" t="str">
        <f>IF(OR(ISERROR(FIND("@",Hoja1!G519)),ISERROR(FIND(".",Hoja1!G519,FIND("@",Hoja1!G519)))),"Sí","No")</f>
        <v>No</v>
      </c>
      <c r="H519" s="3" t="str">
        <f>IF(LEN(Hoja1!F519)&lt;&gt;14,"Sí","No")</f>
        <v>No</v>
      </c>
      <c r="I519" s="3" t="str">
        <f>IF(Hoja1!C519&gt;Hoja1!H519,"Sí","No")</f>
        <v>No</v>
      </c>
      <c r="J519" s="3" t="str">
        <f>IF(SUMPRODUCT(--ISNUMBER(SEARCH({"0";"1";"2";"3";"4";"5";"6";"7";"8";"9"},Hoja1!D519)))=0,"Sí","No")</f>
        <v>No</v>
      </c>
      <c r="K519" s="3" t="str">
        <f t="shared" si="8"/>
        <v>No</v>
      </c>
    </row>
    <row r="520" spans="1:11" ht="15" customHeight="1" x14ac:dyDescent="0.3">
      <c r="A520" s="3" t="str">
        <f>Hoja1!A520</f>
        <v>C0519</v>
      </c>
      <c r="B520" s="3" t="str">
        <f>Hoja1!B520</f>
        <v>Fanny Cortes Palacios</v>
      </c>
      <c r="C520" s="3" t="str">
        <f>IF(COUNTA(Hoja1!A520:I520)=0,"Sí","No")</f>
        <v>No</v>
      </c>
      <c r="D520" s="3" t="str">
        <f>IF(COUNTBLANK(Hoja1!A520:I520)&gt;0,"Sí","No")</f>
        <v>No</v>
      </c>
      <c r="E520" s="3" t="str">
        <f>IF(COUNTIF(Hoja1!$A$2:$A$1000,Hoja1!A520)&gt;1,"Sí","No")</f>
        <v>No</v>
      </c>
      <c r="F520" s="3" t="str">
        <f>IF(COUNTIF(Hoja1!$G$2:$G$1000,Hoja1!G520)&gt;1,"Sí","No")</f>
        <v>No</v>
      </c>
      <c r="G520" s="3" t="str">
        <f>IF(OR(ISERROR(FIND("@",Hoja1!G520)),ISERROR(FIND(".",Hoja1!G520,FIND("@",Hoja1!G520)))),"Sí","No")</f>
        <v>No</v>
      </c>
      <c r="H520" s="3" t="str">
        <f>IF(LEN(Hoja1!F520)&lt;&gt;14,"Sí","No")</f>
        <v>No</v>
      </c>
      <c r="I520" s="3" t="str">
        <f>IF(Hoja1!C520&gt;Hoja1!H520,"Sí","No")</f>
        <v>No</v>
      </c>
      <c r="J520" s="3" t="str">
        <f>IF(SUMPRODUCT(--ISNUMBER(SEARCH({"0";"1";"2";"3";"4";"5";"6";"7";"8";"9"},Hoja1!D520)))=0,"Sí","No")</f>
        <v>No</v>
      </c>
      <c r="K520" s="3" t="str">
        <f t="shared" si="8"/>
        <v>No</v>
      </c>
    </row>
    <row r="521" spans="1:11" ht="15" customHeight="1" x14ac:dyDescent="0.3">
      <c r="A521" s="3" t="str">
        <f>Hoja1!A521</f>
        <v>C0520</v>
      </c>
      <c r="B521" s="3" t="str">
        <f>Hoja1!B521</f>
        <v>Eusebio Barros Guardia</v>
      </c>
      <c r="C521" s="3" t="str">
        <f>IF(COUNTA(Hoja1!A521:I521)=0,"Sí","No")</f>
        <v>No</v>
      </c>
      <c r="D521" s="3" t="str">
        <f>IF(COUNTBLANK(Hoja1!A521:I521)&gt;0,"Sí","No")</f>
        <v>No</v>
      </c>
      <c r="E521" s="3" t="str">
        <f>IF(COUNTIF(Hoja1!$A$2:$A$1000,Hoja1!A521)&gt;1,"Sí","No")</f>
        <v>No</v>
      </c>
      <c r="F521" s="3" t="str">
        <f>IF(COUNTIF(Hoja1!$G$2:$G$1000,Hoja1!G521)&gt;1,"Sí","No")</f>
        <v>No</v>
      </c>
      <c r="G521" s="3" t="str">
        <f>IF(OR(ISERROR(FIND("@",Hoja1!G521)),ISERROR(FIND(".",Hoja1!G521,FIND("@",Hoja1!G521)))),"Sí","No")</f>
        <v>No</v>
      </c>
      <c r="H521" s="3" t="str">
        <f>IF(LEN(Hoja1!F521)&lt;&gt;14,"Sí","No")</f>
        <v>No</v>
      </c>
      <c r="I521" s="3" t="str">
        <f>IF(Hoja1!C521&gt;Hoja1!H521,"Sí","No")</f>
        <v>No</v>
      </c>
      <c r="J521" s="3" t="str">
        <f>IF(SUMPRODUCT(--ISNUMBER(SEARCH({"0";"1";"2";"3";"4";"5";"6";"7";"8";"9"},Hoja1!D521)))=0,"Sí","No")</f>
        <v>Sí</v>
      </c>
      <c r="K521" s="3" t="str">
        <f t="shared" si="8"/>
        <v>Sí</v>
      </c>
    </row>
    <row r="522" spans="1:11" ht="15" customHeight="1" x14ac:dyDescent="0.3">
      <c r="A522" s="3" t="str">
        <f>Hoja1!A522</f>
        <v>C0521</v>
      </c>
      <c r="B522" s="3" t="str">
        <f>Hoja1!B522</f>
        <v>Leocadio Requena-Barriga</v>
      </c>
      <c r="C522" s="3" t="str">
        <f>IF(COUNTA(Hoja1!A522:I522)=0,"Sí","No")</f>
        <v>No</v>
      </c>
      <c r="D522" s="3" t="str">
        <f>IF(COUNTBLANK(Hoja1!A522:I522)&gt;0,"Sí","No")</f>
        <v>No</v>
      </c>
      <c r="E522" s="3" t="str">
        <f>IF(COUNTIF(Hoja1!$A$2:$A$1000,Hoja1!A522)&gt;1,"Sí","No")</f>
        <v>No</v>
      </c>
      <c r="F522" s="3" t="str">
        <f>IF(COUNTIF(Hoja1!$G$2:$G$1000,Hoja1!G522)&gt;1,"Sí","No")</f>
        <v>No</v>
      </c>
      <c r="G522" s="3" t="str">
        <f>IF(OR(ISERROR(FIND("@",Hoja1!G522)),ISERROR(FIND(".",Hoja1!G522,FIND("@",Hoja1!G522)))),"Sí","No")</f>
        <v>No</v>
      </c>
      <c r="H522" s="3" t="str">
        <f>IF(LEN(Hoja1!F522)&lt;&gt;14,"Sí","No")</f>
        <v>No</v>
      </c>
      <c r="I522" s="3" t="str">
        <f>IF(Hoja1!C522&gt;Hoja1!H522,"Sí","No")</f>
        <v>No</v>
      </c>
      <c r="J522" s="3" t="str">
        <f>IF(SUMPRODUCT(--ISNUMBER(SEARCH({"0";"1";"2";"3";"4";"5";"6";"7";"8";"9"},Hoja1!D522)))=0,"Sí","No")</f>
        <v>No</v>
      </c>
      <c r="K522" s="3" t="str">
        <f t="shared" si="8"/>
        <v>No</v>
      </c>
    </row>
    <row r="523" spans="1:11" ht="15" customHeight="1" x14ac:dyDescent="0.3">
      <c r="A523" s="3" t="str">
        <f>Hoja1!A523</f>
        <v>C0522</v>
      </c>
      <c r="B523" s="3" t="str">
        <f>Hoja1!B523</f>
        <v>Abril Feijoo-Goñi</v>
      </c>
      <c r="C523" s="3" t="str">
        <f>IF(COUNTA(Hoja1!A523:I523)=0,"Sí","No")</f>
        <v>No</v>
      </c>
      <c r="D523" s="3" t="str">
        <f>IF(COUNTBLANK(Hoja1!A523:I523)&gt;0,"Sí","No")</f>
        <v>No</v>
      </c>
      <c r="E523" s="3" t="str">
        <f>IF(COUNTIF(Hoja1!$A$2:$A$1000,Hoja1!A523)&gt;1,"Sí","No")</f>
        <v>No</v>
      </c>
      <c r="F523" s="3" t="str">
        <f>IF(COUNTIF(Hoja1!$G$2:$G$1000,Hoja1!G523)&gt;1,"Sí","No")</f>
        <v>No</v>
      </c>
      <c r="G523" s="3" t="str">
        <f>IF(OR(ISERROR(FIND("@",Hoja1!G523)),ISERROR(FIND(".",Hoja1!G523,FIND("@",Hoja1!G523)))),"Sí","No")</f>
        <v>No</v>
      </c>
      <c r="H523" s="3" t="str">
        <f>IF(LEN(Hoja1!F523)&lt;&gt;14,"Sí","No")</f>
        <v>No</v>
      </c>
      <c r="I523" s="3" t="str">
        <f>IF(Hoja1!C523&gt;Hoja1!H523,"Sí","No")</f>
        <v>No</v>
      </c>
      <c r="J523" s="3" t="str">
        <f>IF(SUMPRODUCT(--ISNUMBER(SEARCH({"0";"1";"2";"3";"4";"5";"6";"7";"8";"9"},Hoja1!D523)))=0,"Sí","No")</f>
        <v>No</v>
      </c>
      <c r="K523" s="3" t="str">
        <f t="shared" si="8"/>
        <v>No</v>
      </c>
    </row>
    <row r="524" spans="1:11" ht="15" customHeight="1" x14ac:dyDescent="0.3">
      <c r="A524" s="3" t="str">
        <f>Hoja1!A524</f>
        <v>C0523</v>
      </c>
      <c r="B524" s="3" t="str">
        <f>Hoja1!B524</f>
        <v>Luciano Agustí López</v>
      </c>
      <c r="C524" s="3" t="str">
        <f>IF(COUNTA(Hoja1!A524:I524)=0,"Sí","No")</f>
        <v>No</v>
      </c>
      <c r="D524" s="3" t="str">
        <f>IF(COUNTBLANK(Hoja1!A524:I524)&gt;0,"Sí","No")</f>
        <v>No</v>
      </c>
      <c r="E524" s="3" t="str">
        <f>IF(COUNTIF(Hoja1!$A$2:$A$1000,Hoja1!A524)&gt;1,"Sí","No")</f>
        <v>No</v>
      </c>
      <c r="F524" s="3" t="str">
        <f>IF(COUNTIF(Hoja1!$G$2:$G$1000,Hoja1!G524)&gt;1,"Sí","No")</f>
        <v>No</v>
      </c>
      <c r="G524" s="3" t="str">
        <f>IF(OR(ISERROR(FIND("@",Hoja1!G524)),ISERROR(FIND(".",Hoja1!G524,FIND("@",Hoja1!G524)))),"Sí","No")</f>
        <v>No</v>
      </c>
      <c r="H524" s="3" t="str">
        <f>IF(LEN(Hoja1!F524)&lt;&gt;14,"Sí","No")</f>
        <v>No</v>
      </c>
      <c r="I524" s="3" t="str">
        <f>IF(Hoja1!C524&gt;Hoja1!H524,"Sí","No")</f>
        <v>No</v>
      </c>
      <c r="J524" s="3" t="str">
        <f>IF(SUMPRODUCT(--ISNUMBER(SEARCH({"0";"1";"2";"3";"4";"5";"6";"7";"8";"9"},Hoja1!D524)))=0,"Sí","No")</f>
        <v>Sí</v>
      </c>
      <c r="K524" s="3" t="str">
        <f t="shared" si="8"/>
        <v>Sí</v>
      </c>
    </row>
    <row r="525" spans="1:11" ht="15" customHeight="1" x14ac:dyDescent="0.3">
      <c r="A525" s="3" t="str">
        <f>Hoja1!A525</f>
        <v>C0524</v>
      </c>
      <c r="B525" s="3" t="str">
        <f>Hoja1!B525</f>
        <v>Carlos Flores Nevado</v>
      </c>
      <c r="C525" s="3" t="str">
        <f>IF(COUNTA(Hoja1!A525:I525)=0,"Sí","No")</f>
        <v>No</v>
      </c>
      <c r="D525" s="3" t="str">
        <f>IF(COUNTBLANK(Hoja1!A525:I525)&gt;0,"Sí","No")</f>
        <v>No</v>
      </c>
      <c r="E525" s="3" t="str">
        <f>IF(COUNTIF(Hoja1!$A$2:$A$1000,Hoja1!A525)&gt;1,"Sí","No")</f>
        <v>No</v>
      </c>
      <c r="F525" s="3" t="str">
        <f>IF(COUNTIF(Hoja1!$G$2:$G$1000,Hoja1!G525)&gt;1,"Sí","No")</f>
        <v>No</v>
      </c>
      <c r="G525" s="3" t="str">
        <f>IF(OR(ISERROR(FIND("@",Hoja1!G525)),ISERROR(FIND(".",Hoja1!G525,FIND("@",Hoja1!G525)))),"Sí","No")</f>
        <v>No</v>
      </c>
      <c r="H525" s="3" t="str">
        <f>IF(LEN(Hoja1!F525)&lt;&gt;14,"Sí","No")</f>
        <v>No</v>
      </c>
      <c r="I525" s="3" t="str">
        <f>IF(Hoja1!C525&gt;Hoja1!H525,"Sí","No")</f>
        <v>No</v>
      </c>
      <c r="J525" s="3" t="str">
        <f>IF(SUMPRODUCT(--ISNUMBER(SEARCH({"0";"1";"2";"3";"4";"5";"6";"7";"8";"9"},Hoja1!D525)))=0,"Sí","No")</f>
        <v>No</v>
      </c>
      <c r="K525" s="3" t="str">
        <f t="shared" si="8"/>
        <v>No</v>
      </c>
    </row>
    <row r="526" spans="1:11" ht="15" customHeight="1" x14ac:dyDescent="0.3">
      <c r="A526" s="3" t="str">
        <f>Hoja1!A526</f>
        <v>C0525</v>
      </c>
      <c r="B526" s="3" t="str">
        <f>Hoja1!B526</f>
        <v>Pastora Galán Mariño</v>
      </c>
      <c r="C526" s="3" t="str">
        <f>IF(COUNTA(Hoja1!A526:I526)=0,"Sí","No")</f>
        <v>No</v>
      </c>
      <c r="D526" s="3" t="str">
        <f>IF(COUNTBLANK(Hoja1!A526:I526)&gt;0,"Sí","No")</f>
        <v>No</v>
      </c>
      <c r="E526" s="3" t="str">
        <f>IF(COUNTIF(Hoja1!$A$2:$A$1000,Hoja1!A526)&gt;1,"Sí","No")</f>
        <v>No</v>
      </c>
      <c r="F526" s="3" t="str">
        <f>IF(COUNTIF(Hoja1!$G$2:$G$1000,Hoja1!G526)&gt;1,"Sí","No")</f>
        <v>No</v>
      </c>
      <c r="G526" s="3" t="str">
        <f>IF(OR(ISERROR(FIND("@",Hoja1!G526)),ISERROR(FIND(".",Hoja1!G526,FIND("@",Hoja1!G526)))),"Sí","No")</f>
        <v>No</v>
      </c>
      <c r="H526" s="3" t="str">
        <f>IF(LEN(Hoja1!F526)&lt;&gt;14,"Sí","No")</f>
        <v>No</v>
      </c>
      <c r="I526" s="3" t="str">
        <f>IF(Hoja1!C526&gt;Hoja1!H526,"Sí","No")</f>
        <v>No</v>
      </c>
      <c r="J526" s="3" t="str">
        <f>IF(SUMPRODUCT(--ISNUMBER(SEARCH({"0";"1";"2";"3";"4";"5";"6";"7";"8";"9"},Hoja1!D526)))=0,"Sí","No")</f>
        <v>No</v>
      </c>
      <c r="K526" s="3" t="str">
        <f t="shared" si="8"/>
        <v>No</v>
      </c>
    </row>
    <row r="527" spans="1:11" ht="15" customHeight="1" x14ac:dyDescent="0.3">
      <c r="A527" s="3" t="str">
        <f>Hoja1!A527</f>
        <v>C0526</v>
      </c>
      <c r="B527" s="3" t="str">
        <f>Hoja1!B527</f>
        <v>Corona Aitana Julián Salvà</v>
      </c>
      <c r="C527" s="3" t="str">
        <f>IF(COUNTA(Hoja1!A527:I527)=0,"Sí","No")</f>
        <v>No</v>
      </c>
      <c r="D527" s="3" t="str">
        <f>IF(COUNTBLANK(Hoja1!A527:I527)&gt;0,"Sí","No")</f>
        <v>No</v>
      </c>
      <c r="E527" s="3" t="str">
        <f>IF(COUNTIF(Hoja1!$A$2:$A$1000,Hoja1!A527)&gt;1,"Sí","No")</f>
        <v>No</v>
      </c>
      <c r="F527" s="3" t="str">
        <f>IF(COUNTIF(Hoja1!$G$2:$G$1000,Hoja1!G527)&gt;1,"Sí","No")</f>
        <v>No</v>
      </c>
      <c r="G527" s="3" t="str">
        <f>IF(OR(ISERROR(FIND("@",Hoja1!G527)),ISERROR(FIND(".",Hoja1!G527,FIND("@",Hoja1!G527)))),"Sí","No")</f>
        <v>No</v>
      </c>
      <c r="H527" s="3" t="str">
        <f>IF(LEN(Hoja1!F527)&lt;&gt;14,"Sí","No")</f>
        <v>No</v>
      </c>
      <c r="I527" s="3" t="str">
        <f>IF(Hoja1!C527&gt;Hoja1!H527,"Sí","No")</f>
        <v>No</v>
      </c>
      <c r="J527" s="3" t="str">
        <f>IF(SUMPRODUCT(--ISNUMBER(SEARCH({"0";"1";"2";"3";"4";"5";"6";"7";"8";"9"},Hoja1!D527)))=0,"Sí","No")</f>
        <v>Sí</v>
      </c>
      <c r="K527" s="3" t="str">
        <f t="shared" si="8"/>
        <v>Sí</v>
      </c>
    </row>
    <row r="528" spans="1:11" ht="15" customHeight="1" x14ac:dyDescent="0.3">
      <c r="A528" s="3" t="str">
        <f>Hoja1!A528</f>
        <v>C0527</v>
      </c>
      <c r="B528" s="3" t="str">
        <f>Hoja1!B528</f>
        <v>Jerónimo Peinado-Morales</v>
      </c>
      <c r="C528" s="3" t="str">
        <f>IF(COUNTA(Hoja1!A528:I528)=0,"Sí","No")</f>
        <v>No</v>
      </c>
      <c r="D528" s="3" t="str">
        <f>IF(COUNTBLANK(Hoja1!A528:I528)&gt;0,"Sí","No")</f>
        <v>No</v>
      </c>
      <c r="E528" s="3" t="str">
        <f>IF(COUNTIF(Hoja1!$A$2:$A$1000,Hoja1!A528)&gt;1,"Sí","No")</f>
        <v>No</v>
      </c>
      <c r="F528" s="3" t="str">
        <f>IF(COUNTIF(Hoja1!$G$2:$G$1000,Hoja1!G528)&gt;1,"Sí","No")</f>
        <v>No</v>
      </c>
      <c r="G528" s="3" t="str">
        <f>IF(OR(ISERROR(FIND("@",Hoja1!G528)),ISERROR(FIND(".",Hoja1!G528,FIND("@",Hoja1!G528)))),"Sí","No")</f>
        <v>No</v>
      </c>
      <c r="H528" s="3" t="str">
        <f>IF(LEN(Hoja1!F528)&lt;&gt;14,"Sí","No")</f>
        <v>No</v>
      </c>
      <c r="I528" s="3" t="str">
        <f>IF(Hoja1!C528&gt;Hoja1!H528,"Sí","No")</f>
        <v>No</v>
      </c>
      <c r="J528" s="3" t="str">
        <f>IF(SUMPRODUCT(--ISNUMBER(SEARCH({"0";"1";"2";"3";"4";"5";"6";"7";"8";"9"},Hoja1!D528)))=0,"Sí","No")</f>
        <v>No</v>
      </c>
      <c r="K528" s="3" t="str">
        <f t="shared" si="8"/>
        <v>No</v>
      </c>
    </row>
    <row r="529" spans="1:11" ht="15" customHeight="1" x14ac:dyDescent="0.3">
      <c r="A529" s="3" t="str">
        <f>Hoja1!A529</f>
        <v>C0528</v>
      </c>
      <c r="B529" s="3" t="str">
        <f>Hoja1!B529</f>
        <v>Nicanor García Perez</v>
      </c>
      <c r="C529" s="3" t="str">
        <f>IF(COUNTA(Hoja1!A529:I529)=0,"Sí","No")</f>
        <v>No</v>
      </c>
      <c r="D529" s="3" t="str">
        <f>IF(COUNTBLANK(Hoja1!A529:I529)&gt;0,"Sí","No")</f>
        <v>No</v>
      </c>
      <c r="E529" s="3" t="str">
        <f>IF(COUNTIF(Hoja1!$A$2:$A$1000,Hoja1!A529)&gt;1,"Sí","No")</f>
        <v>No</v>
      </c>
      <c r="F529" s="3" t="str">
        <f>IF(COUNTIF(Hoja1!$G$2:$G$1000,Hoja1!G529)&gt;1,"Sí","No")</f>
        <v>No</v>
      </c>
      <c r="G529" s="3" t="str">
        <f>IF(OR(ISERROR(FIND("@",Hoja1!G529)),ISERROR(FIND(".",Hoja1!G529,FIND("@",Hoja1!G529)))),"Sí","No")</f>
        <v>No</v>
      </c>
      <c r="H529" s="3" t="str">
        <f>IF(LEN(Hoja1!F529)&lt;&gt;14,"Sí","No")</f>
        <v>No</v>
      </c>
      <c r="I529" s="3" t="str">
        <f>IF(Hoja1!C529&gt;Hoja1!H529,"Sí","No")</f>
        <v>No</v>
      </c>
      <c r="J529" s="3" t="str">
        <f>IF(SUMPRODUCT(--ISNUMBER(SEARCH({"0";"1";"2";"3";"4";"5";"6";"7";"8";"9"},Hoja1!D529)))=0,"Sí","No")</f>
        <v>No</v>
      </c>
      <c r="K529" s="3" t="str">
        <f t="shared" si="8"/>
        <v>No</v>
      </c>
    </row>
    <row r="530" spans="1:11" ht="15" customHeight="1" x14ac:dyDescent="0.3">
      <c r="A530" s="3" t="str">
        <f>Hoja1!A530</f>
        <v>C0529</v>
      </c>
      <c r="B530" s="3" t="str">
        <f>Hoja1!B530</f>
        <v>Lisandro Guillermo Delgado Porcel</v>
      </c>
      <c r="C530" s="3" t="str">
        <f>IF(COUNTA(Hoja1!A530:I530)=0,"Sí","No")</f>
        <v>No</v>
      </c>
      <c r="D530" s="3" t="str">
        <f>IF(COUNTBLANK(Hoja1!A530:I530)&gt;0,"Sí","No")</f>
        <v>No</v>
      </c>
      <c r="E530" s="3" t="str">
        <f>IF(COUNTIF(Hoja1!$A$2:$A$1000,Hoja1!A530)&gt;1,"Sí","No")</f>
        <v>No</v>
      </c>
      <c r="F530" s="3" t="str">
        <f>IF(COUNTIF(Hoja1!$G$2:$G$1000,Hoja1!G530)&gt;1,"Sí","No")</f>
        <v>No</v>
      </c>
      <c r="G530" s="3" t="str">
        <f>IF(OR(ISERROR(FIND("@",Hoja1!G530)),ISERROR(FIND(".",Hoja1!G530,FIND("@",Hoja1!G530)))),"Sí","No")</f>
        <v>No</v>
      </c>
      <c r="H530" s="3" t="str">
        <f>IF(LEN(Hoja1!F530)&lt;&gt;14,"Sí","No")</f>
        <v>No</v>
      </c>
      <c r="I530" s="3" t="str">
        <f>IF(Hoja1!C530&gt;Hoja1!H530,"Sí","No")</f>
        <v>No</v>
      </c>
      <c r="J530" s="3" t="str">
        <f>IF(SUMPRODUCT(--ISNUMBER(SEARCH({"0";"1";"2";"3";"4";"5";"6";"7";"8";"9"},Hoja1!D530)))=0,"Sí","No")</f>
        <v>Sí</v>
      </c>
      <c r="K530" s="3" t="str">
        <f t="shared" si="8"/>
        <v>Sí</v>
      </c>
    </row>
    <row r="531" spans="1:11" ht="15" customHeight="1" x14ac:dyDescent="0.3">
      <c r="A531" s="3" t="str">
        <f>Hoja1!A531</f>
        <v>C0530</v>
      </c>
      <c r="B531" s="3" t="str">
        <f>Hoja1!B531</f>
        <v>Natanael Vallés Prieto</v>
      </c>
      <c r="C531" s="3" t="str">
        <f>IF(COUNTA(Hoja1!A531:I531)=0,"Sí","No")</f>
        <v>No</v>
      </c>
      <c r="D531" s="3" t="str">
        <f>IF(COUNTBLANK(Hoja1!A531:I531)&gt;0,"Sí","No")</f>
        <v>No</v>
      </c>
      <c r="E531" s="3" t="str">
        <f>IF(COUNTIF(Hoja1!$A$2:$A$1000,Hoja1!A531)&gt;1,"Sí","No")</f>
        <v>No</v>
      </c>
      <c r="F531" s="3" t="str">
        <f>IF(COUNTIF(Hoja1!$G$2:$G$1000,Hoja1!G531)&gt;1,"Sí","No")</f>
        <v>No</v>
      </c>
      <c r="G531" s="3" t="str">
        <f>IF(OR(ISERROR(FIND("@",Hoja1!G531)),ISERROR(FIND(".",Hoja1!G531,FIND("@",Hoja1!G531)))),"Sí","No")</f>
        <v>No</v>
      </c>
      <c r="H531" s="3" t="str">
        <f>IF(LEN(Hoja1!F531)&lt;&gt;14,"Sí","No")</f>
        <v>No</v>
      </c>
      <c r="I531" s="3" t="str">
        <f>IF(Hoja1!C531&gt;Hoja1!H531,"Sí","No")</f>
        <v>No</v>
      </c>
      <c r="J531" s="3" t="str">
        <f>IF(SUMPRODUCT(--ISNUMBER(SEARCH({"0";"1";"2";"3";"4";"5";"6";"7";"8";"9"},Hoja1!D531)))=0,"Sí","No")</f>
        <v>No</v>
      </c>
      <c r="K531" s="3" t="str">
        <f t="shared" si="8"/>
        <v>No</v>
      </c>
    </row>
    <row r="532" spans="1:11" ht="15" customHeight="1" x14ac:dyDescent="0.3">
      <c r="A532" s="3" t="str">
        <f>Hoja1!A532</f>
        <v>C0531</v>
      </c>
      <c r="B532" s="3" t="str">
        <f>Hoja1!B532</f>
        <v>Xiomara Sáenz Batalla</v>
      </c>
      <c r="C532" s="3" t="str">
        <f>IF(COUNTA(Hoja1!A532:I532)=0,"Sí","No")</f>
        <v>No</v>
      </c>
      <c r="D532" s="3" t="str">
        <f>IF(COUNTBLANK(Hoja1!A532:I532)&gt;0,"Sí","No")</f>
        <v>No</v>
      </c>
      <c r="E532" s="3" t="str">
        <f>IF(COUNTIF(Hoja1!$A$2:$A$1000,Hoja1!A532)&gt;1,"Sí","No")</f>
        <v>No</v>
      </c>
      <c r="F532" s="3" t="str">
        <f>IF(COUNTIF(Hoja1!$G$2:$G$1000,Hoja1!G532)&gt;1,"Sí","No")</f>
        <v>No</v>
      </c>
      <c r="G532" s="3" t="str">
        <f>IF(OR(ISERROR(FIND("@",Hoja1!G532)),ISERROR(FIND(".",Hoja1!G532,FIND("@",Hoja1!G532)))),"Sí","No")</f>
        <v>No</v>
      </c>
      <c r="H532" s="3" t="str">
        <f>IF(LEN(Hoja1!F532)&lt;&gt;14,"Sí","No")</f>
        <v>No</v>
      </c>
      <c r="I532" s="3" t="str">
        <f>IF(Hoja1!C532&gt;Hoja1!H532,"Sí","No")</f>
        <v>No</v>
      </c>
      <c r="J532" s="3" t="str">
        <f>IF(SUMPRODUCT(--ISNUMBER(SEARCH({"0";"1";"2";"3";"4";"5";"6";"7";"8";"9"},Hoja1!D532)))=0,"Sí","No")</f>
        <v>No</v>
      </c>
      <c r="K532" s="3" t="str">
        <f t="shared" si="8"/>
        <v>No</v>
      </c>
    </row>
    <row r="533" spans="1:11" ht="15" customHeight="1" x14ac:dyDescent="0.3">
      <c r="A533" s="3" t="str">
        <f>Hoja1!A533</f>
        <v>C0532</v>
      </c>
      <c r="B533" s="3" t="str">
        <f>Hoja1!B533</f>
        <v>Santos Zurita Barrio</v>
      </c>
      <c r="C533" s="3" t="str">
        <f>IF(COUNTA(Hoja1!A533:I533)=0,"Sí","No")</f>
        <v>No</v>
      </c>
      <c r="D533" s="3" t="str">
        <f>IF(COUNTBLANK(Hoja1!A533:I533)&gt;0,"Sí","No")</f>
        <v>No</v>
      </c>
      <c r="E533" s="3" t="str">
        <f>IF(COUNTIF(Hoja1!$A$2:$A$1000,Hoja1!A533)&gt;1,"Sí","No")</f>
        <v>No</v>
      </c>
      <c r="F533" s="3" t="str">
        <f>IF(COUNTIF(Hoja1!$G$2:$G$1000,Hoja1!G533)&gt;1,"Sí","No")</f>
        <v>No</v>
      </c>
      <c r="G533" s="3" t="str">
        <f>IF(OR(ISERROR(FIND("@",Hoja1!G533)),ISERROR(FIND(".",Hoja1!G533,FIND("@",Hoja1!G533)))),"Sí","No")</f>
        <v>No</v>
      </c>
      <c r="H533" s="3" t="str">
        <f>IF(LEN(Hoja1!F533)&lt;&gt;14,"Sí","No")</f>
        <v>No</v>
      </c>
      <c r="I533" s="3" t="str">
        <f>IF(Hoja1!C533&gt;Hoja1!H533,"Sí","No")</f>
        <v>No</v>
      </c>
      <c r="J533" s="3" t="str">
        <f>IF(SUMPRODUCT(--ISNUMBER(SEARCH({"0";"1";"2";"3";"4";"5";"6";"7";"8";"9"},Hoja1!D533)))=0,"Sí","No")</f>
        <v>Sí</v>
      </c>
      <c r="K533" s="3" t="str">
        <f t="shared" si="8"/>
        <v>Sí</v>
      </c>
    </row>
    <row r="534" spans="1:11" ht="15" customHeight="1" x14ac:dyDescent="0.3">
      <c r="A534" s="3" t="str">
        <f>Hoja1!A534</f>
        <v>C0533</v>
      </c>
      <c r="B534" s="3" t="str">
        <f>Hoja1!B534</f>
        <v>Isidro Rozas Gámez</v>
      </c>
      <c r="C534" s="3" t="str">
        <f>IF(COUNTA(Hoja1!A534:I534)=0,"Sí","No")</f>
        <v>No</v>
      </c>
      <c r="D534" s="3" t="str">
        <f>IF(COUNTBLANK(Hoja1!A534:I534)&gt;0,"Sí","No")</f>
        <v>No</v>
      </c>
      <c r="E534" s="3" t="str">
        <f>IF(COUNTIF(Hoja1!$A$2:$A$1000,Hoja1!A534)&gt;1,"Sí","No")</f>
        <v>No</v>
      </c>
      <c r="F534" s="3" t="str">
        <f>IF(COUNTIF(Hoja1!$G$2:$G$1000,Hoja1!G534)&gt;1,"Sí","No")</f>
        <v>No</v>
      </c>
      <c r="G534" s="3" t="str">
        <f>IF(OR(ISERROR(FIND("@",Hoja1!G534)),ISERROR(FIND(".",Hoja1!G534,FIND("@",Hoja1!G534)))),"Sí","No")</f>
        <v>No</v>
      </c>
      <c r="H534" s="3" t="str">
        <f>IF(LEN(Hoja1!F534)&lt;&gt;14,"Sí","No")</f>
        <v>No</v>
      </c>
      <c r="I534" s="3" t="str">
        <f>IF(Hoja1!C534&gt;Hoja1!H534,"Sí","No")</f>
        <v>No</v>
      </c>
      <c r="J534" s="3" t="str">
        <f>IF(SUMPRODUCT(--ISNUMBER(SEARCH({"0";"1";"2";"3";"4";"5";"6";"7";"8";"9"},Hoja1!D534)))=0,"Sí","No")</f>
        <v>No</v>
      </c>
      <c r="K534" s="3" t="str">
        <f t="shared" si="8"/>
        <v>No</v>
      </c>
    </row>
    <row r="535" spans="1:11" ht="15" customHeight="1" x14ac:dyDescent="0.3">
      <c r="A535" s="3" t="str">
        <f>Hoja1!A535</f>
        <v>C0534</v>
      </c>
      <c r="B535" s="3" t="str">
        <f>Hoja1!B535</f>
        <v>Patricia Raquel Carnero Agullo</v>
      </c>
      <c r="C535" s="3" t="str">
        <f>IF(COUNTA(Hoja1!A535:I535)=0,"Sí","No")</f>
        <v>No</v>
      </c>
      <c r="D535" s="3" t="str">
        <f>IF(COUNTBLANK(Hoja1!A535:I535)&gt;0,"Sí","No")</f>
        <v>No</v>
      </c>
      <c r="E535" s="3" t="str">
        <f>IF(COUNTIF(Hoja1!$A$2:$A$1000,Hoja1!A535)&gt;1,"Sí","No")</f>
        <v>No</v>
      </c>
      <c r="F535" s="3" t="str">
        <f>IF(COUNTIF(Hoja1!$G$2:$G$1000,Hoja1!G535)&gt;1,"Sí","No")</f>
        <v>No</v>
      </c>
      <c r="G535" s="3" t="str">
        <f>IF(OR(ISERROR(FIND("@",Hoja1!G535)),ISERROR(FIND(".",Hoja1!G535,FIND("@",Hoja1!G535)))),"Sí","No")</f>
        <v>No</v>
      </c>
      <c r="H535" s="3" t="str">
        <f>IF(LEN(Hoja1!F535)&lt;&gt;14,"Sí","No")</f>
        <v>No</v>
      </c>
      <c r="I535" s="3" t="str">
        <f>IF(Hoja1!C535&gt;Hoja1!H535,"Sí","No")</f>
        <v>No</v>
      </c>
      <c r="J535" s="3" t="str">
        <f>IF(SUMPRODUCT(--ISNUMBER(SEARCH({"0";"1";"2";"3";"4";"5";"6";"7";"8";"9"},Hoja1!D535)))=0,"Sí","No")</f>
        <v>No</v>
      </c>
      <c r="K535" s="3" t="str">
        <f t="shared" si="8"/>
        <v>No</v>
      </c>
    </row>
    <row r="536" spans="1:11" ht="15" customHeight="1" x14ac:dyDescent="0.3">
      <c r="A536" s="3" t="str">
        <f>Hoja1!A536</f>
        <v>C0535</v>
      </c>
      <c r="B536" s="3" t="str">
        <f>Hoja1!B536</f>
        <v>Patricio Alberola Sandoval</v>
      </c>
      <c r="C536" s="3" t="str">
        <f>IF(COUNTA(Hoja1!A536:I536)=0,"Sí","No")</f>
        <v>No</v>
      </c>
      <c r="D536" s="3" t="str">
        <f>IF(COUNTBLANK(Hoja1!A536:I536)&gt;0,"Sí","No")</f>
        <v>No</v>
      </c>
      <c r="E536" s="3" t="str">
        <f>IF(COUNTIF(Hoja1!$A$2:$A$1000,Hoja1!A536)&gt;1,"Sí","No")</f>
        <v>No</v>
      </c>
      <c r="F536" s="3" t="str">
        <f>IF(COUNTIF(Hoja1!$G$2:$G$1000,Hoja1!G536)&gt;1,"Sí","No")</f>
        <v>No</v>
      </c>
      <c r="G536" s="3" t="str">
        <f>IF(OR(ISERROR(FIND("@",Hoja1!G536)),ISERROR(FIND(".",Hoja1!G536,FIND("@",Hoja1!G536)))),"Sí","No")</f>
        <v>No</v>
      </c>
      <c r="H536" s="3" t="str">
        <f>IF(LEN(Hoja1!F536)&lt;&gt;14,"Sí","No")</f>
        <v>No</v>
      </c>
      <c r="I536" s="3" t="str">
        <f>IF(Hoja1!C536&gt;Hoja1!H536,"Sí","No")</f>
        <v>No</v>
      </c>
      <c r="J536" s="3" t="str">
        <f>IF(SUMPRODUCT(--ISNUMBER(SEARCH({"0";"1";"2";"3";"4";"5";"6";"7";"8";"9"},Hoja1!D536)))=0,"Sí","No")</f>
        <v>Sí</v>
      </c>
      <c r="K536" s="3" t="str">
        <f t="shared" si="8"/>
        <v>Sí</v>
      </c>
    </row>
    <row r="537" spans="1:11" ht="15" customHeight="1" x14ac:dyDescent="0.3">
      <c r="A537" s="3" t="str">
        <f>Hoja1!A537</f>
        <v>C0536</v>
      </c>
      <c r="B537" s="3" t="str">
        <f>Hoja1!B537</f>
        <v>Bibiana Barrio</v>
      </c>
      <c r="C537" s="3" t="str">
        <f>IF(COUNTA(Hoja1!A537:I537)=0,"Sí","No")</f>
        <v>No</v>
      </c>
      <c r="D537" s="3" t="str">
        <f>IF(COUNTBLANK(Hoja1!A537:I537)&gt;0,"Sí","No")</f>
        <v>No</v>
      </c>
      <c r="E537" s="3" t="str">
        <f>IF(COUNTIF(Hoja1!$A$2:$A$1000,Hoja1!A537)&gt;1,"Sí","No")</f>
        <v>No</v>
      </c>
      <c r="F537" s="3" t="str">
        <f>IF(COUNTIF(Hoja1!$G$2:$G$1000,Hoja1!G537)&gt;1,"Sí","No")</f>
        <v>No</v>
      </c>
      <c r="G537" s="3" t="str">
        <f>IF(OR(ISERROR(FIND("@",Hoja1!G537)),ISERROR(FIND(".",Hoja1!G537,FIND("@",Hoja1!G537)))),"Sí","No")</f>
        <v>No</v>
      </c>
      <c r="H537" s="3" t="str">
        <f>IF(LEN(Hoja1!F537)&lt;&gt;14,"Sí","No")</f>
        <v>No</v>
      </c>
      <c r="I537" s="3" t="str">
        <f>IF(Hoja1!C537&gt;Hoja1!H537,"Sí","No")</f>
        <v>No</v>
      </c>
      <c r="J537" s="3" t="str">
        <f>IF(SUMPRODUCT(--ISNUMBER(SEARCH({"0";"1";"2";"3";"4";"5";"6";"7";"8";"9"},Hoja1!D537)))=0,"Sí","No")</f>
        <v>No</v>
      </c>
      <c r="K537" s="3" t="str">
        <f t="shared" si="8"/>
        <v>No</v>
      </c>
    </row>
    <row r="538" spans="1:11" ht="15" customHeight="1" x14ac:dyDescent="0.3">
      <c r="A538" s="3" t="str">
        <f>Hoja1!A538</f>
        <v>C0537</v>
      </c>
      <c r="B538" s="3" t="str">
        <f>Hoja1!B538</f>
        <v>Lucila del Coronado</v>
      </c>
      <c r="C538" s="3" t="str">
        <f>IF(COUNTA(Hoja1!A538:I538)=0,"Sí","No")</f>
        <v>No</v>
      </c>
      <c r="D538" s="3" t="str">
        <f>IF(COUNTBLANK(Hoja1!A538:I538)&gt;0,"Sí","No")</f>
        <v>No</v>
      </c>
      <c r="E538" s="3" t="str">
        <f>IF(COUNTIF(Hoja1!$A$2:$A$1000,Hoja1!A538)&gt;1,"Sí","No")</f>
        <v>No</v>
      </c>
      <c r="F538" s="3" t="str">
        <f>IF(COUNTIF(Hoja1!$G$2:$G$1000,Hoja1!G538)&gt;1,"Sí","No")</f>
        <v>No</v>
      </c>
      <c r="G538" s="3" t="str">
        <f>IF(OR(ISERROR(FIND("@",Hoja1!G538)),ISERROR(FIND(".",Hoja1!G538,FIND("@",Hoja1!G538)))),"Sí","No")</f>
        <v>No</v>
      </c>
      <c r="H538" s="3" t="str">
        <f>IF(LEN(Hoja1!F538)&lt;&gt;14,"Sí","No")</f>
        <v>No</v>
      </c>
      <c r="I538" s="3" t="str">
        <f>IF(Hoja1!C538&gt;Hoja1!H538,"Sí","No")</f>
        <v>No</v>
      </c>
      <c r="J538" s="3" t="str">
        <f>IF(SUMPRODUCT(--ISNUMBER(SEARCH({"0";"1";"2";"3";"4";"5";"6";"7";"8";"9"},Hoja1!D538)))=0,"Sí","No")</f>
        <v>No</v>
      </c>
      <c r="K538" s="3" t="str">
        <f t="shared" si="8"/>
        <v>No</v>
      </c>
    </row>
    <row r="539" spans="1:11" ht="15" customHeight="1" x14ac:dyDescent="0.3">
      <c r="A539" s="3" t="str">
        <f>Hoja1!A539</f>
        <v>C0538</v>
      </c>
      <c r="B539" s="3" t="str">
        <f>Hoja1!B539</f>
        <v>Danilo Matas Vicente</v>
      </c>
      <c r="C539" s="3" t="str">
        <f>IF(COUNTA(Hoja1!A539:I539)=0,"Sí","No")</f>
        <v>No</v>
      </c>
      <c r="D539" s="3" t="str">
        <f>IF(COUNTBLANK(Hoja1!A539:I539)&gt;0,"Sí","No")</f>
        <v>No</v>
      </c>
      <c r="E539" s="3" t="str">
        <f>IF(COUNTIF(Hoja1!$A$2:$A$1000,Hoja1!A539)&gt;1,"Sí","No")</f>
        <v>No</v>
      </c>
      <c r="F539" s="3" t="str">
        <f>IF(COUNTIF(Hoja1!$G$2:$G$1000,Hoja1!G539)&gt;1,"Sí","No")</f>
        <v>No</v>
      </c>
      <c r="G539" s="3" t="str">
        <f>IF(OR(ISERROR(FIND("@",Hoja1!G539)),ISERROR(FIND(".",Hoja1!G539,FIND("@",Hoja1!G539)))),"Sí","No")</f>
        <v>No</v>
      </c>
      <c r="H539" s="3" t="str">
        <f>IF(LEN(Hoja1!F539)&lt;&gt;14,"Sí","No")</f>
        <v>No</v>
      </c>
      <c r="I539" s="3" t="str">
        <f>IF(Hoja1!C539&gt;Hoja1!H539,"Sí","No")</f>
        <v>No</v>
      </c>
      <c r="J539" s="3" t="str">
        <f>IF(SUMPRODUCT(--ISNUMBER(SEARCH({"0";"1";"2";"3";"4";"5";"6";"7";"8";"9"},Hoja1!D539)))=0,"Sí","No")</f>
        <v>Sí</v>
      </c>
      <c r="K539" s="3" t="str">
        <f t="shared" si="8"/>
        <v>Sí</v>
      </c>
    </row>
    <row r="540" spans="1:11" ht="15" customHeight="1" x14ac:dyDescent="0.3">
      <c r="A540" s="3" t="str">
        <f>Hoja1!A540</f>
        <v>C0539</v>
      </c>
      <c r="B540" s="3" t="str">
        <f>Hoja1!B540</f>
        <v>Duilio Lucas Feliu</v>
      </c>
      <c r="C540" s="3" t="str">
        <f>IF(COUNTA(Hoja1!A540:I540)=0,"Sí","No")</f>
        <v>No</v>
      </c>
      <c r="D540" s="3" t="str">
        <f>IF(COUNTBLANK(Hoja1!A540:I540)&gt;0,"Sí","No")</f>
        <v>No</v>
      </c>
      <c r="E540" s="3" t="str">
        <f>IF(COUNTIF(Hoja1!$A$2:$A$1000,Hoja1!A540)&gt;1,"Sí","No")</f>
        <v>No</v>
      </c>
      <c r="F540" s="3" t="str">
        <f>IF(COUNTIF(Hoja1!$G$2:$G$1000,Hoja1!G540)&gt;1,"Sí","No")</f>
        <v>No</v>
      </c>
      <c r="G540" s="3" t="str">
        <f>IF(OR(ISERROR(FIND("@",Hoja1!G540)),ISERROR(FIND(".",Hoja1!G540,FIND("@",Hoja1!G540)))),"Sí","No")</f>
        <v>No</v>
      </c>
      <c r="H540" s="3" t="str">
        <f>IF(LEN(Hoja1!F540)&lt;&gt;14,"Sí","No")</f>
        <v>No</v>
      </c>
      <c r="I540" s="3" t="str">
        <f>IF(Hoja1!C540&gt;Hoja1!H540,"Sí","No")</f>
        <v>No</v>
      </c>
      <c r="J540" s="3" t="str">
        <f>IF(SUMPRODUCT(--ISNUMBER(SEARCH({"0";"1";"2";"3";"4";"5";"6";"7";"8";"9"},Hoja1!D540)))=0,"Sí","No")</f>
        <v>No</v>
      </c>
      <c r="K540" s="3" t="str">
        <f t="shared" si="8"/>
        <v>No</v>
      </c>
    </row>
    <row r="541" spans="1:11" ht="15" customHeight="1" x14ac:dyDescent="0.3">
      <c r="A541" s="3" t="str">
        <f>Hoja1!A541</f>
        <v>C0540</v>
      </c>
      <c r="B541" s="3" t="str">
        <f>Hoja1!B541</f>
        <v>José Reyes Leal</v>
      </c>
      <c r="C541" s="3" t="str">
        <f>IF(COUNTA(Hoja1!A541:I541)=0,"Sí","No")</f>
        <v>No</v>
      </c>
      <c r="D541" s="3" t="str">
        <f>IF(COUNTBLANK(Hoja1!A541:I541)&gt;0,"Sí","No")</f>
        <v>No</v>
      </c>
      <c r="E541" s="3" t="str">
        <f>IF(COUNTIF(Hoja1!$A$2:$A$1000,Hoja1!A541)&gt;1,"Sí","No")</f>
        <v>No</v>
      </c>
      <c r="F541" s="3" t="str">
        <f>IF(COUNTIF(Hoja1!$G$2:$G$1000,Hoja1!G541)&gt;1,"Sí","No")</f>
        <v>No</v>
      </c>
      <c r="G541" s="3" t="str">
        <f>IF(OR(ISERROR(FIND("@",Hoja1!G541)),ISERROR(FIND(".",Hoja1!G541,FIND("@",Hoja1!G541)))),"Sí","No")</f>
        <v>No</v>
      </c>
      <c r="H541" s="3" t="str">
        <f>IF(LEN(Hoja1!F541)&lt;&gt;14,"Sí","No")</f>
        <v>No</v>
      </c>
      <c r="I541" s="3" t="str">
        <f>IF(Hoja1!C541&gt;Hoja1!H541,"Sí","No")</f>
        <v>No</v>
      </c>
      <c r="J541" s="3" t="str">
        <f>IF(SUMPRODUCT(--ISNUMBER(SEARCH({"0";"1";"2";"3";"4";"5";"6";"7";"8";"9"},Hoja1!D541)))=0,"Sí","No")</f>
        <v>No</v>
      </c>
      <c r="K541" s="3" t="str">
        <f t="shared" si="8"/>
        <v>No</v>
      </c>
    </row>
    <row r="542" spans="1:11" ht="15" customHeight="1" x14ac:dyDescent="0.3">
      <c r="A542" s="3" t="str">
        <f>Hoja1!A542</f>
        <v>C0541</v>
      </c>
      <c r="B542" s="3" t="str">
        <f>Hoja1!B542</f>
        <v>Nicolás Pascual Gabaldón Paniagua</v>
      </c>
      <c r="C542" s="3" t="str">
        <f>IF(COUNTA(Hoja1!A542:I542)=0,"Sí","No")</f>
        <v>No</v>
      </c>
      <c r="D542" s="3" t="str">
        <f>IF(COUNTBLANK(Hoja1!A542:I542)&gt;0,"Sí","No")</f>
        <v>No</v>
      </c>
      <c r="E542" s="3" t="str">
        <f>IF(COUNTIF(Hoja1!$A$2:$A$1000,Hoja1!A542)&gt;1,"Sí","No")</f>
        <v>No</v>
      </c>
      <c r="F542" s="3" t="str">
        <f>IF(COUNTIF(Hoja1!$G$2:$G$1000,Hoja1!G542)&gt;1,"Sí","No")</f>
        <v>No</v>
      </c>
      <c r="G542" s="3" t="str">
        <f>IF(OR(ISERROR(FIND("@",Hoja1!G542)),ISERROR(FIND(".",Hoja1!G542,FIND("@",Hoja1!G542)))),"Sí","No")</f>
        <v>No</v>
      </c>
      <c r="H542" s="3" t="str">
        <f>IF(LEN(Hoja1!F542)&lt;&gt;14,"Sí","No")</f>
        <v>No</v>
      </c>
      <c r="I542" s="3" t="str">
        <f>IF(Hoja1!C542&gt;Hoja1!H542,"Sí","No")</f>
        <v>No</v>
      </c>
      <c r="J542" s="3" t="str">
        <f>IF(SUMPRODUCT(--ISNUMBER(SEARCH({"0";"1";"2";"3";"4";"5";"6";"7";"8";"9"},Hoja1!D542)))=0,"Sí","No")</f>
        <v>Sí</v>
      </c>
      <c r="K542" s="3" t="str">
        <f t="shared" si="8"/>
        <v>Sí</v>
      </c>
    </row>
    <row r="543" spans="1:11" ht="15" customHeight="1" x14ac:dyDescent="0.3">
      <c r="A543" s="3" t="str">
        <f>Hoja1!A543</f>
        <v>C0542</v>
      </c>
      <c r="B543" s="3" t="str">
        <f>Hoja1!B543</f>
        <v>Gonzalo Barberá Gimeno</v>
      </c>
      <c r="C543" s="3" t="str">
        <f>IF(COUNTA(Hoja1!A543:I543)=0,"Sí","No")</f>
        <v>No</v>
      </c>
      <c r="D543" s="3" t="str">
        <f>IF(COUNTBLANK(Hoja1!A543:I543)&gt;0,"Sí","No")</f>
        <v>No</v>
      </c>
      <c r="E543" s="3" t="str">
        <f>IF(COUNTIF(Hoja1!$A$2:$A$1000,Hoja1!A543)&gt;1,"Sí","No")</f>
        <v>No</v>
      </c>
      <c r="F543" s="3" t="str">
        <f>IF(COUNTIF(Hoja1!$G$2:$G$1000,Hoja1!G543)&gt;1,"Sí","No")</f>
        <v>No</v>
      </c>
      <c r="G543" s="3" t="str">
        <f>IF(OR(ISERROR(FIND("@",Hoja1!G543)),ISERROR(FIND(".",Hoja1!G543,FIND("@",Hoja1!G543)))),"Sí","No")</f>
        <v>No</v>
      </c>
      <c r="H543" s="3" t="str">
        <f>IF(LEN(Hoja1!F543)&lt;&gt;14,"Sí","No")</f>
        <v>No</v>
      </c>
      <c r="I543" s="3" t="str">
        <f>IF(Hoja1!C543&gt;Hoja1!H543,"Sí","No")</f>
        <v>No</v>
      </c>
      <c r="J543" s="3" t="str">
        <f>IF(SUMPRODUCT(--ISNUMBER(SEARCH({"0";"1";"2";"3";"4";"5";"6";"7";"8";"9"},Hoja1!D543)))=0,"Sí","No")</f>
        <v>No</v>
      </c>
      <c r="K543" s="3" t="str">
        <f t="shared" si="8"/>
        <v>No</v>
      </c>
    </row>
    <row r="544" spans="1:11" ht="15" customHeight="1" x14ac:dyDescent="0.3">
      <c r="A544" s="3" t="str">
        <f>Hoja1!A544</f>
        <v>C0543</v>
      </c>
      <c r="B544" s="3" t="str">
        <f>Hoja1!B544</f>
        <v>Marco Sanchez Yuste</v>
      </c>
      <c r="C544" s="3" t="str">
        <f>IF(COUNTA(Hoja1!A544:I544)=0,"Sí","No")</f>
        <v>No</v>
      </c>
      <c r="D544" s="3" t="str">
        <f>IF(COUNTBLANK(Hoja1!A544:I544)&gt;0,"Sí","No")</f>
        <v>No</v>
      </c>
      <c r="E544" s="3" t="str">
        <f>IF(COUNTIF(Hoja1!$A$2:$A$1000,Hoja1!A544)&gt;1,"Sí","No")</f>
        <v>No</v>
      </c>
      <c r="F544" s="3" t="str">
        <f>IF(COUNTIF(Hoja1!$G$2:$G$1000,Hoja1!G544)&gt;1,"Sí","No")</f>
        <v>No</v>
      </c>
      <c r="G544" s="3" t="str">
        <f>IF(OR(ISERROR(FIND("@",Hoja1!G544)),ISERROR(FIND(".",Hoja1!G544,FIND("@",Hoja1!G544)))),"Sí","No")</f>
        <v>No</v>
      </c>
      <c r="H544" s="3" t="str">
        <f>IF(LEN(Hoja1!F544)&lt;&gt;14,"Sí","No")</f>
        <v>No</v>
      </c>
      <c r="I544" s="3" t="str">
        <f>IF(Hoja1!C544&gt;Hoja1!H544,"Sí","No")</f>
        <v>No</v>
      </c>
      <c r="J544" s="3" t="str">
        <f>IF(SUMPRODUCT(--ISNUMBER(SEARCH({"0";"1";"2";"3";"4";"5";"6";"7";"8";"9"},Hoja1!D544)))=0,"Sí","No")</f>
        <v>No</v>
      </c>
      <c r="K544" s="3" t="str">
        <f t="shared" si="8"/>
        <v>No</v>
      </c>
    </row>
    <row r="545" spans="1:11" ht="15" customHeight="1" x14ac:dyDescent="0.3">
      <c r="A545" s="3" t="str">
        <f>Hoja1!A545</f>
        <v>C0544</v>
      </c>
      <c r="B545" s="3" t="str">
        <f>Hoja1!B545</f>
        <v>Alejandra Olivera</v>
      </c>
      <c r="C545" s="3" t="str">
        <f>IF(COUNTA(Hoja1!A545:I545)=0,"Sí","No")</f>
        <v>No</v>
      </c>
      <c r="D545" s="3" t="str">
        <f>IF(COUNTBLANK(Hoja1!A545:I545)&gt;0,"Sí","No")</f>
        <v>No</v>
      </c>
      <c r="E545" s="3" t="str">
        <f>IF(COUNTIF(Hoja1!$A$2:$A$1000,Hoja1!A545)&gt;1,"Sí","No")</f>
        <v>No</v>
      </c>
      <c r="F545" s="3" t="str">
        <f>IF(COUNTIF(Hoja1!$G$2:$G$1000,Hoja1!G545)&gt;1,"Sí","No")</f>
        <v>No</v>
      </c>
      <c r="G545" s="3" t="str">
        <f>IF(OR(ISERROR(FIND("@",Hoja1!G545)),ISERROR(FIND(".",Hoja1!G545,FIND("@",Hoja1!G545)))),"Sí","No")</f>
        <v>No</v>
      </c>
      <c r="H545" s="3" t="str">
        <f>IF(LEN(Hoja1!F545)&lt;&gt;14,"Sí","No")</f>
        <v>No</v>
      </c>
      <c r="I545" s="3" t="str">
        <f>IF(Hoja1!C545&gt;Hoja1!H545,"Sí","No")</f>
        <v>No</v>
      </c>
      <c r="J545" s="3" t="str">
        <f>IF(SUMPRODUCT(--ISNUMBER(SEARCH({"0";"1";"2";"3";"4";"5";"6";"7";"8";"9"},Hoja1!D545)))=0,"Sí","No")</f>
        <v>Sí</v>
      </c>
      <c r="K545" s="3" t="str">
        <f t="shared" si="8"/>
        <v>Sí</v>
      </c>
    </row>
    <row r="546" spans="1:11" ht="15" customHeight="1" x14ac:dyDescent="0.3">
      <c r="A546" s="3" t="str">
        <f>Hoja1!A546</f>
        <v>C0545</v>
      </c>
      <c r="B546" s="3" t="str">
        <f>Hoja1!B546</f>
        <v>Sandra Leiva Planas</v>
      </c>
      <c r="C546" s="3" t="str">
        <f>IF(COUNTA(Hoja1!A546:I546)=0,"Sí","No")</f>
        <v>No</v>
      </c>
      <c r="D546" s="3" t="str">
        <f>IF(COUNTBLANK(Hoja1!A546:I546)&gt;0,"Sí","No")</f>
        <v>No</v>
      </c>
      <c r="E546" s="3" t="str">
        <f>IF(COUNTIF(Hoja1!$A$2:$A$1000,Hoja1!A546)&gt;1,"Sí","No")</f>
        <v>No</v>
      </c>
      <c r="F546" s="3" t="str">
        <f>IF(COUNTIF(Hoja1!$G$2:$G$1000,Hoja1!G546)&gt;1,"Sí","No")</f>
        <v>No</v>
      </c>
      <c r="G546" s="3" t="str">
        <f>IF(OR(ISERROR(FIND("@",Hoja1!G546)),ISERROR(FIND(".",Hoja1!G546,FIND("@",Hoja1!G546)))),"Sí","No")</f>
        <v>No</v>
      </c>
      <c r="H546" s="3" t="str">
        <f>IF(LEN(Hoja1!F546)&lt;&gt;14,"Sí","No")</f>
        <v>No</v>
      </c>
      <c r="I546" s="3" t="str">
        <f>IF(Hoja1!C546&gt;Hoja1!H546,"Sí","No")</f>
        <v>No</v>
      </c>
      <c r="J546" s="3" t="str">
        <f>IF(SUMPRODUCT(--ISNUMBER(SEARCH({"0";"1";"2";"3";"4";"5";"6";"7";"8";"9"},Hoja1!D546)))=0,"Sí","No")</f>
        <v>No</v>
      </c>
      <c r="K546" s="3" t="str">
        <f t="shared" si="8"/>
        <v>No</v>
      </c>
    </row>
    <row r="547" spans="1:11" ht="15" customHeight="1" x14ac:dyDescent="0.3">
      <c r="A547" s="3" t="str">
        <f>Hoja1!A547</f>
        <v>C0546</v>
      </c>
      <c r="B547" s="3" t="str">
        <f>Hoja1!B547</f>
        <v>Sigfrido Urrutia Vargas</v>
      </c>
      <c r="C547" s="3" t="str">
        <f>IF(COUNTA(Hoja1!A547:I547)=0,"Sí","No")</f>
        <v>No</v>
      </c>
      <c r="D547" s="3" t="str">
        <f>IF(COUNTBLANK(Hoja1!A547:I547)&gt;0,"Sí","No")</f>
        <v>No</v>
      </c>
      <c r="E547" s="3" t="str">
        <f>IF(COUNTIF(Hoja1!$A$2:$A$1000,Hoja1!A547)&gt;1,"Sí","No")</f>
        <v>No</v>
      </c>
      <c r="F547" s="3" t="str">
        <f>IF(COUNTIF(Hoja1!$G$2:$G$1000,Hoja1!G547)&gt;1,"Sí","No")</f>
        <v>No</v>
      </c>
      <c r="G547" s="3" t="str">
        <f>IF(OR(ISERROR(FIND("@",Hoja1!G547)),ISERROR(FIND(".",Hoja1!G547,FIND("@",Hoja1!G547)))),"Sí","No")</f>
        <v>No</v>
      </c>
      <c r="H547" s="3" t="str">
        <f>IF(LEN(Hoja1!F547)&lt;&gt;14,"Sí","No")</f>
        <v>No</v>
      </c>
      <c r="I547" s="3" t="str">
        <f>IF(Hoja1!C547&gt;Hoja1!H547,"Sí","No")</f>
        <v>No</v>
      </c>
      <c r="J547" s="3" t="str">
        <f>IF(SUMPRODUCT(--ISNUMBER(SEARCH({"0";"1";"2";"3";"4";"5";"6";"7";"8";"9"},Hoja1!D547)))=0,"Sí","No")</f>
        <v>No</v>
      </c>
      <c r="K547" s="3" t="str">
        <f t="shared" si="8"/>
        <v>No</v>
      </c>
    </row>
    <row r="548" spans="1:11" ht="15" customHeight="1" x14ac:dyDescent="0.3">
      <c r="A548" s="3" t="str">
        <f>Hoja1!A548</f>
        <v>C0547</v>
      </c>
      <c r="B548" s="3" t="str">
        <f>Hoja1!B548</f>
        <v>Nydia Ureña Serrano</v>
      </c>
      <c r="C548" s="3" t="str">
        <f>IF(COUNTA(Hoja1!A548:I548)=0,"Sí","No")</f>
        <v>No</v>
      </c>
      <c r="D548" s="3" t="str">
        <f>IF(COUNTBLANK(Hoja1!A548:I548)&gt;0,"Sí","No")</f>
        <v>No</v>
      </c>
      <c r="E548" s="3" t="str">
        <f>IF(COUNTIF(Hoja1!$A$2:$A$1000,Hoja1!A548)&gt;1,"Sí","No")</f>
        <v>No</v>
      </c>
      <c r="F548" s="3" t="str">
        <f>IF(COUNTIF(Hoja1!$G$2:$G$1000,Hoja1!G548)&gt;1,"Sí","No")</f>
        <v>No</v>
      </c>
      <c r="G548" s="3" t="str">
        <f>IF(OR(ISERROR(FIND("@",Hoja1!G548)),ISERROR(FIND(".",Hoja1!G548,FIND("@",Hoja1!G548)))),"Sí","No")</f>
        <v>No</v>
      </c>
      <c r="H548" s="3" t="str">
        <f>IF(LEN(Hoja1!F548)&lt;&gt;14,"Sí","No")</f>
        <v>No</v>
      </c>
      <c r="I548" s="3" t="str">
        <f>IF(Hoja1!C548&gt;Hoja1!H548,"Sí","No")</f>
        <v>No</v>
      </c>
      <c r="J548" s="3" t="str">
        <f>IF(SUMPRODUCT(--ISNUMBER(SEARCH({"0";"1";"2";"3";"4";"5";"6";"7";"8";"9"},Hoja1!D548)))=0,"Sí","No")</f>
        <v>Sí</v>
      </c>
      <c r="K548" s="3" t="str">
        <f t="shared" si="8"/>
        <v>Sí</v>
      </c>
    </row>
    <row r="549" spans="1:11" ht="15" customHeight="1" x14ac:dyDescent="0.3">
      <c r="A549" s="3" t="str">
        <f>Hoja1!A549</f>
        <v>C0548</v>
      </c>
      <c r="B549" s="3" t="str">
        <f>Hoja1!B549</f>
        <v>Etelvina Tolosa Exposito</v>
      </c>
      <c r="C549" s="3" t="str">
        <f>IF(COUNTA(Hoja1!A549:I549)=0,"Sí","No")</f>
        <v>No</v>
      </c>
      <c r="D549" s="3" t="str">
        <f>IF(COUNTBLANK(Hoja1!A549:I549)&gt;0,"Sí","No")</f>
        <v>No</v>
      </c>
      <c r="E549" s="3" t="str">
        <f>IF(COUNTIF(Hoja1!$A$2:$A$1000,Hoja1!A549)&gt;1,"Sí","No")</f>
        <v>No</v>
      </c>
      <c r="F549" s="3" t="str">
        <f>IF(COUNTIF(Hoja1!$G$2:$G$1000,Hoja1!G549)&gt;1,"Sí","No")</f>
        <v>No</v>
      </c>
      <c r="G549" s="3" t="str">
        <f>IF(OR(ISERROR(FIND("@",Hoja1!G549)),ISERROR(FIND(".",Hoja1!G549,FIND("@",Hoja1!G549)))),"Sí","No")</f>
        <v>No</v>
      </c>
      <c r="H549" s="3" t="str">
        <f>IF(LEN(Hoja1!F549)&lt;&gt;14,"Sí","No")</f>
        <v>No</v>
      </c>
      <c r="I549" s="3" t="str">
        <f>IF(Hoja1!C549&gt;Hoja1!H549,"Sí","No")</f>
        <v>No</v>
      </c>
      <c r="J549" s="3" t="str">
        <f>IF(SUMPRODUCT(--ISNUMBER(SEARCH({"0";"1";"2";"3";"4";"5";"6";"7";"8";"9"},Hoja1!D549)))=0,"Sí","No")</f>
        <v>No</v>
      </c>
      <c r="K549" s="3" t="str">
        <f t="shared" si="8"/>
        <v>No</v>
      </c>
    </row>
    <row r="550" spans="1:11" ht="15" customHeight="1" x14ac:dyDescent="0.3">
      <c r="A550" s="3" t="str">
        <f>Hoja1!A550</f>
        <v>C0549</v>
      </c>
      <c r="B550" s="3" t="str">
        <f>Hoja1!B550</f>
        <v>Adriana Gilabert Bravo</v>
      </c>
      <c r="C550" s="3" t="str">
        <f>IF(COUNTA(Hoja1!A550:I550)=0,"Sí","No")</f>
        <v>No</v>
      </c>
      <c r="D550" s="3" t="str">
        <f>IF(COUNTBLANK(Hoja1!A550:I550)&gt;0,"Sí","No")</f>
        <v>No</v>
      </c>
      <c r="E550" s="3" t="str">
        <f>IF(COUNTIF(Hoja1!$A$2:$A$1000,Hoja1!A550)&gt;1,"Sí","No")</f>
        <v>No</v>
      </c>
      <c r="F550" s="3" t="str">
        <f>IF(COUNTIF(Hoja1!$G$2:$G$1000,Hoja1!G550)&gt;1,"Sí","No")</f>
        <v>No</v>
      </c>
      <c r="G550" s="3" t="str">
        <f>IF(OR(ISERROR(FIND("@",Hoja1!G550)),ISERROR(FIND(".",Hoja1!G550,FIND("@",Hoja1!G550)))),"Sí","No")</f>
        <v>No</v>
      </c>
      <c r="H550" s="3" t="str">
        <f>IF(LEN(Hoja1!F550)&lt;&gt;14,"Sí","No")</f>
        <v>No</v>
      </c>
      <c r="I550" s="3" t="str">
        <f>IF(Hoja1!C550&gt;Hoja1!H550,"Sí","No")</f>
        <v>No</v>
      </c>
      <c r="J550" s="3" t="str">
        <f>IF(SUMPRODUCT(--ISNUMBER(SEARCH({"0";"1";"2";"3";"4";"5";"6";"7";"8";"9"},Hoja1!D550)))=0,"Sí","No")</f>
        <v>No</v>
      </c>
      <c r="K550" s="3" t="str">
        <f t="shared" si="8"/>
        <v>No</v>
      </c>
    </row>
    <row r="551" spans="1:11" ht="15" customHeight="1" x14ac:dyDescent="0.3">
      <c r="A551" s="3" t="str">
        <f>Hoja1!A551</f>
        <v>C0550</v>
      </c>
      <c r="B551" s="3" t="str">
        <f>Hoja1!B551</f>
        <v>Juan José Giménez Calzada</v>
      </c>
      <c r="C551" s="3" t="str">
        <f>IF(COUNTA(Hoja1!A551:I551)=0,"Sí","No")</f>
        <v>No</v>
      </c>
      <c r="D551" s="3" t="str">
        <f>IF(COUNTBLANK(Hoja1!A551:I551)&gt;0,"Sí","No")</f>
        <v>No</v>
      </c>
      <c r="E551" s="3" t="str">
        <f>IF(COUNTIF(Hoja1!$A$2:$A$1000,Hoja1!A551)&gt;1,"Sí","No")</f>
        <v>No</v>
      </c>
      <c r="F551" s="3" t="str">
        <f>IF(COUNTIF(Hoja1!$G$2:$G$1000,Hoja1!G551)&gt;1,"Sí","No")</f>
        <v>No</v>
      </c>
      <c r="G551" s="3" t="str">
        <f>IF(OR(ISERROR(FIND("@",Hoja1!G551)),ISERROR(FIND(".",Hoja1!G551,FIND("@",Hoja1!G551)))),"Sí","No")</f>
        <v>No</v>
      </c>
      <c r="H551" s="3" t="str">
        <f>IF(LEN(Hoja1!F551)&lt;&gt;14,"Sí","No")</f>
        <v>No</v>
      </c>
      <c r="I551" s="3" t="str">
        <f>IF(Hoja1!C551&gt;Hoja1!H551,"Sí","No")</f>
        <v>No</v>
      </c>
      <c r="J551" s="3" t="str">
        <f>IF(SUMPRODUCT(--ISNUMBER(SEARCH({"0";"1";"2";"3";"4";"5";"6";"7";"8";"9"},Hoja1!D551)))=0,"Sí","No")</f>
        <v>Sí</v>
      </c>
      <c r="K551" s="3" t="str">
        <f t="shared" si="8"/>
        <v>Sí</v>
      </c>
    </row>
    <row r="552" spans="1:11" ht="15" customHeight="1" x14ac:dyDescent="0.3">
      <c r="A552" s="3" t="str">
        <f>Hoja1!A552</f>
        <v>C0551</v>
      </c>
      <c r="B552" s="3" t="str">
        <f>Hoja1!B552</f>
        <v>Emiliana Marti Manso</v>
      </c>
      <c r="C552" s="3" t="str">
        <f>IF(COUNTA(Hoja1!A552:I552)=0,"Sí","No")</f>
        <v>No</v>
      </c>
      <c r="D552" s="3" t="str">
        <f>IF(COUNTBLANK(Hoja1!A552:I552)&gt;0,"Sí","No")</f>
        <v>No</v>
      </c>
      <c r="E552" s="3" t="str">
        <f>IF(COUNTIF(Hoja1!$A$2:$A$1000,Hoja1!A552)&gt;1,"Sí","No")</f>
        <v>No</v>
      </c>
      <c r="F552" s="3" t="str">
        <f>IF(COUNTIF(Hoja1!$G$2:$G$1000,Hoja1!G552)&gt;1,"Sí","No")</f>
        <v>No</v>
      </c>
      <c r="G552" s="3" t="str">
        <f>IF(OR(ISERROR(FIND("@",Hoja1!G552)),ISERROR(FIND(".",Hoja1!G552,FIND("@",Hoja1!G552)))),"Sí","No")</f>
        <v>No</v>
      </c>
      <c r="H552" s="3" t="str">
        <f>IF(LEN(Hoja1!F552)&lt;&gt;14,"Sí","No")</f>
        <v>No</v>
      </c>
      <c r="I552" s="3" t="str">
        <f>IF(Hoja1!C552&gt;Hoja1!H552,"Sí","No")</f>
        <v>No</v>
      </c>
      <c r="J552" s="3" t="str">
        <f>IF(SUMPRODUCT(--ISNUMBER(SEARCH({"0";"1";"2";"3";"4";"5";"6";"7";"8";"9"},Hoja1!D552)))=0,"Sí","No")</f>
        <v>No</v>
      </c>
      <c r="K552" s="3" t="str">
        <f t="shared" si="8"/>
        <v>No</v>
      </c>
    </row>
    <row r="553" spans="1:11" ht="15" customHeight="1" x14ac:dyDescent="0.3">
      <c r="A553" s="3" t="str">
        <f>Hoja1!A553</f>
        <v>C0552</v>
      </c>
      <c r="B553" s="3" t="str">
        <f>Hoja1!B553</f>
        <v>Adora Solera Juliá</v>
      </c>
      <c r="C553" s="3" t="str">
        <f>IF(COUNTA(Hoja1!A553:I553)=0,"Sí","No")</f>
        <v>No</v>
      </c>
      <c r="D553" s="3" t="str">
        <f>IF(COUNTBLANK(Hoja1!A553:I553)&gt;0,"Sí","No")</f>
        <v>No</v>
      </c>
      <c r="E553" s="3" t="str">
        <f>IF(COUNTIF(Hoja1!$A$2:$A$1000,Hoja1!A553)&gt;1,"Sí","No")</f>
        <v>No</v>
      </c>
      <c r="F553" s="3" t="str">
        <f>IF(COUNTIF(Hoja1!$G$2:$G$1000,Hoja1!G553)&gt;1,"Sí","No")</f>
        <v>No</v>
      </c>
      <c r="G553" s="3" t="str">
        <f>IF(OR(ISERROR(FIND("@",Hoja1!G553)),ISERROR(FIND(".",Hoja1!G553,FIND("@",Hoja1!G553)))),"Sí","No")</f>
        <v>No</v>
      </c>
      <c r="H553" s="3" t="str">
        <f>IF(LEN(Hoja1!F553)&lt;&gt;14,"Sí","No")</f>
        <v>No</v>
      </c>
      <c r="I553" s="3" t="str">
        <f>IF(Hoja1!C553&gt;Hoja1!H553,"Sí","No")</f>
        <v>No</v>
      </c>
      <c r="J553" s="3" t="str">
        <f>IF(SUMPRODUCT(--ISNUMBER(SEARCH({"0";"1";"2";"3";"4";"5";"6";"7";"8";"9"},Hoja1!D553)))=0,"Sí","No")</f>
        <v>No</v>
      </c>
      <c r="K553" s="3" t="str">
        <f t="shared" si="8"/>
        <v>No</v>
      </c>
    </row>
    <row r="554" spans="1:11" ht="15" customHeight="1" x14ac:dyDescent="0.3">
      <c r="A554" s="3" t="str">
        <f>Hoja1!A554</f>
        <v>C0553</v>
      </c>
      <c r="B554" s="3" t="str">
        <f>Hoja1!B554</f>
        <v>Sancho Arregui Ibañez</v>
      </c>
      <c r="C554" s="3" t="str">
        <f>IF(COUNTA(Hoja1!A554:I554)=0,"Sí","No")</f>
        <v>No</v>
      </c>
      <c r="D554" s="3" t="str">
        <f>IF(COUNTBLANK(Hoja1!A554:I554)&gt;0,"Sí","No")</f>
        <v>No</v>
      </c>
      <c r="E554" s="3" t="str">
        <f>IF(COUNTIF(Hoja1!$A$2:$A$1000,Hoja1!A554)&gt;1,"Sí","No")</f>
        <v>No</v>
      </c>
      <c r="F554" s="3" t="str">
        <f>IF(COUNTIF(Hoja1!$G$2:$G$1000,Hoja1!G554)&gt;1,"Sí","No")</f>
        <v>No</v>
      </c>
      <c r="G554" s="3" t="str">
        <f>IF(OR(ISERROR(FIND("@",Hoja1!G554)),ISERROR(FIND(".",Hoja1!G554,FIND("@",Hoja1!G554)))),"Sí","No")</f>
        <v>No</v>
      </c>
      <c r="H554" s="3" t="str">
        <f>IF(LEN(Hoja1!F554)&lt;&gt;14,"Sí","No")</f>
        <v>No</v>
      </c>
      <c r="I554" s="3" t="str">
        <f>IF(Hoja1!C554&gt;Hoja1!H554,"Sí","No")</f>
        <v>No</v>
      </c>
      <c r="J554" s="3" t="str">
        <f>IF(SUMPRODUCT(--ISNUMBER(SEARCH({"0";"1";"2";"3";"4";"5";"6";"7";"8";"9"},Hoja1!D554)))=0,"Sí","No")</f>
        <v>Sí</v>
      </c>
      <c r="K554" s="3" t="str">
        <f t="shared" si="8"/>
        <v>Sí</v>
      </c>
    </row>
    <row r="555" spans="1:11" ht="15" customHeight="1" x14ac:dyDescent="0.3">
      <c r="A555" s="3" t="str">
        <f>Hoja1!A555</f>
        <v>C0554</v>
      </c>
      <c r="B555" s="3" t="str">
        <f>Hoja1!B555</f>
        <v>Sonia Pacífica Aranda Durán</v>
      </c>
      <c r="C555" s="3" t="str">
        <f>IF(COUNTA(Hoja1!A555:I555)=0,"Sí","No")</f>
        <v>No</v>
      </c>
      <c r="D555" s="3" t="str">
        <f>IF(COUNTBLANK(Hoja1!A555:I555)&gt;0,"Sí","No")</f>
        <v>No</v>
      </c>
      <c r="E555" s="3" t="str">
        <f>IF(COUNTIF(Hoja1!$A$2:$A$1000,Hoja1!A555)&gt;1,"Sí","No")</f>
        <v>No</v>
      </c>
      <c r="F555" s="3" t="str">
        <f>IF(COUNTIF(Hoja1!$G$2:$G$1000,Hoja1!G555)&gt;1,"Sí","No")</f>
        <v>No</v>
      </c>
      <c r="G555" s="3" t="str">
        <f>IF(OR(ISERROR(FIND("@",Hoja1!G555)),ISERROR(FIND(".",Hoja1!G555,FIND("@",Hoja1!G555)))),"Sí","No")</f>
        <v>No</v>
      </c>
      <c r="H555" s="3" t="str">
        <f>IF(LEN(Hoja1!F555)&lt;&gt;14,"Sí","No")</f>
        <v>No</v>
      </c>
      <c r="I555" s="3" t="str">
        <f>IF(Hoja1!C555&gt;Hoja1!H555,"Sí","No")</f>
        <v>No</v>
      </c>
      <c r="J555" s="3" t="str">
        <f>IF(SUMPRODUCT(--ISNUMBER(SEARCH({"0";"1";"2";"3";"4";"5";"6";"7";"8";"9"},Hoja1!D555)))=0,"Sí","No")</f>
        <v>No</v>
      </c>
      <c r="K555" s="3" t="str">
        <f t="shared" si="8"/>
        <v>No</v>
      </c>
    </row>
    <row r="556" spans="1:11" ht="15" customHeight="1" x14ac:dyDescent="0.3">
      <c r="A556" s="3" t="str">
        <f>Hoja1!A556</f>
        <v>C0555</v>
      </c>
      <c r="B556" s="3" t="str">
        <f>Hoja1!B556</f>
        <v>Aitor Pelayo Tello</v>
      </c>
      <c r="C556" s="3" t="str">
        <f>IF(COUNTA(Hoja1!A556:I556)=0,"Sí","No")</f>
        <v>No</v>
      </c>
      <c r="D556" s="3" t="str">
        <f>IF(COUNTBLANK(Hoja1!A556:I556)&gt;0,"Sí","No")</f>
        <v>No</v>
      </c>
      <c r="E556" s="3" t="str">
        <f>IF(COUNTIF(Hoja1!$A$2:$A$1000,Hoja1!A556)&gt;1,"Sí","No")</f>
        <v>No</v>
      </c>
      <c r="F556" s="3" t="str">
        <f>IF(COUNTIF(Hoja1!$G$2:$G$1000,Hoja1!G556)&gt;1,"Sí","No")</f>
        <v>No</v>
      </c>
      <c r="G556" s="3" t="str">
        <f>IF(OR(ISERROR(FIND("@",Hoja1!G556)),ISERROR(FIND(".",Hoja1!G556,FIND("@",Hoja1!G556)))),"Sí","No")</f>
        <v>No</v>
      </c>
      <c r="H556" s="3" t="str">
        <f>IF(LEN(Hoja1!F556)&lt;&gt;14,"Sí","No")</f>
        <v>No</v>
      </c>
      <c r="I556" s="3" t="str">
        <f>IF(Hoja1!C556&gt;Hoja1!H556,"Sí","No")</f>
        <v>No</v>
      </c>
      <c r="J556" s="3" t="str">
        <f>IF(SUMPRODUCT(--ISNUMBER(SEARCH({"0";"1";"2";"3";"4";"5";"6";"7";"8";"9"},Hoja1!D556)))=0,"Sí","No")</f>
        <v>No</v>
      </c>
      <c r="K556" s="3" t="str">
        <f t="shared" si="8"/>
        <v>No</v>
      </c>
    </row>
    <row r="557" spans="1:11" ht="15" customHeight="1" x14ac:dyDescent="0.3">
      <c r="A557" s="3" t="str">
        <f>Hoja1!A557</f>
        <v>C0556</v>
      </c>
      <c r="B557" s="3" t="str">
        <f>Hoja1!B557</f>
        <v>Juana Losa Villar</v>
      </c>
      <c r="C557" s="3" t="str">
        <f>IF(COUNTA(Hoja1!A557:I557)=0,"Sí","No")</f>
        <v>No</v>
      </c>
      <c r="D557" s="3" t="str">
        <f>IF(COUNTBLANK(Hoja1!A557:I557)&gt;0,"Sí","No")</f>
        <v>No</v>
      </c>
      <c r="E557" s="3" t="str">
        <f>IF(COUNTIF(Hoja1!$A$2:$A$1000,Hoja1!A557)&gt;1,"Sí","No")</f>
        <v>No</v>
      </c>
      <c r="F557" s="3" t="str">
        <f>IF(COUNTIF(Hoja1!$G$2:$G$1000,Hoja1!G557)&gt;1,"Sí","No")</f>
        <v>No</v>
      </c>
      <c r="G557" s="3" t="str">
        <f>IF(OR(ISERROR(FIND("@",Hoja1!G557)),ISERROR(FIND(".",Hoja1!G557,FIND("@",Hoja1!G557)))),"Sí","No")</f>
        <v>No</v>
      </c>
      <c r="H557" s="3" t="str">
        <f>IF(LEN(Hoja1!F557)&lt;&gt;14,"Sí","No")</f>
        <v>No</v>
      </c>
      <c r="I557" s="3" t="str">
        <f>IF(Hoja1!C557&gt;Hoja1!H557,"Sí","No")</f>
        <v>No</v>
      </c>
      <c r="J557" s="3" t="str">
        <f>IF(SUMPRODUCT(--ISNUMBER(SEARCH({"0";"1";"2";"3";"4";"5";"6";"7";"8";"9"},Hoja1!D557)))=0,"Sí","No")</f>
        <v>Sí</v>
      </c>
      <c r="K557" s="3" t="str">
        <f t="shared" si="8"/>
        <v>Sí</v>
      </c>
    </row>
    <row r="558" spans="1:11" ht="15" customHeight="1" x14ac:dyDescent="0.3">
      <c r="A558" s="3" t="str">
        <f>Hoja1!A558</f>
        <v>C0557</v>
      </c>
      <c r="B558" s="3" t="str">
        <f>Hoja1!B558</f>
        <v>Goyo Ríos Guerra</v>
      </c>
      <c r="C558" s="3" t="str">
        <f>IF(COUNTA(Hoja1!A558:I558)=0,"Sí","No")</f>
        <v>No</v>
      </c>
      <c r="D558" s="3" t="str">
        <f>IF(COUNTBLANK(Hoja1!A558:I558)&gt;0,"Sí","No")</f>
        <v>No</v>
      </c>
      <c r="E558" s="3" t="str">
        <f>IF(COUNTIF(Hoja1!$A$2:$A$1000,Hoja1!A558)&gt;1,"Sí","No")</f>
        <v>No</v>
      </c>
      <c r="F558" s="3" t="str">
        <f>IF(COUNTIF(Hoja1!$G$2:$G$1000,Hoja1!G558)&gt;1,"Sí","No")</f>
        <v>No</v>
      </c>
      <c r="G558" s="3" t="str">
        <f>IF(OR(ISERROR(FIND("@",Hoja1!G558)),ISERROR(FIND(".",Hoja1!G558,FIND("@",Hoja1!G558)))),"Sí","No")</f>
        <v>No</v>
      </c>
      <c r="H558" s="3" t="str">
        <f>IF(LEN(Hoja1!F558)&lt;&gt;14,"Sí","No")</f>
        <v>No</v>
      </c>
      <c r="I558" s="3" t="str">
        <f>IF(Hoja1!C558&gt;Hoja1!H558,"Sí","No")</f>
        <v>No</v>
      </c>
      <c r="J558" s="3" t="str">
        <f>IF(SUMPRODUCT(--ISNUMBER(SEARCH({"0";"1";"2";"3";"4";"5";"6";"7";"8";"9"},Hoja1!D558)))=0,"Sí","No")</f>
        <v>No</v>
      </c>
      <c r="K558" s="3" t="str">
        <f t="shared" si="8"/>
        <v>No</v>
      </c>
    </row>
    <row r="559" spans="1:11" ht="15" customHeight="1" x14ac:dyDescent="0.3">
      <c r="A559" s="3" t="str">
        <f>Hoja1!A559</f>
        <v>C0558</v>
      </c>
      <c r="B559" s="3" t="str">
        <f>Hoja1!B559</f>
        <v>Rufino Beltran-Torralba</v>
      </c>
      <c r="C559" s="3" t="str">
        <f>IF(COUNTA(Hoja1!A559:I559)=0,"Sí","No")</f>
        <v>No</v>
      </c>
      <c r="D559" s="3" t="str">
        <f>IF(COUNTBLANK(Hoja1!A559:I559)&gt;0,"Sí","No")</f>
        <v>No</v>
      </c>
      <c r="E559" s="3" t="str">
        <f>IF(COUNTIF(Hoja1!$A$2:$A$1000,Hoja1!A559)&gt;1,"Sí","No")</f>
        <v>No</v>
      </c>
      <c r="F559" s="3" t="str">
        <f>IF(COUNTIF(Hoja1!$G$2:$G$1000,Hoja1!G559)&gt;1,"Sí","No")</f>
        <v>No</v>
      </c>
      <c r="G559" s="3" t="str">
        <f>IF(OR(ISERROR(FIND("@",Hoja1!G559)),ISERROR(FIND(".",Hoja1!G559,FIND("@",Hoja1!G559)))),"Sí","No")</f>
        <v>No</v>
      </c>
      <c r="H559" s="3" t="str">
        <f>IF(LEN(Hoja1!F559)&lt;&gt;14,"Sí","No")</f>
        <v>No</v>
      </c>
      <c r="I559" s="3" t="str">
        <f>IF(Hoja1!C559&gt;Hoja1!H559,"Sí","No")</f>
        <v>No</v>
      </c>
      <c r="J559" s="3" t="str">
        <f>IF(SUMPRODUCT(--ISNUMBER(SEARCH({"0";"1";"2";"3";"4";"5";"6";"7";"8";"9"},Hoja1!D559)))=0,"Sí","No")</f>
        <v>No</v>
      </c>
      <c r="K559" s="3" t="str">
        <f t="shared" si="8"/>
        <v>No</v>
      </c>
    </row>
    <row r="560" spans="1:11" ht="15" customHeight="1" x14ac:dyDescent="0.3">
      <c r="A560" s="3" t="str">
        <f>Hoja1!A560</f>
        <v>C0559</v>
      </c>
      <c r="B560" s="3" t="str">
        <f>Hoja1!B560</f>
        <v>Apolonia Pareja Real</v>
      </c>
      <c r="C560" s="3" t="str">
        <f>IF(COUNTA(Hoja1!A560:I560)=0,"Sí","No")</f>
        <v>No</v>
      </c>
      <c r="D560" s="3" t="str">
        <f>IF(COUNTBLANK(Hoja1!A560:I560)&gt;0,"Sí","No")</f>
        <v>No</v>
      </c>
      <c r="E560" s="3" t="str">
        <f>IF(COUNTIF(Hoja1!$A$2:$A$1000,Hoja1!A560)&gt;1,"Sí","No")</f>
        <v>No</v>
      </c>
      <c r="F560" s="3" t="str">
        <f>IF(COUNTIF(Hoja1!$G$2:$G$1000,Hoja1!G560)&gt;1,"Sí","No")</f>
        <v>No</v>
      </c>
      <c r="G560" s="3" t="str">
        <f>IF(OR(ISERROR(FIND("@",Hoja1!G560)),ISERROR(FIND(".",Hoja1!G560,FIND("@",Hoja1!G560)))),"Sí","No")</f>
        <v>No</v>
      </c>
      <c r="H560" s="3" t="str">
        <f>IF(LEN(Hoja1!F560)&lt;&gt;14,"Sí","No")</f>
        <v>No</v>
      </c>
      <c r="I560" s="3" t="str">
        <f>IF(Hoja1!C560&gt;Hoja1!H560,"Sí","No")</f>
        <v>No</v>
      </c>
      <c r="J560" s="3" t="str">
        <f>IF(SUMPRODUCT(--ISNUMBER(SEARCH({"0";"1";"2";"3";"4";"5";"6";"7";"8";"9"},Hoja1!D560)))=0,"Sí","No")</f>
        <v>Sí</v>
      </c>
      <c r="K560" s="3" t="str">
        <f t="shared" si="8"/>
        <v>Sí</v>
      </c>
    </row>
    <row r="561" spans="1:11" ht="15" customHeight="1" x14ac:dyDescent="0.3">
      <c r="A561" s="3" t="str">
        <f>Hoja1!A561</f>
        <v>C0560</v>
      </c>
      <c r="B561" s="3" t="str">
        <f>Hoja1!B561</f>
        <v>Herminia Samper Sureda</v>
      </c>
      <c r="C561" s="3" t="str">
        <f>IF(COUNTA(Hoja1!A561:I561)=0,"Sí","No")</f>
        <v>No</v>
      </c>
      <c r="D561" s="3" t="str">
        <f>IF(COUNTBLANK(Hoja1!A561:I561)&gt;0,"Sí","No")</f>
        <v>No</v>
      </c>
      <c r="E561" s="3" t="str">
        <f>IF(COUNTIF(Hoja1!$A$2:$A$1000,Hoja1!A561)&gt;1,"Sí","No")</f>
        <v>No</v>
      </c>
      <c r="F561" s="3" t="str">
        <f>IF(COUNTIF(Hoja1!$G$2:$G$1000,Hoja1!G561)&gt;1,"Sí","No")</f>
        <v>No</v>
      </c>
      <c r="G561" s="3" t="str">
        <f>IF(OR(ISERROR(FIND("@",Hoja1!G561)),ISERROR(FIND(".",Hoja1!G561,FIND("@",Hoja1!G561)))),"Sí","No")</f>
        <v>No</v>
      </c>
      <c r="H561" s="3" t="str">
        <f>IF(LEN(Hoja1!F561)&lt;&gt;14,"Sí","No")</f>
        <v>No</v>
      </c>
      <c r="I561" s="3" t="str">
        <f>IF(Hoja1!C561&gt;Hoja1!H561,"Sí","No")</f>
        <v>No</v>
      </c>
      <c r="J561" s="3" t="str">
        <f>IF(SUMPRODUCT(--ISNUMBER(SEARCH({"0";"1";"2";"3";"4";"5";"6";"7";"8";"9"},Hoja1!D561)))=0,"Sí","No")</f>
        <v>No</v>
      </c>
      <c r="K561" s="3" t="str">
        <f t="shared" si="8"/>
        <v>No</v>
      </c>
    </row>
    <row r="562" spans="1:11" ht="15" customHeight="1" x14ac:dyDescent="0.3">
      <c r="A562" s="3" t="str">
        <f>Hoja1!A562</f>
        <v>C0561</v>
      </c>
      <c r="B562" s="3" t="str">
        <f>Hoja1!B562</f>
        <v>Loida Morera</v>
      </c>
      <c r="C562" s="3" t="str">
        <f>IF(COUNTA(Hoja1!A562:I562)=0,"Sí","No")</f>
        <v>No</v>
      </c>
      <c r="D562" s="3" t="str">
        <f>IF(COUNTBLANK(Hoja1!A562:I562)&gt;0,"Sí","No")</f>
        <v>No</v>
      </c>
      <c r="E562" s="3" t="str">
        <f>IF(COUNTIF(Hoja1!$A$2:$A$1000,Hoja1!A562)&gt;1,"Sí","No")</f>
        <v>No</v>
      </c>
      <c r="F562" s="3" t="str">
        <f>IF(COUNTIF(Hoja1!$G$2:$G$1000,Hoja1!G562)&gt;1,"Sí","No")</f>
        <v>No</v>
      </c>
      <c r="G562" s="3" t="str">
        <f>IF(OR(ISERROR(FIND("@",Hoja1!G562)),ISERROR(FIND(".",Hoja1!G562,FIND("@",Hoja1!G562)))),"Sí","No")</f>
        <v>No</v>
      </c>
      <c r="H562" s="3" t="str">
        <f>IF(LEN(Hoja1!F562)&lt;&gt;14,"Sí","No")</f>
        <v>No</v>
      </c>
      <c r="I562" s="3" t="str">
        <f>IF(Hoja1!C562&gt;Hoja1!H562,"Sí","No")</f>
        <v>No</v>
      </c>
      <c r="J562" s="3" t="str">
        <f>IF(SUMPRODUCT(--ISNUMBER(SEARCH({"0";"1";"2";"3";"4";"5";"6";"7";"8";"9"},Hoja1!D562)))=0,"Sí","No")</f>
        <v>No</v>
      </c>
      <c r="K562" s="3" t="str">
        <f t="shared" si="8"/>
        <v>No</v>
      </c>
    </row>
    <row r="563" spans="1:11" ht="15" customHeight="1" x14ac:dyDescent="0.3">
      <c r="A563" s="3" t="str">
        <f>Hoja1!A563</f>
        <v>C0562</v>
      </c>
      <c r="B563" s="3" t="str">
        <f>Hoja1!B563</f>
        <v>Milagros Cadenas</v>
      </c>
      <c r="C563" s="3" t="str">
        <f>IF(COUNTA(Hoja1!A563:I563)=0,"Sí","No")</f>
        <v>No</v>
      </c>
      <c r="D563" s="3" t="str">
        <f>IF(COUNTBLANK(Hoja1!A563:I563)&gt;0,"Sí","No")</f>
        <v>No</v>
      </c>
      <c r="E563" s="3" t="str">
        <f>IF(COUNTIF(Hoja1!$A$2:$A$1000,Hoja1!A563)&gt;1,"Sí","No")</f>
        <v>No</v>
      </c>
      <c r="F563" s="3" t="str">
        <f>IF(COUNTIF(Hoja1!$G$2:$G$1000,Hoja1!G563)&gt;1,"Sí","No")</f>
        <v>No</v>
      </c>
      <c r="G563" s="3" t="str">
        <f>IF(OR(ISERROR(FIND("@",Hoja1!G563)),ISERROR(FIND(".",Hoja1!G563,FIND("@",Hoja1!G563)))),"Sí","No")</f>
        <v>No</v>
      </c>
      <c r="H563" s="3" t="str">
        <f>IF(LEN(Hoja1!F563)&lt;&gt;14,"Sí","No")</f>
        <v>No</v>
      </c>
      <c r="I563" s="3" t="str">
        <f>IF(Hoja1!C563&gt;Hoja1!H563,"Sí","No")</f>
        <v>No</v>
      </c>
      <c r="J563" s="3" t="str">
        <f>IF(SUMPRODUCT(--ISNUMBER(SEARCH({"0";"1";"2";"3";"4";"5";"6";"7";"8";"9"},Hoja1!D563)))=0,"Sí","No")</f>
        <v>Sí</v>
      </c>
      <c r="K563" s="3" t="str">
        <f t="shared" si="8"/>
        <v>Sí</v>
      </c>
    </row>
    <row r="564" spans="1:11" ht="15" customHeight="1" x14ac:dyDescent="0.3">
      <c r="A564" s="3" t="str">
        <f>Hoja1!A564</f>
        <v>C0563</v>
      </c>
      <c r="B564" s="3" t="str">
        <f>Hoja1!B564</f>
        <v>Ema Saura</v>
      </c>
      <c r="C564" s="3" t="str">
        <f>IF(COUNTA(Hoja1!A564:I564)=0,"Sí","No")</f>
        <v>No</v>
      </c>
      <c r="D564" s="3" t="str">
        <f>IF(COUNTBLANK(Hoja1!A564:I564)&gt;0,"Sí","No")</f>
        <v>No</v>
      </c>
      <c r="E564" s="3" t="str">
        <f>IF(COUNTIF(Hoja1!$A$2:$A$1000,Hoja1!A564)&gt;1,"Sí","No")</f>
        <v>No</v>
      </c>
      <c r="F564" s="3" t="str">
        <f>IF(COUNTIF(Hoja1!$G$2:$G$1000,Hoja1!G564)&gt;1,"Sí","No")</f>
        <v>No</v>
      </c>
      <c r="G564" s="3" t="str">
        <f>IF(OR(ISERROR(FIND("@",Hoja1!G564)),ISERROR(FIND(".",Hoja1!G564,FIND("@",Hoja1!G564)))),"Sí","No")</f>
        <v>No</v>
      </c>
      <c r="H564" s="3" t="str">
        <f>IF(LEN(Hoja1!F564)&lt;&gt;14,"Sí","No")</f>
        <v>No</v>
      </c>
      <c r="I564" s="3" t="str">
        <f>IF(Hoja1!C564&gt;Hoja1!H564,"Sí","No")</f>
        <v>No</v>
      </c>
      <c r="J564" s="3" t="str">
        <f>IF(SUMPRODUCT(--ISNUMBER(SEARCH({"0";"1";"2";"3";"4";"5";"6";"7";"8";"9"},Hoja1!D564)))=0,"Sí","No")</f>
        <v>No</v>
      </c>
      <c r="K564" s="3" t="str">
        <f t="shared" si="8"/>
        <v>No</v>
      </c>
    </row>
    <row r="565" spans="1:11" ht="15" customHeight="1" x14ac:dyDescent="0.3">
      <c r="A565" s="3" t="str">
        <f>Hoja1!A565</f>
        <v>C0564</v>
      </c>
      <c r="B565" s="3" t="str">
        <f>Hoja1!B565</f>
        <v>Angelino Ibañez Bonet</v>
      </c>
      <c r="C565" s="3" t="str">
        <f>IF(COUNTA(Hoja1!A565:I565)=0,"Sí","No")</f>
        <v>No</v>
      </c>
      <c r="D565" s="3" t="str">
        <f>IF(COUNTBLANK(Hoja1!A565:I565)&gt;0,"Sí","No")</f>
        <v>No</v>
      </c>
      <c r="E565" s="3" t="str">
        <f>IF(COUNTIF(Hoja1!$A$2:$A$1000,Hoja1!A565)&gt;1,"Sí","No")</f>
        <v>No</v>
      </c>
      <c r="F565" s="3" t="str">
        <f>IF(COUNTIF(Hoja1!$G$2:$G$1000,Hoja1!G565)&gt;1,"Sí","No")</f>
        <v>No</v>
      </c>
      <c r="G565" s="3" t="str">
        <f>IF(OR(ISERROR(FIND("@",Hoja1!G565)),ISERROR(FIND(".",Hoja1!G565,FIND("@",Hoja1!G565)))),"Sí","No")</f>
        <v>No</v>
      </c>
      <c r="H565" s="3" t="str">
        <f>IF(LEN(Hoja1!F565)&lt;&gt;14,"Sí","No")</f>
        <v>No</v>
      </c>
      <c r="I565" s="3" t="str">
        <f>IF(Hoja1!C565&gt;Hoja1!H565,"Sí","No")</f>
        <v>No</v>
      </c>
      <c r="J565" s="3" t="str">
        <f>IF(SUMPRODUCT(--ISNUMBER(SEARCH({"0";"1";"2";"3";"4";"5";"6";"7";"8";"9"},Hoja1!D565)))=0,"Sí","No")</f>
        <v>No</v>
      </c>
      <c r="K565" s="3" t="str">
        <f t="shared" si="8"/>
        <v>No</v>
      </c>
    </row>
    <row r="566" spans="1:11" ht="15" customHeight="1" x14ac:dyDescent="0.3">
      <c r="A566" s="3" t="str">
        <f>Hoja1!A566</f>
        <v>C0565</v>
      </c>
      <c r="B566" s="3" t="str">
        <f>Hoja1!B566</f>
        <v>Candelas Gutierrez Solana</v>
      </c>
      <c r="C566" s="3" t="str">
        <f>IF(COUNTA(Hoja1!A566:I566)=0,"Sí","No")</f>
        <v>No</v>
      </c>
      <c r="D566" s="3" t="str">
        <f>IF(COUNTBLANK(Hoja1!A566:I566)&gt;0,"Sí","No")</f>
        <v>No</v>
      </c>
      <c r="E566" s="3" t="str">
        <f>IF(COUNTIF(Hoja1!$A$2:$A$1000,Hoja1!A566)&gt;1,"Sí","No")</f>
        <v>No</v>
      </c>
      <c r="F566" s="3" t="str">
        <f>IF(COUNTIF(Hoja1!$G$2:$G$1000,Hoja1!G566)&gt;1,"Sí","No")</f>
        <v>No</v>
      </c>
      <c r="G566" s="3" t="str">
        <f>IF(OR(ISERROR(FIND("@",Hoja1!G566)),ISERROR(FIND(".",Hoja1!G566,FIND("@",Hoja1!G566)))),"Sí","No")</f>
        <v>No</v>
      </c>
      <c r="H566" s="3" t="str">
        <f>IF(LEN(Hoja1!F566)&lt;&gt;14,"Sí","No")</f>
        <v>No</v>
      </c>
      <c r="I566" s="3" t="str">
        <f>IF(Hoja1!C566&gt;Hoja1!H566,"Sí","No")</f>
        <v>No</v>
      </c>
      <c r="J566" s="3" t="str">
        <f>IF(SUMPRODUCT(--ISNUMBER(SEARCH({"0";"1";"2";"3";"4";"5";"6";"7";"8";"9"},Hoja1!D566)))=0,"Sí","No")</f>
        <v>Sí</v>
      </c>
      <c r="K566" s="3" t="str">
        <f t="shared" si="8"/>
        <v>Sí</v>
      </c>
    </row>
    <row r="567" spans="1:11" ht="15" customHeight="1" x14ac:dyDescent="0.3">
      <c r="A567" s="3" t="str">
        <f>Hoja1!A567</f>
        <v>C0566</v>
      </c>
      <c r="B567" s="3" t="str">
        <f>Hoja1!B567</f>
        <v>Lucio Figuerola-Lorenzo</v>
      </c>
      <c r="C567" s="3" t="str">
        <f>IF(COUNTA(Hoja1!A567:I567)=0,"Sí","No")</f>
        <v>No</v>
      </c>
      <c r="D567" s="3" t="str">
        <f>IF(COUNTBLANK(Hoja1!A567:I567)&gt;0,"Sí","No")</f>
        <v>No</v>
      </c>
      <c r="E567" s="3" t="str">
        <f>IF(COUNTIF(Hoja1!$A$2:$A$1000,Hoja1!A567)&gt;1,"Sí","No")</f>
        <v>No</v>
      </c>
      <c r="F567" s="3" t="str">
        <f>IF(COUNTIF(Hoja1!$G$2:$G$1000,Hoja1!G567)&gt;1,"Sí","No")</f>
        <v>No</v>
      </c>
      <c r="G567" s="3" t="str">
        <f>IF(OR(ISERROR(FIND("@",Hoja1!G567)),ISERROR(FIND(".",Hoja1!G567,FIND("@",Hoja1!G567)))),"Sí","No")</f>
        <v>No</v>
      </c>
      <c r="H567" s="3" t="str">
        <f>IF(LEN(Hoja1!F567)&lt;&gt;14,"Sí","No")</f>
        <v>No</v>
      </c>
      <c r="I567" s="3" t="str">
        <f>IF(Hoja1!C567&gt;Hoja1!H567,"Sí","No")</f>
        <v>No</v>
      </c>
      <c r="J567" s="3" t="str">
        <f>IF(SUMPRODUCT(--ISNUMBER(SEARCH({"0";"1";"2";"3";"4";"5";"6";"7";"8";"9"},Hoja1!D567)))=0,"Sí","No")</f>
        <v>No</v>
      </c>
      <c r="K567" s="3" t="str">
        <f t="shared" si="8"/>
        <v>No</v>
      </c>
    </row>
    <row r="568" spans="1:11" ht="15" customHeight="1" x14ac:dyDescent="0.3">
      <c r="A568" s="3" t="str">
        <f>Hoja1!A568</f>
        <v>C0567</v>
      </c>
      <c r="B568" s="3" t="str">
        <f>Hoja1!B568</f>
        <v>Benita Ramírez Ribera</v>
      </c>
      <c r="C568" s="3" t="str">
        <f>IF(COUNTA(Hoja1!A568:I568)=0,"Sí","No")</f>
        <v>No</v>
      </c>
      <c r="D568" s="3" t="str">
        <f>IF(COUNTBLANK(Hoja1!A568:I568)&gt;0,"Sí","No")</f>
        <v>No</v>
      </c>
      <c r="E568" s="3" t="str">
        <f>IF(COUNTIF(Hoja1!$A$2:$A$1000,Hoja1!A568)&gt;1,"Sí","No")</f>
        <v>No</v>
      </c>
      <c r="F568" s="3" t="str">
        <f>IF(COUNTIF(Hoja1!$G$2:$G$1000,Hoja1!G568)&gt;1,"Sí","No")</f>
        <v>No</v>
      </c>
      <c r="G568" s="3" t="str">
        <f>IF(OR(ISERROR(FIND("@",Hoja1!G568)),ISERROR(FIND(".",Hoja1!G568,FIND("@",Hoja1!G568)))),"Sí","No")</f>
        <v>No</v>
      </c>
      <c r="H568" s="3" t="str">
        <f>IF(LEN(Hoja1!F568)&lt;&gt;14,"Sí","No")</f>
        <v>No</v>
      </c>
      <c r="I568" s="3" t="str">
        <f>IF(Hoja1!C568&gt;Hoja1!H568,"Sí","No")</f>
        <v>No</v>
      </c>
      <c r="J568" s="3" t="str">
        <f>IF(SUMPRODUCT(--ISNUMBER(SEARCH({"0";"1";"2";"3";"4";"5";"6";"7";"8";"9"},Hoja1!D568)))=0,"Sí","No")</f>
        <v>No</v>
      </c>
      <c r="K568" s="3" t="str">
        <f t="shared" si="8"/>
        <v>No</v>
      </c>
    </row>
    <row r="569" spans="1:11" ht="15" customHeight="1" x14ac:dyDescent="0.3">
      <c r="A569" s="3" t="str">
        <f>Hoja1!A569</f>
        <v>C0568</v>
      </c>
      <c r="B569" s="3" t="str">
        <f>Hoja1!B569</f>
        <v>Zaida Tovar Tolosa</v>
      </c>
      <c r="C569" s="3" t="str">
        <f>IF(COUNTA(Hoja1!A569:I569)=0,"Sí","No")</f>
        <v>No</v>
      </c>
      <c r="D569" s="3" t="str">
        <f>IF(COUNTBLANK(Hoja1!A569:I569)&gt;0,"Sí","No")</f>
        <v>No</v>
      </c>
      <c r="E569" s="3" t="str">
        <f>IF(COUNTIF(Hoja1!$A$2:$A$1000,Hoja1!A569)&gt;1,"Sí","No")</f>
        <v>No</v>
      </c>
      <c r="F569" s="3" t="str">
        <f>IF(COUNTIF(Hoja1!$G$2:$G$1000,Hoja1!G569)&gt;1,"Sí","No")</f>
        <v>No</v>
      </c>
      <c r="G569" s="3" t="str">
        <f>IF(OR(ISERROR(FIND("@",Hoja1!G569)),ISERROR(FIND(".",Hoja1!G569,FIND("@",Hoja1!G569)))),"Sí","No")</f>
        <v>No</v>
      </c>
      <c r="H569" s="3" t="str">
        <f>IF(LEN(Hoja1!F569)&lt;&gt;14,"Sí","No")</f>
        <v>No</v>
      </c>
      <c r="I569" s="3" t="str">
        <f>IF(Hoja1!C569&gt;Hoja1!H569,"Sí","No")</f>
        <v>No</v>
      </c>
      <c r="J569" s="3" t="str">
        <f>IF(SUMPRODUCT(--ISNUMBER(SEARCH({"0";"1";"2";"3";"4";"5";"6";"7";"8";"9"},Hoja1!D569)))=0,"Sí","No")</f>
        <v>Sí</v>
      </c>
      <c r="K569" s="3" t="str">
        <f t="shared" si="8"/>
        <v>Sí</v>
      </c>
    </row>
    <row r="570" spans="1:11" ht="15" customHeight="1" x14ac:dyDescent="0.3">
      <c r="A570" s="3" t="str">
        <f>Hoja1!A570</f>
        <v>C0569</v>
      </c>
      <c r="B570" s="3" t="str">
        <f>Hoja1!B570</f>
        <v>Héctor Puga Tudela</v>
      </c>
      <c r="C570" s="3" t="str">
        <f>IF(COUNTA(Hoja1!A570:I570)=0,"Sí","No")</f>
        <v>No</v>
      </c>
      <c r="D570" s="3" t="str">
        <f>IF(COUNTBLANK(Hoja1!A570:I570)&gt;0,"Sí","No")</f>
        <v>No</v>
      </c>
      <c r="E570" s="3" t="str">
        <f>IF(COUNTIF(Hoja1!$A$2:$A$1000,Hoja1!A570)&gt;1,"Sí","No")</f>
        <v>No</v>
      </c>
      <c r="F570" s="3" t="str">
        <f>IF(COUNTIF(Hoja1!$G$2:$G$1000,Hoja1!G570)&gt;1,"Sí","No")</f>
        <v>No</v>
      </c>
      <c r="G570" s="3" t="str">
        <f>IF(OR(ISERROR(FIND("@",Hoja1!G570)),ISERROR(FIND(".",Hoja1!G570,FIND("@",Hoja1!G570)))),"Sí","No")</f>
        <v>No</v>
      </c>
      <c r="H570" s="3" t="str">
        <f>IF(LEN(Hoja1!F570)&lt;&gt;14,"Sí","No")</f>
        <v>No</v>
      </c>
      <c r="I570" s="3" t="str">
        <f>IF(Hoja1!C570&gt;Hoja1!H570,"Sí","No")</f>
        <v>No</v>
      </c>
      <c r="J570" s="3" t="str">
        <f>IF(SUMPRODUCT(--ISNUMBER(SEARCH({"0";"1";"2";"3";"4";"5";"6";"7";"8";"9"},Hoja1!D570)))=0,"Sí","No")</f>
        <v>No</v>
      </c>
      <c r="K570" s="3" t="str">
        <f t="shared" si="8"/>
        <v>No</v>
      </c>
    </row>
    <row r="571" spans="1:11" ht="15" customHeight="1" x14ac:dyDescent="0.3">
      <c r="A571" s="3" t="str">
        <f>Hoja1!A571</f>
        <v>C0570</v>
      </c>
      <c r="B571" s="3" t="str">
        <f>Hoja1!B571</f>
        <v>Adelina Carmona Bayo</v>
      </c>
      <c r="C571" s="3" t="str">
        <f>IF(COUNTA(Hoja1!A571:I571)=0,"Sí","No")</f>
        <v>No</v>
      </c>
      <c r="D571" s="3" t="str">
        <f>IF(COUNTBLANK(Hoja1!A571:I571)&gt;0,"Sí","No")</f>
        <v>No</v>
      </c>
      <c r="E571" s="3" t="str">
        <f>IF(COUNTIF(Hoja1!$A$2:$A$1000,Hoja1!A571)&gt;1,"Sí","No")</f>
        <v>No</v>
      </c>
      <c r="F571" s="3" t="str">
        <f>IF(COUNTIF(Hoja1!$G$2:$G$1000,Hoja1!G571)&gt;1,"Sí","No")</f>
        <v>No</v>
      </c>
      <c r="G571" s="3" t="str">
        <f>IF(OR(ISERROR(FIND("@",Hoja1!G571)),ISERROR(FIND(".",Hoja1!G571,FIND("@",Hoja1!G571)))),"Sí","No")</f>
        <v>No</v>
      </c>
      <c r="H571" s="3" t="str">
        <f>IF(LEN(Hoja1!F571)&lt;&gt;14,"Sí","No")</f>
        <v>No</v>
      </c>
      <c r="I571" s="3" t="str">
        <f>IF(Hoja1!C571&gt;Hoja1!H571,"Sí","No")</f>
        <v>No</v>
      </c>
      <c r="J571" s="3" t="str">
        <f>IF(SUMPRODUCT(--ISNUMBER(SEARCH({"0";"1";"2";"3";"4";"5";"6";"7";"8";"9"},Hoja1!D571)))=0,"Sí","No")</f>
        <v>No</v>
      </c>
      <c r="K571" s="3" t="str">
        <f t="shared" si="8"/>
        <v>No</v>
      </c>
    </row>
    <row r="572" spans="1:11" ht="15" customHeight="1" x14ac:dyDescent="0.3">
      <c r="A572" s="3" t="str">
        <f>Hoja1!A572</f>
        <v>C0571</v>
      </c>
      <c r="B572" s="3" t="str">
        <f>Hoja1!B572</f>
        <v>Carmelita Tejedor Casas</v>
      </c>
      <c r="C572" s="3" t="str">
        <f>IF(COUNTA(Hoja1!A572:I572)=0,"Sí","No")</f>
        <v>No</v>
      </c>
      <c r="D572" s="3" t="str">
        <f>IF(COUNTBLANK(Hoja1!A572:I572)&gt;0,"Sí","No")</f>
        <v>No</v>
      </c>
      <c r="E572" s="3" t="str">
        <f>IF(COUNTIF(Hoja1!$A$2:$A$1000,Hoja1!A572)&gt;1,"Sí","No")</f>
        <v>No</v>
      </c>
      <c r="F572" s="3" t="str">
        <f>IF(COUNTIF(Hoja1!$G$2:$G$1000,Hoja1!G572)&gt;1,"Sí","No")</f>
        <v>Sí</v>
      </c>
      <c r="G572" s="3" t="str">
        <f>IF(OR(ISERROR(FIND("@",Hoja1!G572)),ISERROR(FIND(".",Hoja1!G572,FIND("@",Hoja1!G572)))),"Sí","No")</f>
        <v>No</v>
      </c>
      <c r="H572" s="3" t="str">
        <f>IF(LEN(Hoja1!F572)&lt;&gt;14,"Sí","No")</f>
        <v>No</v>
      </c>
      <c r="I572" s="3" t="str">
        <f>IF(Hoja1!C572&gt;Hoja1!H572,"Sí","No")</f>
        <v>No</v>
      </c>
      <c r="J572" s="3" t="str">
        <f>IF(SUMPRODUCT(--ISNUMBER(SEARCH({"0";"1";"2";"3";"4";"5";"6";"7";"8";"9"},Hoja1!D572)))=0,"Sí","No")</f>
        <v>Sí</v>
      </c>
      <c r="K572" s="3" t="str">
        <f t="shared" si="8"/>
        <v>Sí</v>
      </c>
    </row>
    <row r="573" spans="1:11" ht="15" customHeight="1" x14ac:dyDescent="0.3">
      <c r="A573" s="3" t="str">
        <f>Hoja1!A573</f>
        <v>C0572</v>
      </c>
      <c r="B573" s="3" t="str">
        <f>Hoja1!B573</f>
        <v>Bernarda Quero Córdoba</v>
      </c>
      <c r="C573" s="3" t="str">
        <f>IF(COUNTA(Hoja1!A573:I573)=0,"Sí","No")</f>
        <v>No</v>
      </c>
      <c r="D573" s="3" t="str">
        <f>IF(COUNTBLANK(Hoja1!A573:I573)&gt;0,"Sí","No")</f>
        <v>No</v>
      </c>
      <c r="E573" s="3" t="str">
        <f>IF(COUNTIF(Hoja1!$A$2:$A$1000,Hoja1!A573)&gt;1,"Sí","No")</f>
        <v>No</v>
      </c>
      <c r="F573" s="3" t="str">
        <f>IF(COUNTIF(Hoja1!$G$2:$G$1000,Hoja1!G573)&gt;1,"Sí","No")</f>
        <v>No</v>
      </c>
      <c r="G573" s="3" t="str">
        <f>IF(OR(ISERROR(FIND("@",Hoja1!G573)),ISERROR(FIND(".",Hoja1!G573,FIND("@",Hoja1!G573)))),"Sí","No")</f>
        <v>No</v>
      </c>
      <c r="H573" s="3" t="str">
        <f>IF(LEN(Hoja1!F573)&lt;&gt;14,"Sí","No")</f>
        <v>No</v>
      </c>
      <c r="I573" s="3" t="str">
        <f>IF(Hoja1!C573&gt;Hoja1!H573,"Sí","No")</f>
        <v>No</v>
      </c>
      <c r="J573" s="3" t="str">
        <f>IF(SUMPRODUCT(--ISNUMBER(SEARCH({"0";"1";"2";"3";"4";"5";"6";"7";"8";"9"},Hoja1!D573)))=0,"Sí","No")</f>
        <v>No</v>
      </c>
      <c r="K573" s="3" t="str">
        <f t="shared" si="8"/>
        <v>No</v>
      </c>
    </row>
    <row r="574" spans="1:11" ht="15" customHeight="1" x14ac:dyDescent="0.3">
      <c r="A574" s="3" t="str">
        <f>Hoja1!A574</f>
        <v>C0573</v>
      </c>
      <c r="B574" s="3" t="str">
        <f>Hoja1!B574</f>
        <v>Evita Alfaro Miguel</v>
      </c>
      <c r="C574" s="3" t="str">
        <f>IF(COUNTA(Hoja1!A574:I574)=0,"Sí","No")</f>
        <v>No</v>
      </c>
      <c r="D574" s="3" t="str">
        <f>IF(COUNTBLANK(Hoja1!A574:I574)&gt;0,"Sí","No")</f>
        <v>No</v>
      </c>
      <c r="E574" s="3" t="str">
        <f>IF(COUNTIF(Hoja1!$A$2:$A$1000,Hoja1!A574)&gt;1,"Sí","No")</f>
        <v>No</v>
      </c>
      <c r="F574" s="3" t="str">
        <f>IF(COUNTIF(Hoja1!$G$2:$G$1000,Hoja1!G574)&gt;1,"Sí","No")</f>
        <v>Sí</v>
      </c>
      <c r="G574" s="3" t="str">
        <f>IF(OR(ISERROR(FIND("@",Hoja1!G574)),ISERROR(FIND(".",Hoja1!G574,FIND("@",Hoja1!G574)))),"Sí","No")</f>
        <v>No</v>
      </c>
      <c r="H574" s="3" t="str">
        <f>IF(LEN(Hoja1!F574)&lt;&gt;14,"Sí","No")</f>
        <v>No</v>
      </c>
      <c r="I574" s="3" t="str">
        <f>IF(Hoja1!C574&gt;Hoja1!H574,"Sí","No")</f>
        <v>No</v>
      </c>
      <c r="J574" s="3" t="str">
        <f>IF(SUMPRODUCT(--ISNUMBER(SEARCH({"0";"1";"2";"3";"4";"5";"6";"7";"8";"9"},Hoja1!D574)))=0,"Sí","No")</f>
        <v>No</v>
      </c>
      <c r="K574" s="3" t="str">
        <f t="shared" si="8"/>
        <v>Sí</v>
      </c>
    </row>
    <row r="575" spans="1:11" ht="15" customHeight="1" x14ac:dyDescent="0.3">
      <c r="A575" s="3" t="str">
        <f>Hoja1!A575</f>
        <v>C0574</v>
      </c>
      <c r="B575" s="3" t="str">
        <f>Hoja1!B575</f>
        <v>Lidia Reyes Carbajo Pla</v>
      </c>
      <c r="C575" s="3" t="str">
        <f>IF(COUNTA(Hoja1!A575:I575)=0,"Sí","No")</f>
        <v>No</v>
      </c>
      <c r="D575" s="3" t="str">
        <f>IF(COUNTBLANK(Hoja1!A575:I575)&gt;0,"Sí","No")</f>
        <v>No</v>
      </c>
      <c r="E575" s="3" t="str">
        <f>IF(COUNTIF(Hoja1!$A$2:$A$1000,Hoja1!A575)&gt;1,"Sí","No")</f>
        <v>No</v>
      </c>
      <c r="F575" s="3" t="str">
        <f>IF(COUNTIF(Hoja1!$G$2:$G$1000,Hoja1!G575)&gt;1,"Sí","No")</f>
        <v>No</v>
      </c>
      <c r="G575" s="3" t="str">
        <f>IF(OR(ISERROR(FIND("@",Hoja1!G575)),ISERROR(FIND(".",Hoja1!G575,FIND("@",Hoja1!G575)))),"Sí","No")</f>
        <v>No</v>
      </c>
      <c r="H575" s="3" t="str">
        <f>IF(LEN(Hoja1!F575)&lt;&gt;14,"Sí","No")</f>
        <v>No</v>
      </c>
      <c r="I575" s="3" t="str">
        <f>IF(Hoja1!C575&gt;Hoja1!H575,"Sí","No")</f>
        <v>No</v>
      </c>
      <c r="J575" s="3" t="str">
        <f>IF(SUMPRODUCT(--ISNUMBER(SEARCH({"0";"1";"2";"3";"4";"5";"6";"7";"8";"9"},Hoja1!D575)))=0,"Sí","No")</f>
        <v>Sí</v>
      </c>
      <c r="K575" s="3" t="str">
        <f t="shared" si="8"/>
        <v>Sí</v>
      </c>
    </row>
    <row r="576" spans="1:11" ht="15" customHeight="1" x14ac:dyDescent="0.3">
      <c r="A576" s="3" t="str">
        <f>Hoja1!A576</f>
        <v>C0575</v>
      </c>
      <c r="B576" s="3" t="str">
        <f>Hoja1!B576</f>
        <v>Carlota Rosell Baños</v>
      </c>
      <c r="C576" s="3" t="str">
        <f>IF(COUNTA(Hoja1!A576:I576)=0,"Sí","No")</f>
        <v>No</v>
      </c>
      <c r="D576" s="3" t="str">
        <f>IF(COUNTBLANK(Hoja1!A576:I576)&gt;0,"Sí","No")</f>
        <v>No</v>
      </c>
      <c r="E576" s="3" t="str">
        <f>IF(COUNTIF(Hoja1!$A$2:$A$1000,Hoja1!A576)&gt;1,"Sí","No")</f>
        <v>No</v>
      </c>
      <c r="F576" s="3" t="str">
        <f>IF(COUNTIF(Hoja1!$G$2:$G$1000,Hoja1!G576)&gt;1,"Sí","No")</f>
        <v>No</v>
      </c>
      <c r="G576" s="3" t="str">
        <f>IF(OR(ISERROR(FIND("@",Hoja1!G576)),ISERROR(FIND(".",Hoja1!G576,FIND("@",Hoja1!G576)))),"Sí","No")</f>
        <v>No</v>
      </c>
      <c r="H576" s="3" t="str">
        <f>IF(LEN(Hoja1!F576)&lt;&gt;14,"Sí","No")</f>
        <v>No</v>
      </c>
      <c r="I576" s="3" t="str">
        <f>IF(Hoja1!C576&gt;Hoja1!H576,"Sí","No")</f>
        <v>No</v>
      </c>
      <c r="J576" s="3" t="str">
        <f>IF(SUMPRODUCT(--ISNUMBER(SEARCH({"0";"1";"2";"3";"4";"5";"6";"7";"8";"9"},Hoja1!D576)))=0,"Sí","No")</f>
        <v>No</v>
      </c>
      <c r="K576" s="3" t="str">
        <f t="shared" si="8"/>
        <v>No</v>
      </c>
    </row>
    <row r="577" spans="1:11" ht="15" customHeight="1" x14ac:dyDescent="0.3">
      <c r="A577" s="3" t="str">
        <f>Hoja1!A577</f>
        <v>C0576</v>
      </c>
      <c r="B577" s="3" t="str">
        <f>Hoja1!B577</f>
        <v>Fausto Montero Sanmartín</v>
      </c>
      <c r="C577" s="3" t="str">
        <f>IF(COUNTA(Hoja1!A577:I577)=0,"Sí","No")</f>
        <v>No</v>
      </c>
      <c r="D577" s="3" t="str">
        <f>IF(COUNTBLANK(Hoja1!A577:I577)&gt;0,"Sí","No")</f>
        <v>No</v>
      </c>
      <c r="E577" s="3" t="str">
        <f>IF(COUNTIF(Hoja1!$A$2:$A$1000,Hoja1!A577)&gt;1,"Sí","No")</f>
        <v>No</v>
      </c>
      <c r="F577" s="3" t="str">
        <f>IF(COUNTIF(Hoja1!$G$2:$G$1000,Hoja1!G577)&gt;1,"Sí","No")</f>
        <v>No</v>
      </c>
      <c r="G577" s="3" t="str">
        <f>IF(OR(ISERROR(FIND("@",Hoja1!G577)),ISERROR(FIND(".",Hoja1!G577,FIND("@",Hoja1!G577)))),"Sí","No")</f>
        <v>No</v>
      </c>
      <c r="H577" s="3" t="str">
        <f>IF(LEN(Hoja1!F577)&lt;&gt;14,"Sí","No")</f>
        <v>No</v>
      </c>
      <c r="I577" s="3" t="str">
        <f>IF(Hoja1!C577&gt;Hoja1!H577,"Sí","No")</f>
        <v>No</v>
      </c>
      <c r="J577" s="3" t="str">
        <f>IF(SUMPRODUCT(--ISNUMBER(SEARCH({"0";"1";"2";"3";"4";"5";"6";"7";"8";"9"},Hoja1!D577)))=0,"Sí","No")</f>
        <v>No</v>
      </c>
      <c r="K577" s="3" t="str">
        <f t="shared" si="8"/>
        <v>No</v>
      </c>
    </row>
    <row r="578" spans="1:11" ht="15" customHeight="1" x14ac:dyDescent="0.3">
      <c r="A578" s="3" t="str">
        <f>Hoja1!A578</f>
        <v>C0577</v>
      </c>
      <c r="B578" s="3" t="str">
        <f>Hoja1!B578</f>
        <v>Lalo Castellanos Rueda</v>
      </c>
      <c r="C578" s="3" t="str">
        <f>IF(COUNTA(Hoja1!A578:I578)=0,"Sí","No")</f>
        <v>No</v>
      </c>
      <c r="D578" s="3" t="str">
        <f>IF(COUNTBLANK(Hoja1!A578:I578)&gt;0,"Sí","No")</f>
        <v>No</v>
      </c>
      <c r="E578" s="3" t="str">
        <f>IF(COUNTIF(Hoja1!$A$2:$A$1000,Hoja1!A578)&gt;1,"Sí","No")</f>
        <v>No</v>
      </c>
      <c r="F578" s="3" t="str">
        <f>IF(COUNTIF(Hoja1!$G$2:$G$1000,Hoja1!G578)&gt;1,"Sí","No")</f>
        <v>No</v>
      </c>
      <c r="G578" s="3" t="str">
        <f>IF(OR(ISERROR(FIND("@",Hoja1!G578)),ISERROR(FIND(".",Hoja1!G578,FIND("@",Hoja1!G578)))),"Sí","No")</f>
        <v>No</v>
      </c>
      <c r="H578" s="3" t="str">
        <f>IF(LEN(Hoja1!F578)&lt;&gt;14,"Sí","No")</f>
        <v>No</v>
      </c>
      <c r="I578" s="3" t="str">
        <f>IF(Hoja1!C578&gt;Hoja1!H578,"Sí","No")</f>
        <v>No</v>
      </c>
      <c r="J578" s="3" t="str">
        <f>IF(SUMPRODUCT(--ISNUMBER(SEARCH({"0";"1";"2";"3";"4";"5";"6";"7";"8";"9"},Hoja1!D578)))=0,"Sí","No")</f>
        <v>Sí</v>
      </c>
      <c r="K578" s="3" t="str">
        <f t="shared" ref="K578:K641" si="9">IF(COUNTIF(C578:J578,"Sí")&gt;0,"Sí","No")</f>
        <v>Sí</v>
      </c>
    </row>
    <row r="579" spans="1:11" ht="15" customHeight="1" x14ac:dyDescent="0.3">
      <c r="A579" s="3" t="str">
        <f>Hoja1!A579</f>
        <v>C0578</v>
      </c>
      <c r="B579" s="3" t="str">
        <f>Hoja1!B579</f>
        <v>Sabina Jover-Mendoza</v>
      </c>
      <c r="C579" s="3" t="str">
        <f>IF(COUNTA(Hoja1!A579:I579)=0,"Sí","No")</f>
        <v>No</v>
      </c>
      <c r="D579" s="3" t="str">
        <f>IF(COUNTBLANK(Hoja1!A579:I579)&gt;0,"Sí","No")</f>
        <v>No</v>
      </c>
      <c r="E579" s="3" t="str">
        <f>IF(COUNTIF(Hoja1!$A$2:$A$1000,Hoja1!A579)&gt;1,"Sí","No")</f>
        <v>No</v>
      </c>
      <c r="F579" s="3" t="str">
        <f>IF(COUNTIF(Hoja1!$G$2:$G$1000,Hoja1!G579)&gt;1,"Sí","No")</f>
        <v>No</v>
      </c>
      <c r="G579" s="3" t="str">
        <f>IF(OR(ISERROR(FIND("@",Hoja1!G579)),ISERROR(FIND(".",Hoja1!G579,FIND("@",Hoja1!G579)))),"Sí","No")</f>
        <v>No</v>
      </c>
      <c r="H579" s="3" t="str">
        <f>IF(LEN(Hoja1!F579)&lt;&gt;14,"Sí","No")</f>
        <v>No</v>
      </c>
      <c r="I579" s="3" t="str">
        <f>IF(Hoja1!C579&gt;Hoja1!H579,"Sí","No")</f>
        <v>No</v>
      </c>
      <c r="J579" s="3" t="str">
        <f>IF(SUMPRODUCT(--ISNUMBER(SEARCH({"0";"1";"2";"3";"4";"5";"6";"7";"8";"9"},Hoja1!D579)))=0,"Sí","No")</f>
        <v>No</v>
      </c>
      <c r="K579" s="3" t="str">
        <f t="shared" si="9"/>
        <v>No</v>
      </c>
    </row>
    <row r="580" spans="1:11" ht="15" customHeight="1" x14ac:dyDescent="0.3">
      <c r="A580" s="3" t="str">
        <f>Hoja1!A580</f>
        <v>C0579</v>
      </c>
      <c r="B580" s="3" t="str">
        <f>Hoja1!B580</f>
        <v>Nuria Mur</v>
      </c>
      <c r="C580" s="3" t="str">
        <f>IF(COUNTA(Hoja1!A580:I580)=0,"Sí","No")</f>
        <v>No</v>
      </c>
      <c r="D580" s="3" t="str">
        <f>IF(COUNTBLANK(Hoja1!A580:I580)&gt;0,"Sí","No")</f>
        <v>No</v>
      </c>
      <c r="E580" s="3" t="str">
        <f>IF(COUNTIF(Hoja1!$A$2:$A$1000,Hoja1!A580)&gt;1,"Sí","No")</f>
        <v>No</v>
      </c>
      <c r="F580" s="3" t="str">
        <f>IF(COUNTIF(Hoja1!$G$2:$G$1000,Hoja1!G580)&gt;1,"Sí","No")</f>
        <v>No</v>
      </c>
      <c r="G580" s="3" t="str">
        <f>IF(OR(ISERROR(FIND("@",Hoja1!G580)),ISERROR(FIND(".",Hoja1!G580,FIND("@",Hoja1!G580)))),"Sí","No")</f>
        <v>No</v>
      </c>
      <c r="H580" s="3" t="str">
        <f>IF(LEN(Hoja1!F580)&lt;&gt;14,"Sí","No")</f>
        <v>No</v>
      </c>
      <c r="I580" s="3" t="str">
        <f>IF(Hoja1!C580&gt;Hoja1!H580,"Sí","No")</f>
        <v>No</v>
      </c>
      <c r="J580" s="3" t="str">
        <f>IF(SUMPRODUCT(--ISNUMBER(SEARCH({"0";"1";"2";"3";"4";"5";"6";"7";"8";"9"},Hoja1!D580)))=0,"Sí","No")</f>
        <v>No</v>
      </c>
      <c r="K580" s="3" t="str">
        <f t="shared" si="9"/>
        <v>No</v>
      </c>
    </row>
    <row r="581" spans="1:11" ht="15" customHeight="1" x14ac:dyDescent="0.3">
      <c r="A581" s="3" t="str">
        <f>Hoja1!A581</f>
        <v>C0580</v>
      </c>
      <c r="B581" s="3" t="str">
        <f>Hoja1!B581</f>
        <v>Feliciana Gutierrez Mora</v>
      </c>
      <c r="C581" s="3" t="str">
        <f>IF(COUNTA(Hoja1!A581:I581)=0,"Sí","No")</f>
        <v>No</v>
      </c>
      <c r="D581" s="3" t="str">
        <f>IF(COUNTBLANK(Hoja1!A581:I581)&gt;0,"Sí","No")</f>
        <v>No</v>
      </c>
      <c r="E581" s="3" t="str">
        <f>IF(COUNTIF(Hoja1!$A$2:$A$1000,Hoja1!A581)&gt;1,"Sí","No")</f>
        <v>No</v>
      </c>
      <c r="F581" s="3" t="str">
        <f>IF(COUNTIF(Hoja1!$G$2:$G$1000,Hoja1!G581)&gt;1,"Sí","No")</f>
        <v>No</v>
      </c>
      <c r="G581" s="3" t="str">
        <f>IF(OR(ISERROR(FIND("@",Hoja1!G581)),ISERROR(FIND(".",Hoja1!G581,FIND("@",Hoja1!G581)))),"Sí","No")</f>
        <v>No</v>
      </c>
      <c r="H581" s="3" t="str">
        <f>IF(LEN(Hoja1!F581)&lt;&gt;14,"Sí","No")</f>
        <v>No</v>
      </c>
      <c r="I581" s="3" t="str">
        <f>IF(Hoja1!C581&gt;Hoja1!H581,"Sí","No")</f>
        <v>No</v>
      </c>
      <c r="J581" s="3" t="str">
        <f>IF(SUMPRODUCT(--ISNUMBER(SEARCH({"0";"1";"2";"3";"4";"5";"6";"7";"8";"9"},Hoja1!D581)))=0,"Sí","No")</f>
        <v>Sí</v>
      </c>
      <c r="K581" s="3" t="str">
        <f t="shared" si="9"/>
        <v>Sí</v>
      </c>
    </row>
    <row r="582" spans="1:11" ht="15" customHeight="1" x14ac:dyDescent="0.3">
      <c r="A582" s="3" t="str">
        <f>Hoja1!A582</f>
        <v>C0581</v>
      </c>
      <c r="B582" s="3" t="str">
        <f>Hoja1!B582</f>
        <v>Jerónimo Vidal Hernandez</v>
      </c>
      <c r="C582" s="3" t="str">
        <f>IF(COUNTA(Hoja1!A582:I582)=0,"Sí","No")</f>
        <v>No</v>
      </c>
      <c r="D582" s="3" t="str">
        <f>IF(COUNTBLANK(Hoja1!A582:I582)&gt;0,"Sí","No")</f>
        <v>No</v>
      </c>
      <c r="E582" s="3" t="str">
        <f>IF(COUNTIF(Hoja1!$A$2:$A$1000,Hoja1!A582)&gt;1,"Sí","No")</f>
        <v>No</v>
      </c>
      <c r="F582" s="3" t="str">
        <f>IF(COUNTIF(Hoja1!$G$2:$G$1000,Hoja1!G582)&gt;1,"Sí","No")</f>
        <v>No</v>
      </c>
      <c r="G582" s="3" t="str">
        <f>IF(OR(ISERROR(FIND("@",Hoja1!G582)),ISERROR(FIND(".",Hoja1!G582,FIND("@",Hoja1!G582)))),"Sí","No")</f>
        <v>No</v>
      </c>
      <c r="H582" s="3" t="str">
        <f>IF(LEN(Hoja1!F582)&lt;&gt;14,"Sí","No")</f>
        <v>No</v>
      </c>
      <c r="I582" s="3" t="str">
        <f>IF(Hoja1!C582&gt;Hoja1!H582,"Sí","No")</f>
        <v>No</v>
      </c>
      <c r="J582" s="3" t="str">
        <f>IF(SUMPRODUCT(--ISNUMBER(SEARCH({"0";"1";"2";"3";"4";"5";"6";"7";"8";"9"},Hoja1!D582)))=0,"Sí","No")</f>
        <v>No</v>
      </c>
      <c r="K582" s="3" t="str">
        <f t="shared" si="9"/>
        <v>No</v>
      </c>
    </row>
    <row r="583" spans="1:11" ht="15" customHeight="1" x14ac:dyDescent="0.3">
      <c r="A583" s="3" t="str">
        <f>Hoja1!A583</f>
        <v>C0582</v>
      </c>
      <c r="B583" s="3" t="str">
        <f>Hoja1!B583</f>
        <v>Fortunata Jordán</v>
      </c>
      <c r="C583" s="3" t="str">
        <f>IF(COUNTA(Hoja1!A583:I583)=0,"Sí","No")</f>
        <v>No</v>
      </c>
      <c r="D583" s="3" t="str">
        <f>IF(COUNTBLANK(Hoja1!A583:I583)&gt;0,"Sí","No")</f>
        <v>No</v>
      </c>
      <c r="E583" s="3" t="str">
        <f>IF(COUNTIF(Hoja1!$A$2:$A$1000,Hoja1!A583)&gt;1,"Sí","No")</f>
        <v>No</v>
      </c>
      <c r="F583" s="3" t="str">
        <f>IF(COUNTIF(Hoja1!$G$2:$G$1000,Hoja1!G583)&gt;1,"Sí","No")</f>
        <v>No</v>
      </c>
      <c r="G583" s="3" t="str">
        <f>IF(OR(ISERROR(FIND("@",Hoja1!G583)),ISERROR(FIND(".",Hoja1!G583,FIND("@",Hoja1!G583)))),"Sí","No")</f>
        <v>No</v>
      </c>
      <c r="H583" s="3" t="str">
        <f>IF(LEN(Hoja1!F583)&lt;&gt;14,"Sí","No")</f>
        <v>No</v>
      </c>
      <c r="I583" s="3" t="str">
        <f>IF(Hoja1!C583&gt;Hoja1!H583,"Sí","No")</f>
        <v>No</v>
      </c>
      <c r="J583" s="3" t="str">
        <f>IF(SUMPRODUCT(--ISNUMBER(SEARCH({"0";"1";"2";"3";"4";"5";"6";"7";"8";"9"},Hoja1!D583)))=0,"Sí","No")</f>
        <v>No</v>
      </c>
      <c r="K583" s="3" t="str">
        <f t="shared" si="9"/>
        <v>No</v>
      </c>
    </row>
    <row r="584" spans="1:11" ht="15" customHeight="1" x14ac:dyDescent="0.3">
      <c r="A584" s="3" t="str">
        <f>Hoja1!A584</f>
        <v>C0583</v>
      </c>
      <c r="B584" s="3" t="str">
        <f>Hoja1!B584</f>
        <v>Manu Céspedes Corominas</v>
      </c>
      <c r="C584" s="3" t="str">
        <f>IF(COUNTA(Hoja1!A584:I584)=0,"Sí","No")</f>
        <v>No</v>
      </c>
      <c r="D584" s="3" t="str">
        <f>IF(COUNTBLANK(Hoja1!A584:I584)&gt;0,"Sí","No")</f>
        <v>No</v>
      </c>
      <c r="E584" s="3" t="str">
        <f>IF(COUNTIF(Hoja1!$A$2:$A$1000,Hoja1!A584)&gt;1,"Sí","No")</f>
        <v>No</v>
      </c>
      <c r="F584" s="3" t="str">
        <f>IF(COUNTIF(Hoja1!$G$2:$G$1000,Hoja1!G584)&gt;1,"Sí","No")</f>
        <v>No</v>
      </c>
      <c r="G584" s="3" t="str">
        <f>IF(OR(ISERROR(FIND("@",Hoja1!G584)),ISERROR(FIND(".",Hoja1!G584,FIND("@",Hoja1!G584)))),"Sí","No")</f>
        <v>No</v>
      </c>
      <c r="H584" s="3" t="str">
        <f>IF(LEN(Hoja1!F584)&lt;&gt;14,"Sí","No")</f>
        <v>No</v>
      </c>
      <c r="I584" s="3" t="str">
        <f>IF(Hoja1!C584&gt;Hoja1!H584,"Sí","No")</f>
        <v>No</v>
      </c>
      <c r="J584" s="3" t="str">
        <f>IF(SUMPRODUCT(--ISNUMBER(SEARCH({"0";"1";"2";"3";"4";"5";"6";"7";"8";"9"},Hoja1!D584)))=0,"Sí","No")</f>
        <v>Sí</v>
      </c>
      <c r="K584" s="3" t="str">
        <f t="shared" si="9"/>
        <v>Sí</v>
      </c>
    </row>
    <row r="585" spans="1:11" ht="15" customHeight="1" x14ac:dyDescent="0.3">
      <c r="A585" s="3" t="str">
        <f>Hoja1!A585</f>
        <v>C0584</v>
      </c>
      <c r="B585" s="3" t="str">
        <f>Hoja1!B585</f>
        <v>Áurea Guzman</v>
      </c>
      <c r="C585" s="3" t="str">
        <f>IF(COUNTA(Hoja1!A585:I585)=0,"Sí","No")</f>
        <v>No</v>
      </c>
      <c r="D585" s="3" t="str">
        <f>IF(COUNTBLANK(Hoja1!A585:I585)&gt;0,"Sí","No")</f>
        <v>No</v>
      </c>
      <c r="E585" s="3" t="str">
        <f>IF(COUNTIF(Hoja1!$A$2:$A$1000,Hoja1!A585)&gt;1,"Sí","No")</f>
        <v>No</v>
      </c>
      <c r="F585" s="3" t="str">
        <f>IF(COUNTIF(Hoja1!$G$2:$G$1000,Hoja1!G585)&gt;1,"Sí","No")</f>
        <v>No</v>
      </c>
      <c r="G585" s="3" t="str">
        <f>IF(OR(ISERROR(FIND("@",Hoja1!G585)),ISERROR(FIND(".",Hoja1!G585,FIND("@",Hoja1!G585)))),"Sí","No")</f>
        <v>No</v>
      </c>
      <c r="H585" s="3" t="str">
        <f>IF(LEN(Hoja1!F585)&lt;&gt;14,"Sí","No")</f>
        <v>No</v>
      </c>
      <c r="I585" s="3" t="str">
        <f>IF(Hoja1!C585&gt;Hoja1!H585,"Sí","No")</f>
        <v>No</v>
      </c>
      <c r="J585" s="3" t="str">
        <f>IF(SUMPRODUCT(--ISNUMBER(SEARCH({"0";"1";"2";"3";"4";"5";"6";"7";"8";"9"},Hoja1!D585)))=0,"Sí","No")</f>
        <v>No</v>
      </c>
      <c r="K585" s="3" t="str">
        <f t="shared" si="9"/>
        <v>No</v>
      </c>
    </row>
    <row r="586" spans="1:11" ht="15" customHeight="1" x14ac:dyDescent="0.3">
      <c r="A586" s="3" t="str">
        <f>Hoja1!A586</f>
        <v>C0585</v>
      </c>
      <c r="B586" s="3" t="str">
        <f>Hoja1!B586</f>
        <v>Modesta Lledó Izquierdo</v>
      </c>
      <c r="C586" s="3" t="str">
        <f>IF(COUNTA(Hoja1!A586:I586)=0,"Sí","No")</f>
        <v>No</v>
      </c>
      <c r="D586" s="3" t="str">
        <f>IF(COUNTBLANK(Hoja1!A586:I586)&gt;0,"Sí","No")</f>
        <v>No</v>
      </c>
      <c r="E586" s="3" t="str">
        <f>IF(COUNTIF(Hoja1!$A$2:$A$1000,Hoja1!A586)&gt;1,"Sí","No")</f>
        <v>No</v>
      </c>
      <c r="F586" s="3" t="str">
        <f>IF(COUNTIF(Hoja1!$G$2:$G$1000,Hoja1!G586)&gt;1,"Sí","No")</f>
        <v>No</v>
      </c>
      <c r="G586" s="3" t="str">
        <f>IF(OR(ISERROR(FIND("@",Hoja1!G586)),ISERROR(FIND(".",Hoja1!G586,FIND("@",Hoja1!G586)))),"Sí","No")</f>
        <v>No</v>
      </c>
      <c r="H586" s="3" t="str">
        <f>IF(LEN(Hoja1!F586)&lt;&gt;14,"Sí","No")</f>
        <v>No</v>
      </c>
      <c r="I586" s="3" t="str">
        <f>IF(Hoja1!C586&gt;Hoja1!H586,"Sí","No")</f>
        <v>No</v>
      </c>
      <c r="J586" s="3" t="str">
        <f>IF(SUMPRODUCT(--ISNUMBER(SEARCH({"0";"1";"2";"3";"4";"5";"6";"7";"8";"9"},Hoja1!D586)))=0,"Sí","No")</f>
        <v>No</v>
      </c>
      <c r="K586" s="3" t="str">
        <f t="shared" si="9"/>
        <v>No</v>
      </c>
    </row>
    <row r="587" spans="1:11" ht="15" customHeight="1" x14ac:dyDescent="0.3">
      <c r="A587" s="3" t="str">
        <f>Hoja1!A587</f>
        <v>C0586</v>
      </c>
      <c r="B587" s="3" t="str">
        <f>Hoja1!B587</f>
        <v>Telmo Lastra-Cuervo</v>
      </c>
      <c r="C587" s="3" t="str">
        <f>IF(COUNTA(Hoja1!A587:I587)=0,"Sí","No")</f>
        <v>No</v>
      </c>
      <c r="D587" s="3" t="str">
        <f>IF(COUNTBLANK(Hoja1!A587:I587)&gt;0,"Sí","No")</f>
        <v>No</v>
      </c>
      <c r="E587" s="3" t="str">
        <f>IF(COUNTIF(Hoja1!$A$2:$A$1000,Hoja1!A587)&gt;1,"Sí","No")</f>
        <v>No</v>
      </c>
      <c r="F587" s="3" t="str">
        <f>IF(COUNTIF(Hoja1!$G$2:$G$1000,Hoja1!G587)&gt;1,"Sí","No")</f>
        <v>No</v>
      </c>
      <c r="G587" s="3" t="str">
        <f>IF(OR(ISERROR(FIND("@",Hoja1!G587)),ISERROR(FIND(".",Hoja1!G587,FIND("@",Hoja1!G587)))),"Sí","No")</f>
        <v>No</v>
      </c>
      <c r="H587" s="3" t="str">
        <f>IF(LEN(Hoja1!F587)&lt;&gt;14,"Sí","No")</f>
        <v>No</v>
      </c>
      <c r="I587" s="3" t="str">
        <f>IF(Hoja1!C587&gt;Hoja1!H587,"Sí","No")</f>
        <v>No</v>
      </c>
      <c r="J587" s="3" t="str">
        <f>IF(SUMPRODUCT(--ISNUMBER(SEARCH({"0";"1";"2";"3";"4";"5";"6";"7";"8";"9"},Hoja1!D587)))=0,"Sí","No")</f>
        <v>Sí</v>
      </c>
      <c r="K587" s="3" t="str">
        <f t="shared" si="9"/>
        <v>Sí</v>
      </c>
    </row>
    <row r="588" spans="1:11" ht="15" customHeight="1" x14ac:dyDescent="0.3">
      <c r="A588" s="3" t="str">
        <f>Hoja1!A588</f>
        <v>C0587</v>
      </c>
      <c r="B588" s="3" t="str">
        <f>Hoja1!B588</f>
        <v>Iris Camino-Briones</v>
      </c>
      <c r="C588" s="3" t="str">
        <f>IF(COUNTA(Hoja1!A588:I588)=0,"Sí","No")</f>
        <v>No</v>
      </c>
      <c r="D588" s="3" t="str">
        <f>IF(COUNTBLANK(Hoja1!A588:I588)&gt;0,"Sí","No")</f>
        <v>No</v>
      </c>
      <c r="E588" s="3" t="str">
        <f>IF(COUNTIF(Hoja1!$A$2:$A$1000,Hoja1!A588)&gt;1,"Sí","No")</f>
        <v>No</v>
      </c>
      <c r="F588" s="3" t="str">
        <f>IF(COUNTIF(Hoja1!$G$2:$G$1000,Hoja1!G588)&gt;1,"Sí","No")</f>
        <v>No</v>
      </c>
      <c r="G588" s="3" t="str">
        <f>IF(OR(ISERROR(FIND("@",Hoja1!G588)),ISERROR(FIND(".",Hoja1!G588,FIND("@",Hoja1!G588)))),"Sí","No")</f>
        <v>No</v>
      </c>
      <c r="H588" s="3" t="str">
        <f>IF(LEN(Hoja1!F588)&lt;&gt;14,"Sí","No")</f>
        <v>No</v>
      </c>
      <c r="I588" s="3" t="str">
        <f>IF(Hoja1!C588&gt;Hoja1!H588,"Sí","No")</f>
        <v>No</v>
      </c>
      <c r="J588" s="3" t="str">
        <f>IF(SUMPRODUCT(--ISNUMBER(SEARCH({"0";"1";"2";"3";"4";"5";"6";"7";"8";"9"},Hoja1!D588)))=0,"Sí","No")</f>
        <v>No</v>
      </c>
      <c r="K588" s="3" t="str">
        <f t="shared" si="9"/>
        <v>No</v>
      </c>
    </row>
    <row r="589" spans="1:11" ht="15" customHeight="1" x14ac:dyDescent="0.3">
      <c r="A589" s="3" t="str">
        <f>Hoja1!A589</f>
        <v>C0588</v>
      </c>
      <c r="B589" s="3" t="str">
        <f>Hoja1!B589</f>
        <v>Clarisa Belda Cid</v>
      </c>
      <c r="C589" s="3" t="str">
        <f>IF(COUNTA(Hoja1!A589:I589)=0,"Sí","No")</f>
        <v>No</v>
      </c>
      <c r="D589" s="3" t="str">
        <f>IF(COUNTBLANK(Hoja1!A589:I589)&gt;0,"Sí","No")</f>
        <v>No</v>
      </c>
      <c r="E589" s="3" t="str">
        <f>IF(COUNTIF(Hoja1!$A$2:$A$1000,Hoja1!A589)&gt;1,"Sí","No")</f>
        <v>No</v>
      </c>
      <c r="F589" s="3" t="str">
        <f>IF(COUNTIF(Hoja1!$G$2:$G$1000,Hoja1!G589)&gt;1,"Sí","No")</f>
        <v>No</v>
      </c>
      <c r="G589" s="3" t="str">
        <f>IF(OR(ISERROR(FIND("@",Hoja1!G589)),ISERROR(FIND(".",Hoja1!G589,FIND("@",Hoja1!G589)))),"Sí","No")</f>
        <v>No</v>
      </c>
      <c r="H589" s="3" t="str">
        <f>IF(LEN(Hoja1!F589)&lt;&gt;14,"Sí","No")</f>
        <v>No</v>
      </c>
      <c r="I589" s="3" t="str">
        <f>IF(Hoja1!C589&gt;Hoja1!H589,"Sí","No")</f>
        <v>No</v>
      </c>
      <c r="J589" s="3" t="str">
        <f>IF(SUMPRODUCT(--ISNUMBER(SEARCH({"0";"1";"2";"3";"4";"5";"6";"7";"8";"9"},Hoja1!D589)))=0,"Sí","No")</f>
        <v>No</v>
      </c>
      <c r="K589" s="3" t="str">
        <f t="shared" si="9"/>
        <v>No</v>
      </c>
    </row>
    <row r="590" spans="1:11" ht="15" customHeight="1" x14ac:dyDescent="0.3">
      <c r="A590" s="3" t="str">
        <f>Hoja1!A590</f>
        <v>C0589</v>
      </c>
      <c r="B590" s="3" t="str">
        <f>Hoja1!B590</f>
        <v>Petrona Palau Soto</v>
      </c>
      <c r="C590" s="3" t="str">
        <f>IF(COUNTA(Hoja1!A590:I590)=0,"Sí","No")</f>
        <v>No</v>
      </c>
      <c r="D590" s="3" t="str">
        <f>IF(COUNTBLANK(Hoja1!A590:I590)&gt;0,"Sí","No")</f>
        <v>No</v>
      </c>
      <c r="E590" s="3" t="str">
        <f>IF(COUNTIF(Hoja1!$A$2:$A$1000,Hoja1!A590)&gt;1,"Sí","No")</f>
        <v>No</v>
      </c>
      <c r="F590" s="3" t="str">
        <f>IF(COUNTIF(Hoja1!$G$2:$G$1000,Hoja1!G590)&gt;1,"Sí","No")</f>
        <v>No</v>
      </c>
      <c r="G590" s="3" t="str">
        <f>IF(OR(ISERROR(FIND("@",Hoja1!G590)),ISERROR(FIND(".",Hoja1!G590,FIND("@",Hoja1!G590)))),"Sí","No")</f>
        <v>No</v>
      </c>
      <c r="H590" s="3" t="str">
        <f>IF(LEN(Hoja1!F590)&lt;&gt;14,"Sí","No")</f>
        <v>No</v>
      </c>
      <c r="I590" s="3" t="str">
        <f>IF(Hoja1!C590&gt;Hoja1!H590,"Sí","No")</f>
        <v>No</v>
      </c>
      <c r="J590" s="3" t="str">
        <f>IF(SUMPRODUCT(--ISNUMBER(SEARCH({"0";"1";"2";"3";"4";"5";"6";"7";"8";"9"},Hoja1!D590)))=0,"Sí","No")</f>
        <v>Sí</v>
      </c>
      <c r="K590" s="3" t="str">
        <f t="shared" si="9"/>
        <v>Sí</v>
      </c>
    </row>
    <row r="591" spans="1:11" ht="15" customHeight="1" x14ac:dyDescent="0.3">
      <c r="A591" s="3" t="str">
        <f>Hoja1!A591</f>
        <v>C0590</v>
      </c>
      <c r="B591" s="3" t="str">
        <f>Hoja1!B591</f>
        <v>Cándido Alcázar Canales</v>
      </c>
      <c r="C591" s="3" t="str">
        <f>IF(COUNTA(Hoja1!A591:I591)=0,"Sí","No")</f>
        <v>No</v>
      </c>
      <c r="D591" s="3" t="str">
        <f>IF(COUNTBLANK(Hoja1!A591:I591)&gt;0,"Sí","No")</f>
        <v>No</v>
      </c>
      <c r="E591" s="3" t="str">
        <f>IF(COUNTIF(Hoja1!$A$2:$A$1000,Hoja1!A591)&gt;1,"Sí","No")</f>
        <v>No</v>
      </c>
      <c r="F591" s="3" t="str">
        <f>IF(COUNTIF(Hoja1!$G$2:$G$1000,Hoja1!G591)&gt;1,"Sí","No")</f>
        <v>No</v>
      </c>
      <c r="G591" s="3" t="str">
        <f>IF(OR(ISERROR(FIND("@",Hoja1!G591)),ISERROR(FIND(".",Hoja1!G591,FIND("@",Hoja1!G591)))),"Sí","No")</f>
        <v>No</v>
      </c>
      <c r="H591" s="3" t="str">
        <f>IF(LEN(Hoja1!F591)&lt;&gt;14,"Sí","No")</f>
        <v>No</v>
      </c>
      <c r="I591" s="3" t="str">
        <f>IF(Hoja1!C591&gt;Hoja1!H591,"Sí","No")</f>
        <v>No</v>
      </c>
      <c r="J591" s="3" t="str">
        <f>IF(SUMPRODUCT(--ISNUMBER(SEARCH({"0";"1";"2";"3";"4";"5";"6";"7";"8";"9"},Hoja1!D591)))=0,"Sí","No")</f>
        <v>No</v>
      </c>
      <c r="K591" s="3" t="str">
        <f t="shared" si="9"/>
        <v>No</v>
      </c>
    </row>
    <row r="592" spans="1:11" ht="15" customHeight="1" x14ac:dyDescent="0.3">
      <c r="A592" s="3" t="str">
        <f>Hoja1!A592</f>
        <v>C0591</v>
      </c>
      <c r="B592" s="3" t="str">
        <f>Hoja1!B592</f>
        <v>Jose Carlos Lopez Lledó</v>
      </c>
      <c r="C592" s="3" t="str">
        <f>IF(COUNTA(Hoja1!A592:I592)=0,"Sí","No")</f>
        <v>No</v>
      </c>
      <c r="D592" s="3" t="str">
        <f>IF(COUNTBLANK(Hoja1!A592:I592)&gt;0,"Sí","No")</f>
        <v>No</v>
      </c>
      <c r="E592" s="3" t="str">
        <f>IF(COUNTIF(Hoja1!$A$2:$A$1000,Hoja1!A592)&gt;1,"Sí","No")</f>
        <v>No</v>
      </c>
      <c r="F592" s="3" t="str">
        <f>IF(COUNTIF(Hoja1!$G$2:$G$1000,Hoja1!G592)&gt;1,"Sí","No")</f>
        <v>No</v>
      </c>
      <c r="G592" s="3" t="str">
        <f>IF(OR(ISERROR(FIND("@",Hoja1!G592)),ISERROR(FIND(".",Hoja1!G592,FIND("@",Hoja1!G592)))),"Sí","No")</f>
        <v>No</v>
      </c>
      <c r="H592" s="3" t="str">
        <f>IF(LEN(Hoja1!F592)&lt;&gt;14,"Sí","No")</f>
        <v>No</v>
      </c>
      <c r="I592" s="3" t="str">
        <f>IF(Hoja1!C592&gt;Hoja1!H592,"Sí","No")</f>
        <v>No</v>
      </c>
      <c r="J592" s="3" t="str">
        <f>IF(SUMPRODUCT(--ISNUMBER(SEARCH({"0";"1";"2";"3";"4";"5";"6";"7";"8";"9"},Hoja1!D592)))=0,"Sí","No")</f>
        <v>No</v>
      </c>
      <c r="K592" s="3" t="str">
        <f t="shared" si="9"/>
        <v>No</v>
      </c>
    </row>
    <row r="593" spans="1:11" ht="15" customHeight="1" x14ac:dyDescent="0.3">
      <c r="A593" s="3" t="str">
        <f>Hoja1!A593</f>
        <v>C0592</v>
      </c>
      <c r="B593" s="3" t="str">
        <f>Hoja1!B593</f>
        <v>Adoración de Casanova</v>
      </c>
      <c r="C593" s="3" t="str">
        <f>IF(COUNTA(Hoja1!A593:I593)=0,"Sí","No")</f>
        <v>No</v>
      </c>
      <c r="D593" s="3" t="str">
        <f>IF(COUNTBLANK(Hoja1!A593:I593)&gt;0,"Sí","No")</f>
        <v>No</v>
      </c>
      <c r="E593" s="3" t="str">
        <f>IF(COUNTIF(Hoja1!$A$2:$A$1000,Hoja1!A593)&gt;1,"Sí","No")</f>
        <v>No</v>
      </c>
      <c r="F593" s="3" t="str">
        <f>IF(COUNTIF(Hoja1!$G$2:$G$1000,Hoja1!G593)&gt;1,"Sí","No")</f>
        <v>No</v>
      </c>
      <c r="G593" s="3" t="str">
        <f>IF(OR(ISERROR(FIND("@",Hoja1!G593)),ISERROR(FIND(".",Hoja1!G593,FIND("@",Hoja1!G593)))),"Sí","No")</f>
        <v>No</v>
      </c>
      <c r="H593" s="3" t="str">
        <f>IF(LEN(Hoja1!F593)&lt;&gt;14,"Sí","No")</f>
        <v>No</v>
      </c>
      <c r="I593" s="3" t="str">
        <f>IF(Hoja1!C593&gt;Hoja1!H593,"Sí","No")</f>
        <v>No</v>
      </c>
      <c r="J593" s="3" t="str">
        <f>IF(SUMPRODUCT(--ISNUMBER(SEARCH({"0";"1";"2";"3";"4";"5";"6";"7";"8";"9"},Hoja1!D593)))=0,"Sí","No")</f>
        <v>Sí</v>
      </c>
      <c r="K593" s="3" t="str">
        <f t="shared" si="9"/>
        <v>Sí</v>
      </c>
    </row>
    <row r="594" spans="1:11" ht="15" customHeight="1" x14ac:dyDescent="0.3">
      <c r="A594" s="3" t="str">
        <f>Hoja1!A594</f>
        <v>C0593</v>
      </c>
      <c r="B594" s="3" t="str">
        <f>Hoja1!B594</f>
        <v>Gregorio Salamanca</v>
      </c>
      <c r="C594" s="3" t="str">
        <f>IF(COUNTA(Hoja1!A594:I594)=0,"Sí","No")</f>
        <v>No</v>
      </c>
      <c r="D594" s="3" t="str">
        <f>IF(COUNTBLANK(Hoja1!A594:I594)&gt;0,"Sí","No")</f>
        <v>No</v>
      </c>
      <c r="E594" s="3" t="str">
        <f>IF(COUNTIF(Hoja1!$A$2:$A$1000,Hoja1!A594)&gt;1,"Sí","No")</f>
        <v>No</v>
      </c>
      <c r="F594" s="3" t="str">
        <f>IF(COUNTIF(Hoja1!$G$2:$G$1000,Hoja1!G594)&gt;1,"Sí","No")</f>
        <v>No</v>
      </c>
      <c r="G594" s="3" t="str">
        <f>IF(OR(ISERROR(FIND("@",Hoja1!G594)),ISERROR(FIND(".",Hoja1!G594,FIND("@",Hoja1!G594)))),"Sí","No")</f>
        <v>No</v>
      </c>
      <c r="H594" s="3" t="str">
        <f>IF(LEN(Hoja1!F594)&lt;&gt;14,"Sí","No")</f>
        <v>No</v>
      </c>
      <c r="I594" s="3" t="str">
        <f>IF(Hoja1!C594&gt;Hoja1!H594,"Sí","No")</f>
        <v>No</v>
      </c>
      <c r="J594" s="3" t="str">
        <f>IF(SUMPRODUCT(--ISNUMBER(SEARCH({"0";"1";"2";"3";"4";"5";"6";"7";"8";"9"},Hoja1!D594)))=0,"Sí","No")</f>
        <v>No</v>
      </c>
      <c r="K594" s="3" t="str">
        <f t="shared" si="9"/>
        <v>No</v>
      </c>
    </row>
    <row r="595" spans="1:11" ht="15" customHeight="1" x14ac:dyDescent="0.3">
      <c r="A595" s="3" t="str">
        <f>Hoja1!A595</f>
        <v>C0594</v>
      </c>
      <c r="B595" s="3" t="str">
        <f>Hoja1!B595</f>
        <v>Miguel Llopis</v>
      </c>
      <c r="C595" s="3" t="str">
        <f>IF(COUNTA(Hoja1!A595:I595)=0,"Sí","No")</f>
        <v>No</v>
      </c>
      <c r="D595" s="3" t="str">
        <f>IF(COUNTBLANK(Hoja1!A595:I595)&gt;0,"Sí","No")</f>
        <v>No</v>
      </c>
      <c r="E595" s="3" t="str">
        <f>IF(COUNTIF(Hoja1!$A$2:$A$1000,Hoja1!A595)&gt;1,"Sí","No")</f>
        <v>No</v>
      </c>
      <c r="F595" s="3" t="str">
        <f>IF(COUNTIF(Hoja1!$G$2:$G$1000,Hoja1!G595)&gt;1,"Sí","No")</f>
        <v>No</v>
      </c>
      <c r="G595" s="3" t="str">
        <f>IF(OR(ISERROR(FIND("@",Hoja1!G595)),ISERROR(FIND(".",Hoja1!G595,FIND("@",Hoja1!G595)))),"Sí","No")</f>
        <v>No</v>
      </c>
      <c r="H595" s="3" t="str">
        <f>IF(LEN(Hoja1!F595)&lt;&gt;14,"Sí","No")</f>
        <v>No</v>
      </c>
      <c r="I595" s="3" t="str">
        <f>IF(Hoja1!C595&gt;Hoja1!H595,"Sí","No")</f>
        <v>No</v>
      </c>
      <c r="J595" s="3" t="str">
        <f>IF(SUMPRODUCT(--ISNUMBER(SEARCH({"0";"1";"2";"3";"4";"5";"6";"7";"8";"9"},Hoja1!D595)))=0,"Sí","No")</f>
        <v>No</v>
      </c>
      <c r="K595" s="3" t="str">
        <f t="shared" si="9"/>
        <v>No</v>
      </c>
    </row>
    <row r="596" spans="1:11" ht="15" customHeight="1" x14ac:dyDescent="0.3">
      <c r="A596" s="3" t="str">
        <f>Hoja1!A596</f>
        <v>C0595</v>
      </c>
      <c r="B596" s="3" t="str">
        <f>Hoja1!B596</f>
        <v>Eutimio Gilberto Pagès Ricart</v>
      </c>
      <c r="C596" s="3" t="str">
        <f>IF(COUNTA(Hoja1!A596:I596)=0,"Sí","No")</f>
        <v>No</v>
      </c>
      <c r="D596" s="3" t="str">
        <f>IF(COUNTBLANK(Hoja1!A596:I596)&gt;0,"Sí","No")</f>
        <v>No</v>
      </c>
      <c r="E596" s="3" t="str">
        <f>IF(COUNTIF(Hoja1!$A$2:$A$1000,Hoja1!A596)&gt;1,"Sí","No")</f>
        <v>No</v>
      </c>
      <c r="F596" s="3" t="str">
        <f>IF(COUNTIF(Hoja1!$G$2:$G$1000,Hoja1!G596)&gt;1,"Sí","No")</f>
        <v>No</v>
      </c>
      <c r="G596" s="3" t="str">
        <f>IF(OR(ISERROR(FIND("@",Hoja1!G596)),ISERROR(FIND(".",Hoja1!G596,FIND("@",Hoja1!G596)))),"Sí","No")</f>
        <v>No</v>
      </c>
      <c r="H596" s="3" t="str">
        <f>IF(LEN(Hoja1!F596)&lt;&gt;14,"Sí","No")</f>
        <v>No</v>
      </c>
      <c r="I596" s="3" t="str">
        <f>IF(Hoja1!C596&gt;Hoja1!H596,"Sí","No")</f>
        <v>No</v>
      </c>
      <c r="J596" s="3" t="str">
        <f>IF(SUMPRODUCT(--ISNUMBER(SEARCH({"0";"1";"2";"3";"4";"5";"6";"7";"8";"9"},Hoja1!D596)))=0,"Sí","No")</f>
        <v>Sí</v>
      </c>
      <c r="K596" s="3" t="str">
        <f t="shared" si="9"/>
        <v>Sí</v>
      </c>
    </row>
    <row r="597" spans="1:11" ht="15" customHeight="1" x14ac:dyDescent="0.3">
      <c r="A597" s="3" t="str">
        <f>Hoja1!A597</f>
        <v>C0596</v>
      </c>
      <c r="B597" s="3" t="str">
        <f>Hoja1!B597</f>
        <v>Anita Roca-Soler</v>
      </c>
      <c r="C597" s="3" t="str">
        <f>IF(COUNTA(Hoja1!A597:I597)=0,"Sí","No")</f>
        <v>No</v>
      </c>
      <c r="D597" s="3" t="str">
        <f>IF(COUNTBLANK(Hoja1!A597:I597)&gt;0,"Sí","No")</f>
        <v>No</v>
      </c>
      <c r="E597" s="3" t="str">
        <f>IF(COUNTIF(Hoja1!$A$2:$A$1000,Hoja1!A597)&gt;1,"Sí","No")</f>
        <v>No</v>
      </c>
      <c r="F597" s="3" t="str">
        <f>IF(COUNTIF(Hoja1!$G$2:$G$1000,Hoja1!G597)&gt;1,"Sí","No")</f>
        <v>No</v>
      </c>
      <c r="G597" s="3" t="str">
        <f>IF(OR(ISERROR(FIND("@",Hoja1!G597)),ISERROR(FIND(".",Hoja1!G597,FIND("@",Hoja1!G597)))),"Sí","No")</f>
        <v>No</v>
      </c>
      <c r="H597" s="3" t="str">
        <f>IF(LEN(Hoja1!F597)&lt;&gt;14,"Sí","No")</f>
        <v>No</v>
      </c>
      <c r="I597" s="3" t="str">
        <f>IF(Hoja1!C597&gt;Hoja1!H597,"Sí","No")</f>
        <v>No</v>
      </c>
      <c r="J597" s="3" t="str">
        <f>IF(SUMPRODUCT(--ISNUMBER(SEARCH({"0";"1";"2";"3";"4";"5";"6";"7";"8";"9"},Hoja1!D597)))=0,"Sí","No")</f>
        <v>No</v>
      </c>
      <c r="K597" s="3" t="str">
        <f t="shared" si="9"/>
        <v>No</v>
      </c>
    </row>
    <row r="598" spans="1:11" ht="15" customHeight="1" x14ac:dyDescent="0.3">
      <c r="A598" s="3" t="str">
        <f>Hoja1!A598</f>
        <v>C0597</v>
      </c>
      <c r="B598" s="3" t="str">
        <f>Hoja1!B598</f>
        <v>Adalberto Gomis-Bello</v>
      </c>
      <c r="C598" s="3" t="str">
        <f>IF(COUNTA(Hoja1!A598:I598)=0,"Sí","No")</f>
        <v>No</v>
      </c>
      <c r="D598" s="3" t="str">
        <f>IF(COUNTBLANK(Hoja1!A598:I598)&gt;0,"Sí","No")</f>
        <v>No</v>
      </c>
      <c r="E598" s="3" t="str">
        <f>IF(COUNTIF(Hoja1!$A$2:$A$1000,Hoja1!A598)&gt;1,"Sí","No")</f>
        <v>No</v>
      </c>
      <c r="F598" s="3" t="str">
        <f>IF(COUNTIF(Hoja1!$G$2:$G$1000,Hoja1!G598)&gt;1,"Sí","No")</f>
        <v>No</v>
      </c>
      <c r="G598" s="3" t="str">
        <f>IF(OR(ISERROR(FIND("@",Hoja1!G598)),ISERROR(FIND(".",Hoja1!G598,FIND("@",Hoja1!G598)))),"Sí","No")</f>
        <v>No</v>
      </c>
      <c r="H598" s="3" t="str">
        <f>IF(LEN(Hoja1!F598)&lt;&gt;14,"Sí","No")</f>
        <v>No</v>
      </c>
      <c r="I598" s="3" t="str">
        <f>IF(Hoja1!C598&gt;Hoja1!H598,"Sí","No")</f>
        <v>No</v>
      </c>
      <c r="J598" s="3" t="str">
        <f>IF(SUMPRODUCT(--ISNUMBER(SEARCH({"0";"1";"2";"3";"4";"5";"6";"7";"8";"9"},Hoja1!D598)))=0,"Sí","No")</f>
        <v>No</v>
      </c>
      <c r="K598" s="3" t="str">
        <f t="shared" si="9"/>
        <v>No</v>
      </c>
    </row>
    <row r="599" spans="1:11" ht="15" customHeight="1" x14ac:dyDescent="0.3">
      <c r="A599" s="3" t="str">
        <f>Hoja1!A599</f>
        <v>C0598</v>
      </c>
      <c r="B599" s="3" t="str">
        <f>Hoja1!B599</f>
        <v>Paz Giner Reig</v>
      </c>
      <c r="C599" s="3" t="str">
        <f>IF(COUNTA(Hoja1!A599:I599)=0,"Sí","No")</f>
        <v>No</v>
      </c>
      <c r="D599" s="3" t="str">
        <f>IF(COUNTBLANK(Hoja1!A599:I599)&gt;0,"Sí","No")</f>
        <v>No</v>
      </c>
      <c r="E599" s="3" t="str">
        <f>IF(COUNTIF(Hoja1!$A$2:$A$1000,Hoja1!A599)&gt;1,"Sí","No")</f>
        <v>No</v>
      </c>
      <c r="F599" s="3" t="str">
        <f>IF(COUNTIF(Hoja1!$G$2:$G$1000,Hoja1!G599)&gt;1,"Sí","No")</f>
        <v>No</v>
      </c>
      <c r="G599" s="3" t="str">
        <f>IF(OR(ISERROR(FIND("@",Hoja1!G599)),ISERROR(FIND(".",Hoja1!G599,FIND("@",Hoja1!G599)))),"Sí","No")</f>
        <v>No</v>
      </c>
      <c r="H599" s="3" t="str">
        <f>IF(LEN(Hoja1!F599)&lt;&gt;14,"Sí","No")</f>
        <v>No</v>
      </c>
      <c r="I599" s="3" t="str">
        <f>IF(Hoja1!C599&gt;Hoja1!H599,"Sí","No")</f>
        <v>No</v>
      </c>
      <c r="J599" s="3" t="str">
        <f>IF(SUMPRODUCT(--ISNUMBER(SEARCH({"0";"1";"2";"3";"4";"5";"6";"7";"8";"9"},Hoja1!D599)))=0,"Sí","No")</f>
        <v>Sí</v>
      </c>
      <c r="K599" s="3" t="str">
        <f t="shared" si="9"/>
        <v>Sí</v>
      </c>
    </row>
    <row r="600" spans="1:11" ht="15" customHeight="1" x14ac:dyDescent="0.3">
      <c r="A600" s="3" t="str">
        <f>Hoja1!A600</f>
        <v>C0599</v>
      </c>
      <c r="B600" s="3" t="str">
        <f>Hoja1!B600</f>
        <v>Horacio Cuéllar Escobar</v>
      </c>
      <c r="C600" s="3" t="str">
        <f>IF(COUNTA(Hoja1!A600:I600)=0,"Sí","No")</f>
        <v>No</v>
      </c>
      <c r="D600" s="3" t="str">
        <f>IF(COUNTBLANK(Hoja1!A600:I600)&gt;0,"Sí","No")</f>
        <v>No</v>
      </c>
      <c r="E600" s="3" t="str">
        <f>IF(COUNTIF(Hoja1!$A$2:$A$1000,Hoja1!A600)&gt;1,"Sí","No")</f>
        <v>No</v>
      </c>
      <c r="F600" s="3" t="str">
        <f>IF(COUNTIF(Hoja1!$G$2:$G$1000,Hoja1!G600)&gt;1,"Sí","No")</f>
        <v>No</v>
      </c>
      <c r="G600" s="3" t="str">
        <f>IF(OR(ISERROR(FIND("@",Hoja1!G600)),ISERROR(FIND(".",Hoja1!G600,FIND("@",Hoja1!G600)))),"Sí","No")</f>
        <v>No</v>
      </c>
      <c r="H600" s="3" t="str">
        <f>IF(LEN(Hoja1!F600)&lt;&gt;14,"Sí","No")</f>
        <v>No</v>
      </c>
      <c r="I600" s="3" t="str">
        <f>IF(Hoja1!C600&gt;Hoja1!H600,"Sí","No")</f>
        <v>No</v>
      </c>
      <c r="J600" s="3" t="str">
        <f>IF(SUMPRODUCT(--ISNUMBER(SEARCH({"0";"1";"2";"3";"4";"5";"6";"7";"8";"9"},Hoja1!D600)))=0,"Sí","No")</f>
        <v>No</v>
      </c>
      <c r="K600" s="3" t="str">
        <f t="shared" si="9"/>
        <v>No</v>
      </c>
    </row>
    <row r="601" spans="1:11" ht="15" customHeight="1" x14ac:dyDescent="0.3">
      <c r="A601" s="3" t="str">
        <f>Hoja1!A601</f>
        <v>C0600</v>
      </c>
      <c r="B601" s="3" t="str">
        <f>Hoja1!B601</f>
        <v>Urbano Real-Tolosa</v>
      </c>
      <c r="C601" s="3" t="str">
        <f>IF(COUNTA(Hoja1!A601:I601)=0,"Sí","No")</f>
        <v>No</v>
      </c>
      <c r="D601" s="3" t="str">
        <f>IF(COUNTBLANK(Hoja1!A601:I601)&gt;0,"Sí","No")</f>
        <v>No</v>
      </c>
      <c r="E601" s="3" t="str">
        <f>IF(COUNTIF(Hoja1!$A$2:$A$1000,Hoja1!A601)&gt;1,"Sí","No")</f>
        <v>No</v>
      </c>
      <c r="F601" s="3" t="str">
        <f>IF(COUNTIF(Hoja1!$G$2:$G$1000,Hoja1!G601)&gt;1,"Sí","No")</f>
        <v>No</v>
      </c>
      <c r="G601" s="3" t="str">
        <f>IF(OR(ISERROR(FIND("@",Hoja1!G601)),ISERROR(FIND(".",Hoja1!G601,FIND("@",Hoja1!G601)))),"Sí","No")</f>
        <v>No</v>
      </c>
      <c r="H601" s="3" t="str">
        <f>IF(LEN(Hoja1!F601)&lt;&gt;14,"Sí","No")</f>
        <v>No</v>
      </c>
      <c r="I601" s="3" t="str">
        <f>IF(Hoja1!C601&gt;Hoja1!H601,"Sí","No")</f>
        <v>No</v>
      </c>
      <c r="J601" s="3" t="str">
        <f>IF(SUMPRODUCT(--ISNUMBER(SEARCH({"0";"1";"2";"3";"4";"5";"6";"7";"8";"9"},Hoja1!D601)))=0,"Sí","No")</f>
        <v>No</v>
      </c>
      <c r="K601" s="3" t="str">
        <f t="shared" si="9"/>
        <v>No</v>
      </c>
    </row>
    <row r="602" spans="1:11" ht="15" customHeight="1" x14ac:dyDescent="0.3">
      <c r="A602" s="3" t="str">
        <f>Hoja1!A602</f>
        <v>C0601</v>
      </c>
      <c r="B602" s="3" t="str">
        <f>Hoja1!B602</f>
        <v>Curro Segarra Peinado</v>
      </c>
      <c r="C602" s="3" t="str">
        <f>IF(COUNTA(Hoja1!A602:I602)=0,"Sí","No")</f>
        <v>No</v>
      </c>
      <c r="D602" s="3" t="str">
        <f>IF(COUNTBLANK(Hoja1!A602:I602)&gt;0,"Sí","No")</f>
        <v>No</v>
      </c>
      <c r="E602" s="3" t="str">
        <f>IF(COUNTIF(Hoja1!$A$2:$A$1000,Hoja1!A602)&gt;1,"Sí","No")</f>
        <v>No</v>
      </c>
      <c r="F602" s="3" t="str">
        <f>IF(COUNTIF(Hoja1!$G$2:$G$1000,Hoja1!G602)&gt;1,"Sí","No")</f>
        <v>No</v>
      </c>
      <c r="G602" s="3" t="str">
        <f>IF(OR(ISERROR(FIND("@",Hoja1!G602)),ISERROR(FIND(".",Hoja1!G602,FIND("@",Hoja1!G602)))),"Sí","No")</f>
        <v>No</v>
      </c>
      <c r="H602" s="3" t="str">
        <f>IF(LEN(Hoja1!F602)&lt;&gt;14,"Sí","No")</f>
        <v>No</v>
      </c>
      <c r="I602" s="3" t="str">
        <f>IF(Hoja1!C602&gt;Hoja1!H602,"Sí","No")</f>
        <v>No</v>
      </c>
      <c r="J602" s="3" t="str">
        <f>IF(SUMPRODUCT(--ISNUMBER(SEARCH({"0";"1";"2";"3";"4";"5";"6";"7";"8";"9"},Hoja1!D602)))=0,"Sí","No")</f>
        <v>Sí</v>
      </c>
      <c r="K602" s="3" t="str">
        <f t="shared" si="9"/>
        <v>Sí</v>
      </c>
    </row>
    <row r="603" spans="1:11" ht="15" customHeight="1" x14ac:dyDescent="0.3">
      <c r="A603" s="3" t="str">
        <f>Hoja1!A603</f>
        <v>C0602</v>
      </c>
      <c r="B603" s="3" t="str">
        <f>Hoja1!B603</f>
        <v>Clemente Nevado</v>
      </c>
      <c r="C603" s="3" t="str">
        <f>IF(COUNTA(Hoja1!A603:I603)=0,"Sí","No")</f>
        <v>No</v>
      </c>
      <c r="D603" s="3" t="str">
        <f>IF(COUNTBLANK(Hoja1!A603:I603)&gt;0,"Sí","No")</f>
        <v>No</v>
      </c>
      <c r="E603" s="3" t="str">
        <f>IF(COUNTIF(Hoja1!$A$2:$A$1000,Hoja1!A603)&gt;1,"Sí","No")</f>
        <v>No</v>
      </c>
      <c r="F603" s="3" t="str">
        <f>IF(COUNTIF(Hoja1!$G$2:$G$1000,Hoja1!G603)&gt;1,"Sí","No")</f>
        <v>No</v>
      </c>
      <c r="G603" s="3" t="str">
        <f>IF(OR(ISERROR(FIND("@",Hoja1!G603)),ISERROR(FIND(".",Hoja1!G603,FIND("@",Hoja1!G603)))),"Sí","No")</f>
        <v>No</v>
      </c>
      <c r="H603" s="3" t="str">
        <f>IF(LEN(Hoja1!F603)&lt;&gt;14,"Sí","No")</f>
        <v>No</v>
      </c>
      <c r="I603" s="3" t="str">
        <f>IF(Hoja1!C603&gt;Hoja1!H603,"Sí","No")</f>
        <v>No</v>
      </c>
      <c r="J603" s="3" t="str">
        <f>IF(SUMPRODUCT(--ISNUMBER(SEARCH({"0";"1";"2";"3";"4";"5";"6";"7";"8";"9"},Hoja1!D603)))=0,"Sí","No")</f>
        <v>No</v>
      </c>
      <c r="K603" s="3" t="str">
        <f t="shared" si="9"/>
        <v>No</v>
      </c>
    </row>
    <row r="604" spans="1:11" ht="15" customHeight="1" x14ac:dyDescent="0.3">
      <c r="A604" s="3" t="str">
        <f>Hoja1!A604</f>
        <v>C0603</v>
      </c>
      <c r="B604" s="3" t="str">
        <f>Hoja1!B604</f>
        <v>Azucena Elías Heredia</v>
      </c>
      <c r="C604" s="3" t="str">
        <f>IF(COUNTA(Hoja1!A604:I604)=0,"Sí","No")</f>
        <v>No</v>
      </c>
      <c r="D604" s="3" t="str">
        <f>IF(COUNTBLANK(Hoja1!A604:I604)&gt;0,"Sí","No")</f>
        <v>No</v>
      </c>
      <c r="E604" s="3" t="str">
        <f>IF(COUNTIF(Hoja1!$A$2:$A$1000,Hoja1!A604)&gt;1,"Sí","No")</f>
        <v>No</v>
      </c>
      <c r="F604" s="3" t="str">
        <f>IF(COUNTIF(Hoja1!$G$2:$G$1000,Hoja1!G604)&gt;1,"Sí","No")</f>
        <v>No</v>
      </c>
      <c r="G604" s="3" t="str">
        <f>IF(OR(ISERROR(FIND("@",Hoja1!G604)),ISERROR(FIND(".",Hoja1!G604,FIND("@",Hoja1!G604)))),"Sí","No")</f>
        <v>No</v>
      </c>
      <c r="H604" s="3" t="str">
        <f>IF(LEN(Hoja1!F604)&lt;&gt;14,"Sí","No")</f>
        <v>No</v>
      </c>
      <c r="I604" s="3" t="str">
        <f>IF(Hoja1!C604&gt;Hoja1!H604,"Sí","No")</f>
        <v>No</v>
      </c>
      <c r="J604" s="3" t="str">
        <f>IF(SUMPRODUCT(--ISNUMBER(SEARCH({"0";"1";"2";"3";"4";"5";"6";"7";"8";"9"},Hoja1!D604)))=0,"Sí","No")</f>
        <v>No</v>
      </c>
      <c r="K604" s="3" t="str">
        <f t="shared" si="9"/>
        <v>No</v>
      </c>
    </row>
    <row r="605" spans="1:11" ht="15" customHeight="1" x14ac:dyDescent="0.3">
      <c r="A605" s="3" t="str">
        <f>Hoja1!A605</f>
        <v>C0604</v>
      </c>
      <c r="B605" s="3" t="str">
        <f>Hoja1!B605</f>
        <v>Nicolasa Villena-Saura</v>
      </c>
      <c r="C605" s="3" t="str">
        <f>IF(COUNTA(Hoja1!A605:I605)=0,"Sí","No")</f>
        <v>No</v>
      </c>
      <c r="D605" s="3" t="str">
        <f>IF(COUNTBLANK(Hoja1!A605:I605)&gt;0,"Sí","No")</f>
        <v>No</v>
      </c>
      <c r="E605" s="3" t="str">
        <f>IF(COUNTIF(Hoja1!$A$2:$A$1000,Hoja1!A605)&gt;1,"Sí","No")</f>
        <v>No</v>
      </c>
      <c r="F605" s="3" t="str">
        <f>IF(COUNTIF(Hoja1!$G$2:$G$1000,Hoja1!G605)&gt;1,"Sí","No")</f>
        <v>No</v>
      </c>
      <c r="G605" s="3" t="str">
        <f>IF(OR(ISERROR(FIND("@",Hoja1!G605)),ISERROR(FIND(".",Hoja1!G605,FIND("@",Hoja1!G605)))),"Sí","No")</f>
        <v>No</v>
      </c>
      <c r="H605" s="3" t="str">
        <f>IF(LEN(Hoja1!F605)&lt;&gt;14,"Sí","No")</f>
        <v>No</v>
      </c>
      <c r="I605" s="3" t="str">
        <f>IF(Hoja1!C605&gt;Hoja1!H605,"Sí","No")</f>
        <v>No</v>
      </c>
      <c r="J605" s="3" t="str">
        <f>IF(SUMPRODUCT(--ISNUMBER(SEARCH({"0";"1";"2";"3";"4";"5";"6";"7";"8";"9"},Hoja1!D605)))=0,"Sí","No")</f>
        <v>Sí</v>
      </c>
      <c r="K605" s="3" t="str">
        <f t="shared" si="9"/>
        <v>Sí</v>
      </c>
    </row>
    <row r="606" spans="1:11" ht="15" customHeight="1" x14ac:dyDescent="0.3">
      <c r="A606" s="3" t="str">
        <f>Hoja1!A606</f>
        <v>C0605</v>
      </c>
      <c r="B606" s="3" t="str">
        <f>Hoja1!B606</f>
        <v>Luis Miguel Amaya</v>
      </c>
      <c r="C606" s="3" t="str">
        <f>IF(COUNTA(Hoja1!A606:I606)=0,"Sí","No")</f>
        <v>No</v>
      </c>
      <c r="D606" s="3" t="str">
        <f>IF(COUNTBLANK(Hoja1!A606:I606)&gt;0,"Sí","No")</f>
        <v>No</v>
      </c>
      <c r="E606" s="3" t="str">
        <f>IF(COUNTIF(Hoja1!$A$2:$A$1000,Hoja1!A606)&gt;1,"Sí","No")</f>
        <v>No</v>
      </c>
      <c r="F606" s="3" t="str">
        <f>IF(COUNTIF(Hoja1!$G$2:$G$1000,Hoja1!G606)&gt;1,"Sí","No")</f>
        <v>No</v>
      </c>
      <c r="G606" s="3" t="str">
        <f>IF(OR(ISERROR(FIND("@",Hoja1!G606)),ISERROR(FIND(".",Hoja1!G606,FIND("@",Hoja1!G606)))),"Sí","No")</f>
        <v>No</v>
      </c>
      <c r="H606" s="3" t="str">
        <f>IF(LEN(Hoja1!F606)&lt;&gt;14,"Sí","No")</f>
        <v>No</v>
      </c>
      <c r="I606" s="3" t="str">
        <f>IF(Hoja1!C606&gt;Hoja1!H606,"Sí","No")</f>
        <v>No</v>
      </c>
      <c r="J606" s="3" t="str">
        <f>IF(SUMPRODUCT(--ISNUMBER(SEARCH({"0";"1";"2";"3";"4";"5";"6";"7";"8";"9"},Hoja1!D606)))=0,"Sí","No")</f>
        <v>No</v>
      </c>
      <c r="K606" s="3" t="str">
        <f t="shared" si="9"/>
        <v>No</v>
      </c>
    </row>
    <row r="607" spans="1:11" ht="15" customHeight="1" x14ac:dyDescent="0.3">
      <c r="A607" s="3" t="str">
        <f>Hoja1!A607</f>
        <v>C0606</v>
      </c>
      <c r="B607" s="3" t="str">
        <f>Hoja1!B607</f>
        <v>Salomé Pla Pons</v>
      </c>
      <c r="C607" s="3" t="str">
        <f>IF(COUNTA(Hoja1!A607:I607)=0,"Sí","No")</f>
        <v>No</v>
      </c>
      <c r="D607" s="3" t="str">
        <f>IF(COUNTBLANK(Hoja1!A607:I607)&gt;0,"Sí","No")</f>
        <v>No</v>
      </c>
      <c r="E607" s="3" t="str">
        <f>IF(COUNTIF(Hoja1!$A$2:$A$1000,Hoja1!A607)&gt;1,"Sí","No")</f>
        <v>No</v>
      </c>
      <c r="F607" s="3" t="str">
        <f>IF(COUNTIF(Hoja1!$G$2:$G$1000,Hoja1!G607)&gt;1,"Sí","No")</f>
        <v>No</v>
      </c>
      <c r="G607" s="3" t="str">
        <f>IF(OR(ISERROR(FIND("@",Hoja1!G607)),ISERROR(FIND(".",Hoja1!G607,FIND("@",Hoja1!G607)))),"Sí","No")</f>
        <v>No</v>
      </c>
      <c r="H607" s="3" t="str">
        <f>IF(LEN(Hoja1!F607)&lt;&gt;14,"Sí","No")</f>
        <v>No</v>
      </c>
      <c r="I607" s="3" t="str">
        <f>IF(Hoja1!C607&gt;Hoja1!H607,"Sí","No")</f>
        <v>No</v>
      </c>
      <c r="J607" s="3" t="str">
        <f>IF(SUMPRODUCT(--ISNUMBER(SEARCH({"0";"1";"2";"3";"4";"5";"6";"7";"8";"9"},Hoja1!D607)))=0,"Sí","No")</f>
        <v>No</v>
      </c>
      <c r="K607" s="3" t="str">
        <f t="shared" si="9"/>
        <v>No</v>
      </c>
    </row>
    <row r="608" spans="1:11" ht="15" customHeight="1" x14ac:dyDescent="0.3">
      <c r="A608" s="3" t="str">
        <f>Hoja1!A608</f>
        <v>C0607</v>
      </c>
      <c r="B608" s="3" t="str">
        <f>Hoja1!B608</f>
        <v>Nazaret Morán Escamilla</v>
      </c>
      <c r="C608" s="3" t="str">
        <f>IF(COUNTA(Hoja1!A608:I608)=0,"Sí","No")</f>
        <v>No</v>
      </c>
      <c r="D608" s="3" t="str">
        <f>IF(COUNTBLANK(Hoja1!A608:I608)&gt;0,"Sí","No")</f>
        <v>No</v>
      </c>
      <c r="E608" s="3" t="str">
        <f>IF(COUNTIF(Hoja1!$A$2:$A$1000,Hoja1!A608)&gt;1,"Sí","No")</f>
        <v>No</v>
      </c>
      <c r="F608" s="3" t="str">
        <f>IF(COUNTIF(Hoja1!$G$2:$G$1000,Hoja1!G608)&gt;1,"Sí","No")</f>
        <v>No</v>
      </c>
      <c r="G608" s="3" t="str">
        <f>IF(OR(ISERROR(FIND("@",Hoja1!G608)),ISERROR(FIND(".",Hoja1!G608,FIND("@",Hoja1!G608)))),"Sí","No")</f>
        <v>No</v>
      </c>
      <c r="H608" s="3" t="str">
        <f>IF(LEN(Hoja1!F608)&lt;&gt;14,"Sí","No")</f>
        <v>No</v>
      </c>
      <c r="I608" s="3" t="str">
        <f>IF(Hoja1!C608&gt;Hoja1!H608,"Sí","No")</f>
        <v>No</v>
      </c>
      <c r="J608" s="3" t="str">
        <f>IF(SUMPRODUCT(--ISNUMBER(SEARCH({"0";"1";"2";"3";"4";"5";"6";"7";"8";"9"},Hoja1!D608)))=0,"Sí","No")</f>
        <v>Sí</v>
      </c>
      <c r="K608" s="3" t="str">
        <f t="shared" si="9"/>
        <v>Sí</v>
      </c>
    </row>
    <row r="609" spans="1:11" ht="15" customHeight="1" x14ac:dyDescent="0.3">
      <c r="A609" s="3" t="str">
        <f>Hoja1!A609</f>
        <v>C0608</v>
      </c>
      <c r="B609" s="3" t="str">
        <f>Hoja1!B609</f>
        <v>Rafael Edu Zamorano Ochoa</v>
      </c>
      <c r="C609" s="3" t="str">
        <f>IF(COUNTA(Hoja1!A609:I609)=0,"Sí","No")</f>
        <v>No</v>
      </c>
      <c r="D609" s="3" t="str">
        <f>IF(COUNTBLANK(Hoja1!A609:I609)&gt;0,"Sí","No")</f>
        <v>No</v>
      </c>
      <c r="E609" s="3" t="str">
        <f>IF(COUNTIF(Hoja1!$A$2:$A$1000,Hoja1!A609)&gt;1,"Sí","No")</f>
        <v>No</v>
      </c>
      <c r="F609" s="3" t="str">
        <f>IF(COUNTIF(Hoja1!$G$2:$G$1000,Hoja1!G609)&gt;1,"Sí","No")</f>
        <v>No</v>
      </c>
      <c r="G609" s="3" t="str">
        <f>IF(OR(ISERROR(FIND("@",Hoja1!G609)),ISERROR(FIND(".",Hoja1!G609,FIND("@",Hoja1!G609)))),"Sí","No")</f>
        <v>No</v>
      </c>
      <c r="H609" s="3" t="str">
        <f>IF(LEN(Hoja1!F609)&lt;&gt;14,"Sí","No")</f>
        <v>No</v>
      </c>
      <c r="I609" s="3" t="str">
        <f>IF(Hoja1!C609&gt;Hoja1!H609,"Sí","No")</f>
        <v>No</v>
      </c>
      <c r="J609" s="3" t="str">
        <f>IF(SUMPRODUCT(--ISNUMBER(SEARCH({"0";"1";"2";"3";"4";"5";"6";"7";"8";"9"},Hoja1!D609)))=0,"Sí","No")</f>
        <v>No</v>
      </c>
      <c r="K609" s="3" t="str">
        <f t="shared" si="9"/>
        <v>No</v>
      </c>
    </row>
    <row r="610" spans="1:11" ht="15" customHeight="1" x14ac:dyDescent="0.3">
      <c r="A610" s="3" t="str">
        <f>Hoja1!A610</f>
        <v>C0609</v>
      </c>
      <c r="B610" s="3" t="str">
        <f>Hoja1!B610</f>
        <v>Sergio Salmerón Carreras</v>
      </c>
      <c r="C610" s="3" t="str">
        <f>IF(COUNTA(Hoja1!A610:I610)=0,"Sí","No")</f>
        <v>No</v>
      </c>
      <c r="D610" s="3" t="str">
        <f>IF(COUNTBLANK(Hoja1!A610:I610)&gt;0,"Sí","No")</f>
        <v>No</v>
      </c>
      <c r="E610" s="3" t="str">
        <f>IF(COUNTIF(Hoja1!$A$2:$A$1000,Hoja1!A610)&gt;1,"Sí","No")</f>
        <v>No</v>
      </c>
      <c r="F610" s="3" t="str">
        <f>IF(COUNTIF(Hoja1!$G$2:$G$1000,Hoja1!G610)&gt;1,"Sí","No")</f>
        <v>No</v>
      </c>
      <c r="G610" s="3" t="str">
        <f>IF(OR(ISERROR(FIND("@",Hoja1!G610)),ISERROR(FIND(".",Hoja1!G610,FIND("@",Hoja1!G610)))),"Sí","No")</f>
        <v>No</v>
      </c>
      <c r="H610" s="3" t="str">
        <f>IF(LEN(Hoja1!F610)&lt;&gt;14,"Sí","No")</f>
        <v>No</v>
      </c>
      <c r="I610" s="3" t="str">
        <f>IF(Hoja1!C610&gt;Hoja1!H610,"Sí","No")</f>
        <v>No</v>
      </c>
      <c r="J610" s="3" t="str">
        <f>IF(SUMPRODUCT(--ISNUMBER(SEARCH({"0";"1";"2";"3";"4";"5";"6";"7";"8";"9"},Hoja1!D610)))=0,"Sí","No")</f>
        <v>No</v>
      </c>
      <c r="K610" s="3" t="str">
        <f t="shared" si="9"/>
        <v>No</v>
      </c>
    </row>
    <row r="611" spans="1:11" ht="15" customHeight="1" x14ac:dyDescent="0.3">
      <c r="A611" s="3" t="str">
        <f>Hoja1!A611</f>
        <v>C0610</v>
      </c>
      <c r="B611" s="3" t="str">
        <f>Hoja1!B611</f>
        <v>Mamen del Carrasco</v>
      </c>
      <c r="C611" s="3" t="str">
        <f>IF(COUNTA(Hoja1!A611:I611)=0,"Sí","No")</f>
        <v>No</v>
      </c>
      <c r="D611" s="3" t="str">
        <f>IF(COUNTBLANK(Hoja1!A611:I611)&gt;0,"Sí","No")</f>
        <v>No</v>
      </c>
      <c r="E611" s="3" t="str">
        <f>IF(COUNTIF(Hoja1!$A$2:$A$1000,Hoja1!A611)&gt;1,"Sí","No")</f>
        <v>No</v>
      </c>
      <c r="F611" s="3" t="str">
        <f>IF(COUNTIF(Hoja1!$G$2:$G$1000,Hoja1!G611)&gt;1,"Sí","No")</f>
        <v>No</v>
      </c>
      <c r="G611" s="3" t="str">
        <f>IF(OR(ISERROR(FIND("@",Hoja1!G611)),ISERROR(FIND(".",Hoja1!G611,FIND("@",Hoja1!G611)))),"Sí","No")</f>
        <v>No</v>
      </c>
      <c r="H611" s="3" t="str">
        <f>IF(LEN(Hoja1!F611)&lt;&gt;14,"Sí","No")</f>
        <v>No</v>
      </c>
      <c r="I611" s="3" t="str">
        <f>IF(Hoja1!C611&gt;Hoja1!H611,"Sí","No")</f>
        <v>No</v>
      </c>
      <c r="J611" s="3" t="str">
        <f>IF(SUMPRODUCT(--ISNUMBER(SEARCH({"0";"1";"2";"3";"4";"5";"6";"7";"8";"9"},Hoja1!D611)))=0,"Sí","No")</f>
        <v>Sí</v>
      </c>
      <c r="K611" s="3" t="str">
        <f t="shared" si="9"/>
        <v>Sí</v>
      </c>
    </row>
    <row r="612" spans="1:11" ht="15" customHeight="1" x14ac:dyDescent="0.3">
      <c r="A612" s="3" t="str">
        <f>Hoja1!A612</f>
        <v>C0611</v>
      </c>
      <c r="B612" s="3" t="str">
        <f>Hoja1!B612</f>
        <v>Tecla Aparicio Boada</v>
      </c>
      <c r="C612" s="3" t="str">
        <f>IF(COUNTA(Hoja1!A612:I612)=0,"Sí","No")</f>
        <v>No</v>
      </c>
      <c r="D612" s="3" t="str">
        <f>IF(COUNTBLANK(Hoja1!A612:I612)&gt;0,"Sí","No")</f>
        <v>No</v>
      </c>
      <c r="E612" s="3" t="str">
        <f>IF(COUNTIF(Hoja1!$A$2:$A$1000,Hoja1!A612)&gt;1,"Sí","No")</f>
        <v>No</v>
      </c>
      <c r="F612" s="3" t="str">
        <f>IF(COUNTIF(Hoja1!$G$2:$G$1000,Hoja1!G612)&gt;1,"Sí","No")</f>
        <v>No</v>
      </c>
      <c r="G612" s="3" t="str">
        <f>IF(OR(ISERROR(FIND("@",Hoja1!G612)),ISERROR(FIND(".",Hoja1!G612,FIND("@",Hoja1!G612)))),"Sí","No")</f>
        <v>No</v>
      </c>
      <c r="H612" s="3" t="str">
        <f>IF(LEN(Hoja1!F612)&lt;&gt;14,"Sí","No")</f>
        <v>No</v>
      </c>
      <c r="I612" s="3" t="str">
        <f>IF(Hoja1!C612&gt;Hoja1!H612,"Sí","No")</f>
        <v>No</v>
      </c>
      <c r="J612" s="3" t="str">
        <f>IF(SUMPRODUCT(--ISNUMBER(SEARCH({"0";"1";"2";"3";"4";"5";"6";"7";"8";"9"},Hoja1!D612)))=0,"Sí","No")</f>
        <v>No</v>
      </c>
      <c r="K612" s="3" t="str">
        <f t="shared" si="9"/>
        <v>No</v>
      </c>
    </row>
    <row r="613" spans="1:11" ht="15" customHeight="1" x14ac:dyDescent="0.3">
      <c r="A613" s="3" t="str">
        <f>Hoja1!A613</f>
        <v>C0612</v>
      </c>
      <c r="B613" s="3" t="str">
        <f>Hoja1!B613</f>
        <v>Amado Rodríguez Girón</v>
      </c>
      <c r="C613" s="3" t="str">
        <f>IF(COUNTA(Hoja1!A613:I613)=0,"Sí","No")</f>
        <v>No</v>
      </c>
      <c r="D613" s="3" t="str">
        <f>IF(COUNTBLANK(Hoja1!A613:I613)&gt;0,"Sí","No")</f>
        <v>No</v>
      </c>
      <c r="E613" s="3" t="str">
        <f>IF(COUNTIF(Hoja1!$A$2:$A$1000,Hoja1!A613)&gt;1,"Sí","No")</f>
        <v>No</v>
      </c>
      <c r="F613" s="3" t="str">
        <f>IF(COUNTIF(Hoja1!$G$2:$G$1000,Hoja1!G613)&gt;1,"Sí","No")</f>
        <v>No</v>
      </c>
      <c r="G613" s="3" t="str">
        <f>IF(OR(ISERROR(FIND("@",Hoja1!G613)),ISERROR(FIND(".",Hoja1!G613,FIND("@",Hoja1!G613)))),"Sí","No")</f>
        <v>No</v>
      </c>
      <c r="H613" s="3" t="str">
        <f>IF(LEN(Hoja1!F613)&lt;&gt;14,"Sí","No")</f>
        <v>No</v>
      </c>
      <c r="I613" s="3" t="str">
        <f>IF(Hoja1!C613&gt;Hoja1!H613,"Sí","No")</f>
        <v>No</v>
      </c>
      <c r="J613" s="3" t="str">
        <f>IF(SUMPRODUCT(--ISNUMBER(SEARCH({"0";"1";"2";"3";"4";"5";"6";"7";"8";"9"},Hoja1!D613)))=0,"Sí","No")</f>
        <v>No</v>
      </c>
      <c r="K613" s="3" t="str">
        <f t="shared" si="9"/>
        <v>No</v>
      </c>
    </row>
    <row r="614" spans="1:11" ht="15" customHeight="1" x14ac:dyDescent="0.3">
      <c r="A614" s="3" t="str">
        <f>Hoja1!A614</f>
        <v>C0613</v>
      </c>
      <c r="B614" s="3" t="str">
        <f>Hoja1!B614</f>
        <v>Jordi Seco Cantón</v>
      </c>
      <c r="C614" s="3" t="str">
        <f>IF(COUNTA(Hoja1!A614:I614)=0,"Sí","No")</f>
        <v>No</v>
      </c>
      <c r="D614" s="3" t="str">
        <f>IF(COUNTBLANK(Hoja1!A614:I614)&gt;0,"Sí","No")</f>
        <v>No</v>
      </c>
      <c r="E614" s="3" t="str">
        <f>IF(COUNTIF(Hoja1!$A$2:$A$1000,Hoja1!A614)&gt;1,"Sí","No")</f>
        <v>No</v>
      </c>
      <c r="F614" s="3" t="str">
        <f>IF(COUNTIF(Hoja1!$G$2:$G$1000,Hoja1!G614)&gt;1,"Sí","No")</f>
        <v>No</v>
      </c>
      <c r="G614" s="3" t="str">
        <f>IF(OR(ISERROR(FIND("@",Hoja1!G614)),ISERROR(FIND(".",Hoja1!G614,FIND("@",Hoja1!G614)))),"Sí","No")</f>
        <v>No</v>
      </c>
      <c r="H614" s="3" t="str">
        <f>IF(LEN(Hoja1!F614)&lt;&gt;14,"Sí","No")</f>
        <v>No</v>
      </c>
      <c r="I614" s="3" t="str">
        <f>IF(Hoja1!C614&gt;Hoja1!H614,"Sí","No")</f>
        <v>No</v>
      </c>
      <c r="J614" s="3" t="str">
        <f>IF(SUMPRODUCT(--ISNUMBER(SEARCH({"0";"1";"2";"3";"4";"5";"6";"7";"8";"9"},Hoja1!D614)))=0,"Sí","No")</f>
        <v>Sí</v>
      </c>
      <c r="K614" s="3" t="str">
        <f t="shared" si="9"/>
        <v>Sí</v>
      </c>
    </row>
    <row r="615" spans="1:11" ht="15" customHeight="1" x14ac:dyDescent="0.3">
      <c r="A615" s="3" t="str">
        <f>Hoja1!A615</f>
        <v>C0614</v>
      </c>
      <c r="B615" s="3" t="str">
        <f>Hoja1!B615</f>
        <v>Manu Vega Girona</v>
      </c>
      <c r="C615" s="3" t="str">
        <f>IF(COUNTA(Hoja1!A615:I615)=0,"Sí","No")</f>
        <v>No</v>
      </c>
      <c r="D615" s="3" t="str">
        <f>IF(COUNTBLANK(Hoja1!A615:I615)&gt;0,"Sí","No")</f>
        <v>No</v>
      </c>
      <c r="E615" s="3" t="str">
        <f>IF(COUNTIF(Hoja1!$A$2:$A$1000,Hoja1!A615)&gt;1,"Sí","No")</f>
        <v>No</v>
      </c>
      <c r="F615" s="3" t="str">
        <f>IF(COUNTIF(Hoja1!$G$2:$G$1000,Hoja1!G615)&gt;1,"Sí","No")</f>
        <v>No</v>
      </c>
      <c r="G615" s="3" t="str">
        <f>IF(OR(ISERROR(FIND("@",Hoja1!G615)),ISERROR(FIND(".",Hoja1!G615,FIND("@",Hoja1!G615)))),"Sí","No")</f>
        <v>No</v>
      </c>
      <c r="H615" s="3" t="str">
        <f>IF(LEN(Hoja1!F615)&lt;&gt;14,"Sí","No")</f>
        <v>No</v>
      </c>
      <c r="I615" s="3" t="str">
        <f>IF(Hoja1!C615&gt;Hoja1!H615,"Sí","No")</f>
        <v>No</v>
      </c>
      <c r="J615" s="3" t="str">
        <f>IF(SUMPRODUCT(--ISNUMBER(SEARCH({"0";"1";"2";"3";"4";"5";"6";"7";"8";"9"},Hoja1!D615)))=0,"Sí","No")</f>
        <v>No</v>
      </c>
      <c r="K615" s="3" t="str">
        <f t="shared" si="9"/>
        <v>No</v>
      </c>
    </row>
    <row r="616" spans="1:11" ht="15" customHeight="1" x14ac:dyDescent="0.3">
      <c r="A616" s="3" t="str">
        <f>Hoja1!A616</f>
        <v>C0615</v>
      </c>
      <c r="B616" s="3" t="str">
        <f>Hoja1!B616</f>
        <v>Basilio Riquelme Gordillo</v>
      </c>
      <c r="C616" s="3" t="str">
        <f>IF(COUNTA(Hoja1!A616:I616)=0,"Sí","No")</f>
        <v>No</v>
      </c>
      <c r="D616" s="3" t="str">
        <f>IF(COUNTBLANK(Hoja1!A616:I616)&gt;0,"Sí","No")</f>
        <v>No</v>
      </c>
      <c r="E616" s="3" t="str">
        <f>IF(COUNTIF(Hoja1!$A$2:$A$1000,Hoja1!A616)&gt;1,"Sí","No")</f>
        <v>No</v>
      </c>
      <c r="F616" s="3" t="str">
        <f>IF(COUNTIF(Hoja1!$G$2:$G$1000,Hoja1!G616)&gt;1,"Sí","No")</f>
        <v>No</v>
      </c>
      <c r="G616" s="3" t="str">
        <f>IF(OR(ISERROR(FIND("@",Hoja1!G616)),ISERROR(FIND(".",Hoja1!G616,FIND("@",Hoja1!G616)))),"Sí","No")</f>
        <v>No</v>
      </c>
      <c r="H616" s="3" t="str">
        <f>IF(LEN(Hoja1!F616)&lt;&gt;14,"Sí","No")</f>
        <v>No</v>
      </c>
      <c r="I616" s="3" t="str">
        <f>IF(Hoja1!C616&gt;Hoja1!H616,"Sí","No")</f>
        <v>No</v>
      </c>
      <c r="J616" s="3" t="str">
        <f>IF(SUMPRODUCT(--ISNUMBER(SEARCH({"0";"1";"2";"3";"4";"5";"6";"7";"8";"9"},Hoja1!D616)))=0,"Sí","No")</f>
        <v>No</v>
      </c>
      <c r="K616" s="3" t="str">
        <f t="shared" si="9"/>
        <v>No</v>
      </c>
    </row>
    <row r="617" spans="1:11" ht="15" customHeight="1" x14ac:dyDescent="0.3">
      <c r="A617" s="3" t="str">
        <f>Hoja1!A617</f>
        <v>C0616</v>
      </c>
      <c r="B617" s="3" t="str">
        <f>Hoja1!B617</f>
        <v>Emiliano Marín</v>
      </c>
      <c r="C617" s="3" t="str">
        <f>IF(COUNTA(Hoja1!A617:I617)=0,"Sí","No")</f>
        <v>No</v>
      </c>
      <c r="D617" s="3" t="str">
        <f>IF(COUNTBLANK(Hoja1!A617:I617)&gt;0,"Sí","No")</f>
        <v>No</v>
      </c>
      <c r="E617" s="3" t="str">
        <f>IF(COUNTIF(Hoja1!$A$2:$A$1000,Hoja1!A617)&gt;1,"Sí","No")</f>
        <v>No</v>
      </c>
      <c r="F617" s="3" t="str">
        <f>IF(COUNTIF(Hoja1!$G$2:$G$1000,Hoja1!G617)&gt;1,"Sí","No")</f>
        <v>No</v>
      </c>
      <c r="G617" s="3" t="str">
        <f>IF(OR(ISERROR(FIND("@",Hoja1!G617)),ISERROR(FIND(".",Hoja1!G617,FIND("@",Hoja1!G617)))),"Sí","No")</f>
        <v>No</v>
      </c>
      <c r="H617" s="3" t="str">
        <f>IF(LEN(Hoja1!F617)&lt;&gt;14,"Sí","No")</f>
        <v>No</v>
      </c>
      <c r="I617" s="3" t="str">
        <f>IF(Hoja1!C617&gt;Hoja1!H617,"Sí","No")</f>
        <v>No</v>
      </c>
      <c r="J617" s="3" t="str">
        <f>IF(SUMPRODUCT(--ISNUMBER(SEARCH({"0";"1";"2";"3";"4";"5";"6";"7";"8";"9"},Hoja1!D617)))=0,"Sí","No")</f>
        <v>Sí</v>
      </c>
      <c r="K617" s="3" t="str">
        <f t="shared" si="9"/>
        <v>Sí</v>
      </c>
    </row>
    <row r="618" spans="1:11" ht="15" customHeight="1" x14ac:dyDescent="0.3">
      <c r="A618" s="3" t="str">
        <f>Hoja1!A618</f>
        <v>C0617</v>
      </c>
      <c r="B618" s="3" t="str">
        <f>Hoja1!B618</f>
        <v>Itziar de Castellanos</v>
      </c>
      <c r="C618" s="3" t="str">
        <f>IF(COUNTA(Hoja1!A618:I618)=0,"Sí","No")</f>
        <v>No</v>
      </c>
      <c r="D618" s="3" t="str">
        <f>IF(COUNTBLANK(Hoja1!A618:I618)&gt;0,"Sí","No")</f>
        <v>No</v>
      </c>
      <c r="E618" s="3" t="str">
        <f>IF(COUNTIF(Hoja1!$A$2:$A$1000,Hoja1!A618)&gt;1,"Sí","No")</f>
        <v>No</v>
      </c>
      <c r="F618" s="3" t="str">
        <f>IF(COUNTIF(Hoja1!$G$2:$G$1000,Hoja1!G618)&gt;1,"Sí","No")</f>
        <v>Sí</v>
      </c>
      <c r="G618" s="3" t="str">
        <f>IF(OR(ISERROR(FIND("@",Hoja1!G618)),ISERROR(FIND(".",Hoja1!G618,FIND("@",Hoja1!G618)))),"Sí","No")</f>
        <v>No</v>
      </c>
      <c r="H618" s="3" t="str">
        <f>IF(LEN(Hoja1!F618)&lt;&gt;14,"Sí","No")</f>
        <v>No</v>
      </c>
      <c r="I618" s="3" t="str">
        <f>IF(Hoja1!C618&gt;Hoja1!H618,"Sí","No")</f>
        <v>No</v>
      </c>
      <c r="J618" s="3" t="str">
        <f>IF(SUMPRODUCT(--ISNUMBER(SEARCH({"0";"1";"2";"3";"4";"5";"6";"7";"8";"9"},Hoja1!D618)))=0,"Sí","No")</f>
        <v>No</v>
      </c>
      <c r="K618" s="3" t="str">
        <f t="shared" si="9"/>
        <v>Sí</v>
      </c>
    </row>
    <row r="619" spans="1:11" ht="15" customHeight="1" x14ac:dyDescent="0.3">
      <c r="A619" s="3" t="str">
        <f>Hoja1!A619</f>
        <v>C0618</v>
      </c>
      <c r="B619" s="3" t="str">
        <f>Hoja1!B619</f>
        <v>Carmelita del Cabezas</v>
      </c>
      <c r="C619" s="3" t="str">
        <f>IF(COUNTA(Hoja1!A619:I619)=0,"Sí","No")</f>
        <v>No</v>
      </c>
      <c r="D619" s="3" t="str">
        <f>IF(COUNTBLANK(Hoja1!A619:I619)&gt;0,"Sí","No")</f>
        <v>No</v>
      </c>
      <c r="E619" s="3" t="str">
        <f>IF(COUNTIF(Hoja1!$A$2:$A$1000,Hoja1!A619)&gt;1,"Sí","No")</f>
        <v>No</v>
      </c>
      <c r="F619" s="3" t="str">
        <f>IF(COUNTIF(Hoja1!$G$2:$G$1000,Hoja1!G619)&gt;1,"Sí","No")</f>
        <v>No</v>
      </c>
      <c r="G619" s="3" t="str">
        <f>IF(OR(ISERROR(FIND("@",Hoja1!G619)),ISERROR(FIND(".",Hoja1!G619,FIND("@",Hoja1!G619)))),"Sí","No")</f>
        <v>No</v>
      </c>
      <c r="H619" s="3" t="str">
        <f>IF(LEN(Hoja1!F619)&lt;&gt;14,"Sí","No")</f>
        <v>No</v>
      </c>
      <c r="I619" s="3" t="str">
        <f>IF(Hoja1!C619&gt;Hoja1!H619,"Sí","No")</f>
        <v>No</v>
      </c>
      <c r="J619" s="3" t="str">
        <f>IF(SUMPRODUCT(--ISNUMBER(SEARCH({"0";"1";"2";"3";"4";"5";"6";"7";"8";"9"},Hoja1!D619)))=0,"Sí","No")</f>
        <v>No</v>
      </c>
      <c r="K619" s="3" t="str">
        <f t="shared" si="9"/>
        <v>No</v>
      </c>
    </row>
    <row r="620" spans="1:11" ht="15" customHeight="1" x14ac:dyDescent="0.3">
      <c r="A620" s="3" t="str">
        <f>Hoja1!A620</f>
        <v>C0619</v>
      </c>
      <c r="B620" s="3" t="str">
        <f>Hoja1!B620</f>
        <v>Rufina Ballester Llamas</v>
      </c>
      <c r="C620" s="3" t="str">
        <f>IF(COUNTA(Hoja1!A620:I620)=0,"Sí","No")</f>
        <v>No</v>
      </c>
      <c r="D620" s="3" t="str">
        <f>IF(COUNTBLANK(Hoja1!A620:I620)&gt;0,"Sí","No")</f>
        <v>No</v>
      </c>
      <c r="E620" s="3" t="str">
        <f>IF(COUNTIF(Hoja1!$A$2:$A$1000,Hoja1!A620)&gt;1,"Sí","No")</f>
        <v>No</v>
      </c>
      <c r="F620" s="3" t="str">
        <f>IF(COUNTIF(Hoja1!$G$2:$G$1000,Hoja1!G620)&gt;1,"Sí","No")</f>
        <v>No</v>
      </c>
      <c r="G620" s="3" t="str">
        <f>IF(OR(ISERROR(FIND("@",Hoja1!G620)),ISERROR(FIND(".",Hoja1!G620,FIND("@",Hoja1!G620)))),"Sí","No")</f>
        <v>No</v>
      </c>
      <c r="H620" s="3" t="str">
        <f>IF(LEN(Hoja1!F620)&lt;&gt;14,"Sí","No")</f>
        <v>No</v>
      </c>
      <c r="I620" s="3" t="str">
        <f>IF(Hoja1!C620&gt;Hoja1!H620,"Sí","No")</f>
        <v>No</v>
      </c>
      <c r="J620" s="3" t="str">
        <f>IF(SUMPRODUCT(--ISNUMBER(SEARCH({"0";"1";"2";"3";"4";"5";"6";"7";"8";"9"},Hoja1!D620)))=0,"Sí","No")</f>
        <v>Sí</v>
      </c>
      <c r="K620" s="3" t="str">
        <f t="shared" si="9"/>
        <v>Sí</v>
      </c>
    </row>
    <row r="621" spans="1:11" ht="15" customHeight="1" x14ac:dyDescent="0.3">
      <c r="A621" s="3" t="str">
        <f>Hoja1!A621</f>
        <v>C0620</v>
      </c>
      <c r="B621" s="3" t="str">
        <f>Hoja1!B621</f>
        <v>Obdulia Escribano</v>
      </c>
      <c r="C621" s="3" t="str">
        <f>IF(COUNTA(Hoja1!A621:I621)=0,"Sí","No")</f>
        <v>No</v>
      </c>
      <c r="D621" s="3" t="str">
        <f>IF(COUNTBLANK(Hoja1!A621:I621)&gt;0,"Sí","No")</f>
        <v>No</v>
      </c>
      <c r="E621" s="3" t="str">
        <f>IF(COUNTIF(Hoja1!$A$2:$A$1000,Hoja1!A621)&gt;1,"Sí","No")</f>
        <v>No</v>
      </c>
      <c r="F621" s="3" t="str">
        <f>IF(COUNTIF(Hoja1!$G$2:$G$1000,Hoja1!G621)&gt;1,"Sí","No")</f>
        <v>No</v>
      </c>
      <c r="G621" s="3" t="str">
        <f>IF(OR(ISERROR(FIND("@",Hoja1!G621)),ISERROR(FIND(".",Hoja1!G621,FIND("@",Hoja1!G621)))),"Sí","No")</f>
        <v>No</v>
      </c>
      <c r="H621" s="3" t="str">
        <f>IF(LEN(Hoja1!F621)&lt;&gt;14,"Sí","No")</f>
        <v>No</v>
      </c>
      <c r="I621" s="3" t="str">
        <f>IF(Hoja1!C621&gt;Hoja1!H621,"Sí","No")</f>
        <v>No</v>
      </c>
      <c r="J621" s="3" t="str">
        <f>IF(SUMPRODUCT(--ISNUMBER(SEARCH({"0";"1";"2";"3";"4";"5";"6";"7";"8";"9"},Hoja1!D621)))=0,"Sí","No")</f>
        <v>No</v>
      </c>
      <c r="K621" s="3" t="str">
        <f t="shared" si="9"/>
        <v>No</v>
      </c>
    </row>
    <row r="622" spans="1:11" ht="15" customHeight="1" x14ac:dyDescent="0.3">
      <c r="A622" s="3" t="str">
        <f>Hoja1!A622</f>
        <v>C0621</v>
      </c>
      <c r="B622" s="3" t="str">
        <f>Hoja1!B622</f>
        <v>Eli Montero</v>
      </c>
      <c r="C622" s="3" t="str">
        <f>IF(COUNTA(Hoja1!A622:I622)=0,"Sí","No")</f>
        <v>No</v>
      </c>
      <c r="D622" s="3" t="str">
        <f>IF(COUNTBLANK(Hoja1!A622:I622)&gt;0,"Sí","No")</f>
        <v>No</v>
      </c>
      <c r="E622" s="3" t="str">
        <f>IF(COUNTIF(Hoja1!$A$2:$A$1000,Hoja1!A622)&gt;1,"Sí","No")</f>
        <v>No</v>
      </c>
      <c r="F622" s="3" t="str">
        <f>IF(COUNTIF(Hoja1!$G$2:$G$1000,Hoja1!G622)&gt;1,"Sí","No")</f>
        <v>No</v>
      </c>
      <c r="G622" s="3" t="str">
        <f>IF(OR(ISERROR(FIND("@",Hoja1!G622)),ISERROR(FIND(".",Hoja1!G622,FIND("@",Hoja1!G622)))),"Sí","No")</f>
        <v>No</v>
      </c>
      <c r="H622" s="3" t="str">
        <f>IF(LEN(Hoja1!F622)&lt;&gt;14,"Sí","No")</f>
        <v>No</v>
      </c>
      <c r="I622" s="3" t="str">
        <f>IF(Hoja1!C622&gt;Hoja1!H622,"Sí","No")</f>
        <v>No</v>
      </c>
      <c r="J622" s="3" t="str">
        <f>IF(SUMPRODUCT(--ISNUMBER(SEARCH({"0";"1";"2";"3";"4";"5";"6";"7";"8";"9"},Hoja1!D622)))=0,"Sí","No")</f>
        <v>No</v>
      </c>
      <c r="K622" s="3" t="str">
        <f t="shared" si="9"/>
        <v>No</v>
      </c>
    </row>
    <row r="623" spans="1:11" ht="15" customHeight="1" x14ac:dyDescent="0.3">
      <c r="A623" s="3" t="str">
        <f>Hoja1!A623</f>
        <v>C0622</v>
      </c>
      <c r="B623" s="3" t="str">
        <f>Hoja1!B623</f>
        <v>Edelmiro Expósito Colomer</v>
      </c>
      <c r="C623" s="3" t="str">
        <f>IF(COUNTA(Hoja1!A623:I623)=0,"Sí","No")</f>
        <v>No</v>
      </c>
      <c r="D623" s="3" t="str">
        <f>IF(COUNTBLANK(Hoja1!A623:I623)&gt;0,"Sí","No")</f>
        <v>No</v>
      </c>
      <c r="E623" s="3" t="str">
        <f>IF(COUNTIF(Hoja1!$A$2:$A$1000,Hoja1!A623)&gt;1,"Sí","No")</f>
        <v>No</v>
      </c>
      <c r="F623" s="3" t="str">
        <f>IF(COUNTIF(Hoja1!$G$2:$G$1000,Hoja1!G623)&gt;1,"Sí","No")</f>
        <v>No</v>
      </c>
      <c r="G623" s="3" t="str">
        <f>IF(OR(ISERROR(FIND("@",Hoja1!G623)),ISERROR(FIND(".",Hoja1!G623,FIND("@",Hoja1!G623)))),"Sí","No")</f>
        <v>No</v>
      </c>
      <c r="H623" s="3" t="str">
        <f>IF(LEN(Hoja1!F623)&lt;&gt;14,"Sí","No")</f>
        <v>No</v>
      </c>
      <c r="I623" s="3" t="str">
        <f>IF(Hoja1!C623&gt;Hoja1!H623,"Sí","No")</f>
        <v>No</v>
      </c>
      <c r="J623" s="3" t="str">
        <f>IF(SUMPRODUCT(--ISNUMBER(SEARCH({"0";"1";"2";"3";"4";"5";"6";"7";"8";"9"},Hoja1!D623)))=0,"Sí","No")</f>
        <v>Sí</v>
      </c>
      <c r="K623" s="3" t="str">
        <f t="shared" si="9"/>
        <v>Sí</v>
      </c>
    </row>
    <row r="624" spans="1:11" ht="15" customHeight="1" x14ac:dyDescent="0.3">
      <c r="A624" s="3" t="str">
        <f>Hoja1!A624</f>
        <v>C0623</v>
      </c>
      <c r="B624" s="3" t="str">
        <f>Hoja1!B624</f>
        <v>Encarnacion Calderón-Olmedo</v>
      </c>
      <c r="C624" s="3" t="str">
        <f>IF(COUNTA(Hoja1!A624:I624)=0,"Sí","No")</f>
        <v>No</v>
      </c>
      <c r="D624" s="3" t="str">
        <f>IF(COUNTBLANK(Hoja1!A624:I624)&gt;0,"Sí","No")</f>
        <v>No</v>
      </c>
      <c r="E624" s="3" t="str">
        <f>IF(COUNTIF(Hoja1!$A$2:$A$1000,Hoja1!A624)&gt;1,"Sí","No")</f>
        <v>No</v>
      </c>
      <c r="F624" s="3" t="str">
        <f>IF(COUNTIF(Hoja1!$G$2:$G$1000,Hoja1!G624)&gt;1,"Sí","No")</f>
        <v>No</v>
      </c>
      <c r="G624" s="3" t="str">
        <f>IF(OR(ISERROR(FIND("@",Hoja1!G624)),ISERROR(FIND(".",Hoja1!G624,FIND("@",Hoja1!G624)))),"Sí","No")</f>
        <v>No</v>
      </c>
      <c r="H624" s="3" t="str">
        <f>IF(LEN(Hoja1!F624)&lt;&gt;14,"Sí","No")</f>
        <v>No</v>
      </c>
      <c r="I624" s="3" t="str">
        <f>IF(Hoja1!C624&gt;Hoja1!H624,"Sí","No")</f>
        <v>No</v>
      </c>
      <c r="J624" s="3" t="str">
        <f>IF(SUMPRODUCT(--ISNUMBER(SEARCH({"0";"1";"2";"3";"4";"5";"6";"7";"8";"9"},Hoja1!D624)))=0,"Sí","No")</f>
        <v>No</v>
      </c>
      <c r="K624" s="3" t="str">
        <f t="shared" si="9"/>
        <v>No</v>
      </c>
    </row>
    <row r="625" spans="1:11" ht="15" customHeight="1" x14ac:dyDescent="0.3">
      <c r="A625" s="3" t="str">
        <f>Hoja1!A625</f>
        <v>C0624</v>
      </c>
      <c r="B625" s="3" t="str">
        <f>Hoja1!B625</f>
        <v>Toribio Aller Parra</v>
      </c>
      <c r="C625" s="3" t="str">
        <f>IF(COUNTA(Hoja1!A625:I625)=0,"Sí","No")</f>
        <v>No</v>
      </c>
      <c r="D625" s="3" t="str">
        <f>IF(COUNTBLANK(Hoja1!A625:I625)&gt;0,"Sí","No")</f>
        <v>No</v>
      </c>
      <c r="E625" s="3" t="str">
        <f>IF(COUNTIF(Hoja1!$A$2:$A$1000,Hoja1!A625)&gt;1,"Sí","No")</f>
        <v>No</v>
      </c>
      <c r="F625" s="3" t="str">
        <f>IF(COUNTIF(Hoja1!$G$2:$G$1000,Hoja1!G625)&gt;1,"Sí","No")</f>
        <v>No</v>
      </c>
      <c r="G625" s="3" t="str">
        <f>IF(OR(ISERROR(FIND("@",Hoja1!G625)),ISERROR(FIND(".",Hoja1!G625,FIND("@",Hoja1!G625)))),"Sí","No")</f>
        <v>No</v>
      </c>
      <c r="H625" s="3" t="str">
        <f>IF(LEN(Hoja1!F625)&lt;&gt;14,"Sí","No")</f>
        <v>No</v>
      </c>
      <c r="I625" s="3" t="str">
        <f>IF(Hoja1!C625&gt;Hoja1!H625,"Sí","No")</f>
        <v>No</v>
      </c>
      <c r="J625" s="3" t="str">
        <f>IF(SUMPRODUCT(--ISNUMBER(SEARCH({"0";"1";"2";"3";"4";"5";"6";"7";"8";"9"},Hoja1!D625)))=0,"Sí","No")</f>
        <v>No</v>
      </c>
      <c r="K625" s="3" t="str">
        <f t="shared" si="9"/>
        <v>No</v>
      </c>
    </row>
    <row r="626" spans="1:11" ht="15" customHeight="1" x14ac:dyDescent="0.3">
      <c r="A626" s="3" t="str">
        <f>Hoja1!A626</f>
        <v>C0625</v>
      </c>
      <c r="B626" s="3" t="str">
        <f>Hoja1!B626</f>
        <v>Hugo Tamarit Hoz</v>
      </c>
      <c r="C626" s="3" t="str">
        <f>IF(COUNTA(Hoja1!A626:I626)=0,"Sí","No")</f>
        <v>No</v>
      </c>
      <c r="D626" s="3" t="str">
        <f>IF(COUNTBLANK(Hoja1!A626:I626)&gt;0,"Sí","No")</f>
        <v>No</v>
      </c>
      <c r="E626" s="3" t="str">
        <f>IF(COUNTIF(Hoja1!$A$2:$A$1000,Hoja1!A626)&gt;1,"Sí","No")</f>
        <v>No</v>
      </c>
      <c r="F626" s="3" t="str">
        <f>IF(COUNTIF(Hoja1!$G$2:$G$1000,Hoja1!G626)&gt;1,"Sí","No")</f>
        <v>No</v>
      </c>
      <c r="G626" s="3" t="str">
        <f>IF(OR(ISERROR(FIND("@",Hoja1!G626)),ISERROR(FIND(".",Hoja1!G626,FIND("@",Hoja1!G626)))),"Sí","No")</f>
        <v>No</v>
      </c>
      <c r="H626" s="3" t="str">
        <f>IF(LEN(Hoja1!F626)&lt;&gt;14,"Sí","No")</f>
        <v>No</v>
      </c>
      <c r="I626" s="3" t="str">
        <f>IF(Hoja1!C626&gt;Hoja1!H626,"Sí","No")</f>
        <v>No</v>
      </c>
      <c r="J626" s="3" t="str">
        <f>IF(SUMPRODUCT(--ISNUMBER(SEARCH({"0";"1";"2";"3";"4";"5";"6";"7";"8";"9"},Hoja1!D626)))=0,"Sí","No")</f>
        <v>Sí</v>
      </c>
      <c r="K626" s="3" t="str">
        <f t="shared" si="9"/>
        <v>Sí</v>
      </c>
    </row>
    <row r="627" spans="1:11" ht="15" customHeight="1" x14ac:dyDescent="0.3">
      <c r="A627" s="3" t="str">
        <f>Hoja1!A627</f>
        <v>C0626</v>
      </c>
      <c r="B627" s="3" t="str">
        <f>Hoja1!B627</f>
        <v>Renata del Alberola</v>
      </c>
      <c r="C627" s="3" t="str">
        <f>IF(COUNTA(Hoja1!A627:I627)=0,"Sí","No")</f>
        <v>No</v>
      </c>
      <c r="D627" s="3" t="str">
        <f>IF(COUNTBLANK(Hoja1!A627:I627)&gt;0,"Sí","No")</f>
        <v>No</v>
      </c>
      <c r="E627" s="3" t="str">
        <f>IF(COUNTIF(Hoja1!$A$2:$A$1000,Hoja1!A627)&gt;1,"Sí","No")</f>
        <v>No</v>
      </c>
      <c r="F627" s="3" t="str">
        <f>IF(COUNTIF(Hoja1!$G$2:$G$1000,Hoja1!G627)&gt;1,"Sí","No")</f>
        <v>No</v>
      </c>
      <c r="G627" s="3" t="str">
        <f>IF(OR(ISERROR(FIND("@",Hoja1!G627)),ISERROR(FIND(".",Hoja1!G627,FIND("@",Hoja1!G627)))),"Sí","No")</f>
        <v>No</v>
      </c>
      <c r="H627" s="3" t="str">
        <f>IF(LEN(Hoja1!F627)&lt;&gt;14,"Sí","No")</f>
        <v>No</v>
      </c>
      <c r="I627" s="3" t="str">
        <f>IF(Hoja1!C627&gt;Hoja1!H627,"Sí","No")</f>
        <v>No</v>
      </c>
      <c r="J627" s="3" t="str">
        <f>IF(SUMPRODUCT(--ISNUMBER(SEARCH({"0";"1";"2";"3";"4";"5";"6";"7";"8";"9"},Hoja1!D627)))=0,"Sí","No")</f>
        <v>No</v>
      </c>
      <c r="K627" s="3" t="str">
        <f t="shared" si="9"/>
        <v>No</v>
      </c>
    </row>
    <row r="628" spans="1:11" ht="15" customHeight="1" x14ac:dyDescent="0.3">
      <c r="A628" s="3" t="str">
        <f>Hoja1!A628</f>
        <v>C0627</v>
      </c>
      <c r="B628" s="3" t="str">
        <f>Hoja1!B628</f>
        <v>Prudencio Carreras Cobo</v>
      </c>
      <c r="C628" s="3" t="str">
        <f>IF(COUNTA(Hoja1!A628:I628)=0,"Sí","No")</f>
        <v>No</v>
      </c>
      <c r="D628" s="3" t="str">
        <f>IF(COUNTBLANK(Hoja1!A628:I628)&gt;0,"Sí","No")</f>
        <v>No</v>
      </c>
      <c r="E628" s="3" t="str">
        <f>IF(COUNTIF(Hoja1!$A$2:$A$1000,Hoja1!A628)&gt;1,"Sí","No")</f>
        <v>No</v>
      </c>
      <c r="F628" s="3" t="str">
        <f>IF(COUNTIF(Hoja1!$G$2:$G$1000,Hoja1!G628)&gt;1,"Sí","No")</f>
        <v>No</v>
      </c>
      <c r="G628" s="3" t="str">
        <f>IF(OR(ISERROR(FIND("@",Hoja1!G628)),ISERROR(FIND(".",Hoja1!G628,FIND("@",Hoja1!G628)))),"Sí","No")</f>
        <v>No</v>
      </c>
      <c r="H628" s="3" t="str">
        <f>IF(LEN(Hoja1!F628)&lt;&gt;14,"Sí","No")</f>
        <v>No</v>
      </c>
      <c r="I628" s="3" t="str">
        <f>IF(Hoja1!C628&gt;Hoja1!H628,"Sí","No")</f>
        <v>No</v>
      </c>
      <c r="J628" s="3" t="str">
        <f>IF(SUMPRODUCT(--ISNUMBER(SEARCH({"0";"1";"2";"3";"4";"5";"6";"7";"8";"9"},Hoja1!D628)))=0,"Sí","No")</f>
        <v>No</v>
      </c>
      <c r="K628" s="3" t="str">
        <f t="shared" si="9"/>
        <v>No</v>
      </c>
    </row>
    <row r="629" spans="1:11" ht="15" customHeight="1" x14ac:dyDescent="0.3">
      <c r="A629" s="3" t="str">
        <f>Hoja1!A629</f>
        <v>C0628</v>
      </c>
      <c r="B629" s="3" t="str">
        <f>Hoja1!B629</f>
        <v>Fabio de Arrieta</v>
      </c>
      <c r="C629" s="3" t="str">
        <f>IF(COUNTA(Hoja1!A629:I629)=0,"Sí","No")</f>
        <v>No</v>
      </c>
      <c r="D629" s="3" t="str">
        <f>IF(COUNTBLANK(Hoja1!A629:I629)&gt;0,"Sí","No")</f>
        <v>No</v>
      </c>
      <c r="E629" s="3" t="str">
        <f>IF(COUNTIF(Hoja1!$A$2:$A$1000,Hoja1!A629)&gt;1,"Sí","No")</f>
        <v>No</v>
      </c>
      <c r="F629" s="3" t="str">
        <f>IF(COUNTIF(Hoja1!$G$2:$G$1000,Hoja1!G629)&gt;1,"Sí","No")</f>
        <v>No</v>
      </c>
      <c r="G629" s="3" t="str">
        <f>IF(OR(ISERROR(FIND("@",Hoja1!G629)),ISERROR(FIND(".",Hoja1!G629,FIND("@",Hoja1!G629)))),"Sí","No")</f>
        <v>No</v>
      </c>
      <c r="H629" s="3" t="str">
        <f>IF(LEN(Hoja1!F629)&lt;&gt;14,"Sí","No")</f>
        <v>No</v>
      </c>
      <c r="I629" s="3" t="str">
        <f>IF(Hoja1!C629&gt;Hoja1!H629,"Sí","No")</f>
        <v>No</v>
      </c>
      <c r="J629" s="3" t="str">
        <f>IF(SUMPRODUCT(--ISNUMBER(SEARCH({"0";"1";"2";"3";"4";"5";"6";"7";"8";"9"},Hoja1!D629)))=0,"Sí","No")</f>
        <v>Sí</v>
      </c>
      <c r="K629" s="3" t="str">
        <f t="shared" si="9"/>
        <v>Sí</v>
      </c>
    </row>
    <row r="630" spans="1:11" ht="15" customHeight="1" x14ac:dyDescent="0.3">
      <c r="A630" s="3" t="str">
        <f>Hoja1!A630</f>
        <v>C0629</v>
      </c>
      <c r="B630" s="3" t="str">
        <f>Hoja1!B630</f>
        <v>Ciro Hernando Puga Patiño</v>
      </c>
      <c r="C630" s="3" t="str">
        <f>IF(COUNTA(Hoja1!A630:I630)=0,"Sí","No")</f>
        <v>No</v>
      </c>
      <c r="D630" s="3" t="str">
        <f>IF(COUNTBLANK(Hoja1!A630:I630)&gt;0,"Sí","No")</f>
        <v>No</v>
      </c>
      <c r="E630" s="3" t="str">
        <f>IF(COUNTIF(Hoja1!$A$2:$A$1000,Hoja1!A630)&gt;1,"Sí","No")</f>
        <v>No</v>
      </c>
      <c r="F630" s="3" t="str">
        <f>IF(COUNTIF(Hoja1!$G$2:$G$1000,Hoja1!G630)&gt;1,"Sí","No")</f>
        <v>No</v>
      </c>
      <c r="G630" s="3" t="str">
        <f>IF(OR(ISERROR(FIND("@",Hoja1!G630)),ISERROR(FIND(".",Hoja1!G630,FIND("@",Hoja1!G630)))),"Sí","No")</f>
        <v>No</v>
      </c>
      <c r="H630" s="3" t="str">
        <f>IF(LEN(Hoja1!F630)&lt;&gt;14,"Sí","No")</f>
        <v>No</v>
      </c>
      <c r="I630" s="3" t="str">
        <f>IF(Hoja1!C630&gt;Hoja1!H630,"Sí","No")</f>
        <v>No</v>
      </c>
      <c r="J630" s="3" t="str">
        <f>IF(SUMPRODUCT(--ISNUMBER(SEARCH({"0";"1";"2";"3";"4";"5";"6";"7";"8";"9"},Hoja1!D630)))=0,"Sí","No")</f>
        <v>No</v>
      </c>
      <c r="K630" s="3" t="str">
        <f t="shared" si="9"/>
        <v>No</v>
      </c>
    </row>
    <row r="631" spans="1:11" ht="15" customHeight="1" x14ac:dyDescent="0.3">
      <c r="A631" s="3" t="str">
        <f>Hoja1!A631</f>
        <v>C0630</v>
      </c>
      <c r="B631" s="3" t="str">
        <f>Hoja1!B631</f>
        <v>Efraín Anguita Torres</v>
      </c>
      <c r="C631" s="3" t="str">
        <f>IF(COUNTA(Hoja1!A631:I631)=0,"Sí","No")</f>
        <v>No</v>
      </c>
      <c r="D631" s="3" t="str">
        <f>IF(COUNTBLANK(Hoja1!A631:I631)&gt;0,"Sí","No")</f>
        <v>No</v>
      </c>
      <c r="E631" s="3" t="str">
        <f>IF(COUNTIF(Hoja1!$A$2:$A$1000,Hoja1!A631)&gt;1,"Sí","No")</f>
        <v>No</v>
      </c>
      <c r="F631" s="3" t="str">
        <f>IF(COUNTIF(Hoja1!$G$2:$G$1000,Hoja1!G631)&gt;1,"Sí","No")</f>
        <v>No</v>
      </c>
      <c r="G631" s="3" t="str">
        <f>IF(OR(ISERROR(FIND("@",Hoja1!G631)),ISERROR(FIND(".",Hoja1!G631,FIND("@",Hoja1!G631)))),"Sí","No")</f>
        <v>No</v>
      </c>
      <c r="H631" s="3" t="str">
        <f>IF(LEN(Hoja1!F631)&lt;&gt;14,"Sí","No")</f>
        <v>No</v>
      </c>
      <c r="I631" s="3" t="str">
        <f>IF(Hoja1!C631&gt;Hoja1!H631,"Sí","No")</f>
        <v>No</v>
      </c>
      <c r="J631" s="3" t="str">
        <f>IF(SUMPRODUCT(--ISNUMBER(SEARCH({"0";"1";"2";"3";"4";"5";"6";"7";"8";"9"},Hoja1!D631)))=0,"Sí","No")</f>
        <v>No</v>
      </c>
      <c r="K631" s="3" t="str">
        <f t="shared" si="9"/>
        <v>No</v>
      </c>
    </row>
    <row r="632" spans="1:11" ht="15" customHeight="1" x14ac:dyDescent="0.3">
      <c r="A632" s="3" t="str">
        <f>Hoja1!A632</f>
        <v>C0631</v>
      </c>
      <c r="B632" s="3" t="str">
        <f>Hoja1!B632</f>
        <v>Claudia Clemente Bertrán</v>
      </c>
      <c r="C632" s="3" t="str">
        <f>IF(COUNTA(Hoja1!A632:I632)=0,"Sí","No")</f>
        <v>No</v>
      </c>
      <c r="D632" s="3" t="str">
        <f>IF(COUNTBLANK(Hoja1!A632:I632)&gt;0,"Sí","No")</f>
        <v>No</v>
      </c>
      <c r="E632" s="3" t="str">
        <f>IF(COUNTIF(Hoja1!$A$2:$A$1000,Hoja1!A632)&gt;1,"Sí","No")</f>
        <v>No</v>
      </c>
      <c r="F632" s="3" t="str">
        <f>IF(COUNTIF(Hoja1!$G$2:$G$1000,Hoja1!G632)&gt;1,"Sí","No")</f>
        <v>No</v>
      </c>
      <c r="G632" s="3" t="str">
        <f>IF(OR(ISERROR(FIND("@",Hoja1!G632)),ISERROR(FIND(".",Hoja1!G632,FIND("@",Hoja1!G632)))),"Sí","No")</f>
        <v>No</v>
      </c>
      <c r="H632" s="3" t="str">
        <f>IF(LEN(Hoja1!F632)&lt;&gt;14,"Sí","No")</f>
        <v>No</v>
      </c>
      <c r="I632" s="3" t="str">
        <f>IF(Hoja1!C632&gt;Hoja1!H632,"Sí","No")</f>
        <v>No</v>
      </c>
      <c r="J632" s="3" t="str">
        <f>IF(SUMPRODUCT(--ISNUMBER(SEARCH({"0";"1";"2";"3";"4";"5";"6";"7";"8";"9"},Hoja1!D632)))=0,"Sí","No")</f>
        <v>Sí</v>
      </c>
      <c r="K632" s="3" t="str">
        <f t="shared" si="9"/>
        <v>Sí</v>
      </c>
    </row>
    <row r="633" spans="1:11" ht="15" customHeight="1" x14ac:dyDescent="0.3">
      <c r="A633" s="3" t="str">
        <f>Hoja1!A633</f>
        <v>C0632</v>
      </c>
      <c r="B633" s="3" t="str">
        <f>Hoja1!B633</f>
        <v>Brunilda Paredes-Fajardo</v>
      </c>
      <c r="C633" s="3" t="str">
        <f>IF(COUNTA(Hoja1!A633:I633)=0,"Sí","No")</f>
        <v>No</v>
      </c>
      <c r="D633" s="3" t="str">
        <f>IF(COUNTBLANK(Hoja1!A633:I633)&gt;0,"Sí","No")</f>
        <v>No</v>
      </c>
      <c r="E633" s="3" t="str">
        <f>IF(COUNTIF(Hoja1!$A$2:$A$1000,Hoja1!A633)&gt;1,"Sí","No")</f>
        <v>No</v>
      </c>
      <c r="F633" s="3" t="str">
        <f>IF(COUNTIF(Hoja1!$G$2:$G$1000,Hoja1!G633)&gt;1,"Sí","No")</f>
        <v>No</v>
      </c>
      <c r="G633" s="3" t="str">
        <f>IF(OR(ISERROR(FIND("@",Hoja1!G633)),ISERROR(FIND(".",Hoja1!G633,FIND("@",Hoja1!G633)))),"Sí","No")</f>
        <v>No</v>
      </c>
      <c r="H633" s="3" t="str">
        <f>IF(LEN(Hoja1!F633)&lt;&gt;14,"Sí","No")</f>
        <v>No</v>
      </c>
      <c r="I633" s="3" t="str">
        <f>IF(Hoja1!C633&gt;Hoja1!H633,"Sí","No")</f>
        <v>No</v>
      </c>
      <c r="J633" s="3" t="str">
        <f>IF(SUMPRODUCT(--ISNUMBER(SEARCH({"0";"1";"2";"3";"4";"5";"6";"7";"8";"9"},Hoja1!D633)))=0,"Sí","No")</f>
        <v>No</v>
      </c>
      <c r="K633" s="3" t="str">
        <f t="shared" si="9"/>
        <v>No</v>
      </c>
    </row>
    <row r="634" spans="1:11" ht="15" customHeight="1" x14ac:dyDescent="0.3">
      <c r="A634" s="3" t="str">
        <f>Hoja1!A634</f>
        <v>C0633</v>
      </c>
      <c r="B634" s="3" t="str">
        <f>Hoja1!B634</f>
        <v>Nicolás Moles Colomer</v>
      </c>
      <c r="C634" s="3" t="str">
        <f>IF(COUNTA(Hoja1!A634:I634)=0,"Sí","No")</f>
        <v>No</v>
      </c>
      <c r="D634" s="3" t="str">
        <f>IF(COUNTBLANK(Hoja1!A634:I634)&gt;0,"Sí","No")</f>
        <v>No</v>
      </c>
      <c r="E634" s="3" t="str">
        <f>IF(COUNTIF(Hoja1!$A$2:$A$1000,Hoja1!A634)&gt;1,"Sí","No")</f>
        <v>No</v>
      </c>
      <c r="F634" s="3" t="str">
        <f>IF(COUNTIF(Hoja1!$G$2:$G$1000,Hoja1!G634)&gt;1,"Sí","No")</f>
        <v>No</v>
      </c>
      <c r="G634" s="3" t="str">
        <f>IF(OR(ISERROR(FIND("@",Hoja1!G634)),ISERROR(FIND(".",Hoja1!G634,FIND("@",Hoja1!G634)))),"Sí","No")</f>
        <v>No</v>
      </c>
      <c r="H634" s="3" t="str">
        <f>IF(LEN(Hoja1!F634)&lt;&gt;14,"Sí","No")</f>
        <v>No</v>
      </c>
      <c r="I634" s="3" t="str">
        <f>IF(Hoja1!C634&gt;Hoja1!H634,"Sí","No")</f>
        <v>No</v>
      </c>
      <c r="J634" s="3" t="str">
        <f>IF(SUMPRODUCT(--ISNUMBER(SEARCH({"0";"1";"2";"3";"4";"5";"6";"7";"8";"9"},Hoja1!D634)))=0,"Sí","No")</f>
        <v>No</v>
      </c>
      <c r="K634" s="3" t="str">
        <f t="shared" si="9"/>
        <v>No</v>
      </c>
    </row>
    <row r="635" spans="1:11" ht="15" customHeight="1" x14ac:dyDescent="0.3">
      <c r="A635" s="3" t="str">
        <f>Hoja1!A635</f>
        <v>C0634</v>
      </c>
      <c r="B635" s="3" t="str">
        <f>Hoja1!B635</f>
        <v>Fátima Alemany Puerta</v>
      </c>
      <c r="C635" s="3" t="str">
        <f>IF(COUNTA(Hoja1!A635:I635)=0,"Sí","No")</f>
        <v>No</v>
      </c>
      <c r="D635" s="3" t="str">
        <f>IF(COUNTBLANK(Hoja1!A635:I635)&gt;0,"Sí","No")</f>
        <v>No</v>
      </c>
      <c r="E635" s="3" t="str">
        <f>IF(COUNTIF(Hoja1!$A$2:$A$1000,Hoja1!A635)&gt;1,"Sí","No")</f>
        <v>No</v>
      </c>
      <c r="F635" s="3" t="str">
        <f>IF(COUNTIF(Hoja1!$G$2:$G$1000,Hoja1!G635)&gt;1,"Sí","No")</f>
        <v>No</v>
      </c>
      <c r="G635" s="3" t="str">
        <f>IF(OR(ISERROR(FIND("@",Hoja1!G635)),ISERROR(FIND(".",Hoja1!G635,FIND("@",Hoja1!G635)))),"Sí","No")</f>
        <v>No</v>
      </c>
      <c r="H635" s="3" t="str">
        <f>IF(LEN(Hoja1!F635)&lt;&gt;14,"Sí","No")</f>
        <v>No</v>
      </c>
      <c r="I635" s="3" t="str">
        <f>IF(Hoja1!C635&gt;Hoja1!H635,"Sí","No")</f>
        <v>No</v>
      </c>
      <c r="J635" s="3" t="str">
        <f>IF(SUMPRODUCT(--ISNUMBER(SEARCH({"0";"1";"2";"3";"4";"5";"6";"7";"8";"9"},Hoja1!D635)))=0,"Sí","No")</f>
        <v>Sí</v>
      </c>
      <c r="K635" s="3" t="str">
        <f t="shared" si="9"/>
        <v>Sí</v>
      </c>
    </row>
    <row r="636" spans="1:11" ht="15" customHeight="1" x14ac:dyDescent="0.3">
      <c r="A636" s="3" t="str">
        <f>Hoja1!A636</f>
        <v>C0635</v>
      </c>
      <c r="B636" s="3" t="str">
        <f>Hoja1!B636</f>
        <v>Gabriela González Robles</v>
      </c>
      <c r="C636" s="3" t="str">
        <f>IF(COUNTA(Hoja1!A636:I636)=0,"Sí","No")</f>
        <v>No</v>
      </c>
      <c r="D636" s="3" t="str">
        <f>IF(COUNTBLANK(Hoja1!A636:I636)&gt;0,"Sí","No")</f>
        <v>No</v>
      </c>
      <c r="E636" s="3" t="str">
        <f>IF(COUNTIF(Hoja1!$A$2:$A$1000,Hoja1!A636)&gt;1,"Sí","No")</f>
        <v>No</v>
      </c>
      <c r="F636" s="3" t="str">
        <f>IF(COUNTIF(Hoja1!$G$2:$G$1000,Hoja1!G636)&gt;1,"Sí","No")</f>
        <v>No</v>
      </c>
      <c r="G636" s="3" t="str">
        <f>IF(OR(ISERROR(FIND("@",Hoja1!G636)),ISERROR(FIND(".",Hoja1!G636,FIND("@",Hoja1!G636)))),"Sí","No")</f>
        <v>No</v>
      </c>
      <c r="H636" s="3" t="str">
        <f>IF(LEN(Hoja1!F636)&lt;&gt;14,"Sí","No")</f>
        <v>No</v>
      </c>
      <c r="I636" s="3" t="str">
        <f>IF(Hoja1!C636&gt;Hoja1!H636,"Sí","No")</f>
        <v>No</v>
      </c>
      <c r="J636" s="3" t="str">
        <f>IF(SUMPRODUCT(--ISNUMBER(SEARCH({"0";"1";"2";"3";"4";"5";"6";"7";"8";"9"},Hoja1!D636)))=0,"Sí","No")</f>
        <v>No</v>
      </c>
      <c r="K636" s="3" t="str">
        <f t="shared" si="9"/>
        <v>No</v>
      </c>
    </row>
    <row r="637" spans="1:11" ht="15" customHeight="1" x14ac:dyDescent="0.3">
      <c r="A637" s="3" t="str">
        <f>Hoja1!A637</f>
        <v>C0636</v>
      </c>
      <c r="B637" s="3" t="str">
        <f>Hoja1!B637</f>
        <v>Norberto Cerdá-Fernández</v>
      </c>
      <c r="C637" s="3" t="str">
        <f>IF(COUNTA(Hoja1!A637:I637)=0,"Sí","No")</f>
        <v>No</v>
      </c>
      <c r="D637" s="3" t="str">
        <f>IF(COUNTBLANK(Hoja1!A637:I637)&gt;0,"Sí","No")</f>
        <v>No</v>
      </c>
      <c r="E637" s="3" t="str">
        <f>IF(COUNTIF(Hoja1!$A$2:$A$1000,Hoja1!A637)&gt;1,"Sí","No")</f>
        <v>No</v>
      </c>
      <c r="F637" s="3" t="str">
        <f>IF(COUNTIF(Hoja1!$G$2:$G$1000,Hoja1!G637)&gt;1,"Sí","No")</f>
        <v>No</v>
      </c>
      <c r="G637" s="3" t="str">
        <f>IF(OR(ISERROR(FIND("@",Hoja1!G637)),ISERROR(FIND(".",Hoja1!G637,FIND("@",Hoja1!G637)))),"Sí","No")</f>
        <v>No</v>
      </c>
      <c r="H637" s="3" t="str">
        <f>IF(LEN(Hoja1!F637)&lt;&gt;14,"Sí","No")</f>
        <v>No</v>
      </c>
      <c r="I637" s="3" t="str">
        <f>IF(Hoja1!C637&gt;Hoja1!H637,"Sí","No")</f>
        <v>No</v>
      </c>
      <c r="J637" s="3" t="str">
        <f>IF(SUMPRODUCT(--ISNUMBER(SEARCH({"0";"1";"2";"3";"4";"5";"6";"7";"8";"9"},Hoja1!D637)))=0,"Sí","No")</f>
        <v>No</v>
      </c>
      <c r="K637" s="3" t="str">
        <f t="shared" si="9"/>
        <v>No</v>
      </c>
    </row>
    <row r="638" spans="1:11" ht="15" customHeight="1" x14ac:dyDescent="0.3">
      <c r="A638" s="3" t="str">
        <f>Hoja1!A638</f>
        <v>C0637</v>
      </c>
      <c r="B638" s="3" t="str">
        <f>Hoja1!B638</f>
        <v>Mónica Colom Larrea</v>
      </c>
      <c r="C638" s="3" t="str">
        <f>IF(COUNTA(Hoja1!A638:I638)=0,"Sí","No")</f>
        <v>No</v>
      </c>
      <c r="D638" s="3" t="str">
        <f>IF(COUNTBLANK(Hoja1!A638:I638)&gt;0,"Sí","No")</f>
        <v>No</v>
      </c>
      <c r="E638" s="3" t="str">
        <f>IF(COUNTIF(Hoja1!$A$2:$A$1000,Hoja1!A638)&gt;1,"Sí","No")</f>
        <v>No</v>
      </c>
      <c r="F638" s="3" t="str">
        <f>IF(COUNTIF(Hoja1!$G$2:$G$1000,Hoja1!G638)&gt;1,"Sí","No")</f>
        <v>No</v>
      </c>
      <c r="G638" s="3" t="str">
        <f>IF(OR(ISERROR(FIND("@",Hoja1!G638)),ISERROR(FIND(".",Hoja1!G638,FIND("@",Hoja1!G638)))),"Sí","No")</f>
        <v>No</v>
      </c>
      <c r="H638" s="3" t="str">
        <f>IF(LEN(Hoja1!F638)&lt;&gt;14,"Sí","No")</f>
        <v>No</v>
      </c>
      <c r="I638" s="3" t="str">
        <f>IF(Hoja1!C638&gt;Hoja1!H638,"Sí","No")</f>
        <v>No</v>
      </c>
      <c r="J638" s="3" t="str">
        <f>IF(SUMPRODUCT(--ISNUMBER(SEARCH({"0";"1";"2";"3";"4";"5";"6";"7";"8";"9"},Hoja1!D638)))=0,"Sí","No")</f>
        <v>Sí</v>
      </c>
      <c r="K638" s="3" t="str">
        <f t="shared" si="9"/>
        <v>Sí</v>
      </c>
    </row>
    <row r="639" spans="1:11" ht="15" customHeight="1" x14ac:dyDescent="0.3">
      <c r="A639" s="3" t="str">
        <f>Hoja1!A639</f>
        <v>C0638</v>
      </c>
      <c r="B639" s="3" t="str">
        <f>Hoja1!B639</f>
        <v>Eusebio González Figuerola</v>
      </c>
      <c r="C639" s="3" t="str">
        <f>IF(COUNTA(Hoja1!A639:I639)=0,"Sí","No")</f>
        <v>No</v>
      </c>
      <c r="D639" s="3" t="str">
        <f>IF(COUNTBLANK(Hoja1!A639:I639)&gt;0,"Sí","No")</f>
        <v>No</v>
      </c>
      <c r="E639" s="3" t="str">
        <f>IF(COUNTIF(Hoja1!$A$2:$A$1000,Hoja1!A639)&gt;1,"Sí","No")</f>
        <v>No</v>
      </c>
      <c r="F639" s="3" t="str">
        <f>IF(COUNTIF(Hoja1!$G$2:$G$1000,Hoja1!G639)&gt;1,"Sí","No")</f>
        <v>No</v>
      </c>
      <c r="G639" s="3" t="str">
        <f>IF(OR(ISERROR(FIND("@",Hoja1!G639)),ISERROR(FIND(".",Hoja1!G639,FIND("@",Hoja1!G639)))),"Sí","No")</f>
        <v>No</v>
      </c>
      <c r="H639" s="3" t="str">
        <f>IF(LEN(Hoja1!F639)&lt;&gt;14,"Sí","No")</f>
        <v>No</v>
      </c>
      <c r="I639" s="3" t="str">
        <f>IF(Hoja1!C639&gt;Hoja1!H639,"Sí","No")</f>
        <v>No</v>
      </c>
      <c r="J639" s="3" t="str">
        <f>IF(SUMPRODUCT(--ISNUMBER(SEARCH({"0";"1";"2";"3";"4";"5";"6";"7";"8";"9"},Hoja1!D639)))=0,"Sí","No")</f>
        <v>No</v>
      </c>
      <c r="K639" s="3" t="str">
        <f t="shared" si="9"/>
        <v>No</v>
      </c>
    </row>
    <row r="640" spans="1:11" ht="15" customHeight="1" x14ac:dyDescent="0.3">
      <c r="A640" s="3" t="str">
        <f>Hoja1!A640</f>
        <v>C0639</v>
      </c>
      <c r="B640" s="3" t="str">
        <f>Hoja1!B640</f>
        <v>Isaac del Amaya</v>
      </c>
      <c r="C640" s="3" t="str">
        <f>IF(COUNTA(Hoja1!A640:I640)=0,"Sí","No")</f>
        <v>No</v>
      </c>
      <c r="D640" s="3" t="str">
        <f>IF(COUNTBLANK(Hoja1!A640:I640)&gt;0,"Sí","No")</f>
        <v>No</v>
      </c>
      <c r="E640" s="3" t="str">
        <f>IF(COUNTIF(Hoja1!$A$2:$A$1000,Hoja1!A640)&gt;1,"Sí","No")</f>
        <v>No</v>
      </c>
      <c r="F640" s="3" t="str">
        <f>IF(COUNTIF(Hoja1!$G$2:$G$1000,Hoja1!G640)&gt;1,"Sí","No")</f>
        <v>No</v>
      </c>
      <c r="G640" s="3" t="str">
        <f>IF(OR(ISERROR(FIND("@",Hoja1!G640)),ISERROR(FIND(".",Hoja1!G640,FIND("@",Hoja1!G640)))),"Sí","No")</f>
        <v>No</v>
      </c>
      <c r="H640" s="3" t="str">
        <f>IF(LEN(Hoja1!F640)&lt;&gt;14,"Sí","No")</f>
        <v>No</v>
      </c>
      <c r="I640" s="3" t="str">
        <f>IF(Hoja1!C640&gt;Hoja1!H640,"Sí","No")</f>
        <v>No</v>
      </c>
      <c r="J640" s="3" t="str">
        <f>IF(SUMPRODUCT(--ISNUMBER(SEARCH({"0";"1";"2";"3";"4";"5";"6";"7";"8";"9"},Hoja1!D640)))=0,"Sí","No")</f>
        <v>No</v>
      </c>
      <c r="K640" s="3" t="str">
        <f t="shared" si="9"/>
        <v>No</v>
      </c>
    </row>
    <row r="641" spans="1:11" ht="15" customHeight="1" x14ac:dyDescent="0.3">
      <c r="A641" s="3" t="str">
        <f>Hoja1!A641</f>
        <v>C0640</v>
      </c>
      <c r="B641" s="3" t="str">
        <f>Hoja1!B641</f>
        <v>Víctor Gisbert</v>
      </c>
      <c r="C641" s="3" t="str">
        <f>IF(COUNTA(Hoja1!A641:I641)=0,"Sí","No")</f>
        <v>No</v>
      </c>
      <c r="D641" s="3" t="str">
        <f>IF(COUNTBLANK(Hoja1!A641:I641)&gt;0,"Sí","No")</f>
        <v>No</v>
      </c>
      <c r="E641" s="3" t="str">
        <f>IF(COUNTIF(Hoja1!$A$2:$A$1000,Hoja1!A641)&gt;1,"Sí","No")</f>
        <v>No</v>
      </c>
      <c r="F641" s="3" t="str">
        <f>IF(COUNTIF(Hoja1!$G$2:$G$1000,Hoja1!G641)&gt;1,"Sí","No")</f>
        <v>No</v>
      </c>
      <c r="G641" s="3" t="str">
        <f>IF(OR(ISERROR(FIND("@",Hoja1!G641)),ISERROR(FIND(".",Hoja1!G641,FIND("@",Hoja1!G641)))),"Sí","No")</f>
        <v>No</v>
      </c>
      <c r="H641" s="3" t="str">
        <f>IF(LEN(Hoja1!F641)&lt;&gt;14,"Sí","No")</f>
        <v>No</v>
      </c>
      <c r="I641" s="3" t="str">
        <f>IF(Hoja1!C641&gt;Hoja1!H641,"Sí","No")</f>
        <v>No</v>
      </c>
      <c r="J641" s="3" t="str">
        <f>IF(SUMPRODUCT(--ISNUMBER(SEARCH({"0";"1";"2";"3";"4";"5";"6";"7";"8";"9"},Hoja1!D641)))=0,"Sí","No")</f>
        <v>Sí</v>
      </c>
      <c r="K641" s="3" t="str">
        <f t="shared" si="9"/>
        <v>Sí</v>
      </c>
    </row>
    <row r="642" spans="1:11" ht="15" customHeight="1" x14ac:dyDescent="0.3">
      <c r="A642" s="3" t="str">
        <f>Hoja1!A642</f>
        <v>C0641</v>
      </c>
      <c r="B642" s="3" t="str">
        <f>Hoja1!B642</f>
        <v>Paca Castell Viana</v>
      </c>
      <c r="C642" s="3" t="str">
        <f>IF(COUNTA(Hoja1!A642:I642)=0,"Sí","No")</f>
        <v>No</v>
      </c>
      <c r="D642" s="3" t="str">
        <f>IF(COUNTBLANK(Hoja1!A642:I642)&gt;0,"Sí","No")</f>
        <v>No</v>
      </c>
      <c r="E642" s="3" t="str">
        <f>IF(COUNTIF(Hoja1!$A$2:$A$1000,Hoja1!A642)&gt;1,"Sí","No")</f>
        <v>No</v>
      </c>
      <c r="F642" s="3" t="str">
        <f>IF(COUNTIF(Hoja1!$G$2:$G$1000,Hoja1!G642)&gt;1,"Sí","No")</f>
        <v>No</v>
      </c>
      <c r="G642" s="3" t="str">
        <f>IF(OR(ISERROR(FIND("@",Hoja1!G642)),ISERROR(FIND(".",Hoja1!G642,FIND("@",Hoja1!G642)))),"Sí","No")</f>
        <v>No</v>
      </c>
      <c r="H642" s="3" t="str">
        <f>IF(LEN(Hoja1!F642)&lt;&gt;14,"Sí","No")</f>
        <v>No</v>
      </c>
      <c r="I642" s="3" t="str">
        <f>IF(Hoja1!C642&gt;Hoja1!H642,"Sí","No")</f>
        <v>No</v>
      </c>
      <c r="J642" s="3" t="str">
        <f>IF(SUMPRODUCT(--ISNUMBER(SEARCH({"0";"1";"2";"3";"4";"5";"6";"7";"8";"9"},Hoja1!D642)))=0,"Sí","No")</f>
        <v>No</v>
      </c>
      <c r="K642" s="3" t="str">
        <f t="shared" ref="K642:K705" si="10">IF(COUNTIF(C642:J642,"Sí")&gt;0,"Sí","No")</f>
        <v>No</v>
      </c>
    </row>
    <row r="643" spans="1:11" ht="15" customHeight="1" x14ac:dyDescent="0.3">
      <c r="A643" s="3" t="str">
        <f>Hoja1!A643</f>
        <v>C0642</v>
      </c>
      <c r="B643" s="3" t="str">
        <f>Hoja1!B643</f>
        <v>Belen Zoraida Baró Lozano</v>
      </c>
      <c r="C643" s="3" t="str">
        <f>IF(COUNTA(Hoja1!A643:I643)=0,"Sí","No")</f>
        <v>No</v>
      </c>
      <c r="D643" s="3" t="str">
        <f>IF(COUNTBLANK(Hoja1!A643:I643)&gt;0,"Sí","No")</f>
        <v>No</v>
      </c>
      <c r="E643" s="3" t="str">
        <f>IF(COUNTIF(Hoja1!$A$2:$A$1000,Hoja1!A643)&gt;1,"Sí","No")</f>
        <v>No</v>
      </c>
      <c r="F643" s="3" t="str">
        <f>IF(COUNTIF(Hoja1!$G$2:$G$1000,Hoja1!G643)&gt;1,"Sí","No")</f>
        <v>No</v>
      </c>
      <c r="G643" s="3" t="str">
        <f>IF(OR(ISERROR(FIND("@",Hoja1!G643)),ISERROR(FIND(".",Hoja1!G643,FIND("@",Hoja1!G643)))),"Sí","No")</f>
        <v>No</v>
      </c>
      <c r="H643" s="3" t="str">
        <f>IF(LEN(Hoja1!F643)&lt;&gt;14,"Sí","No")</f>
        <v>No</v>
      </c>
      <c r="I643" s="3" t="str">
        <f>IF(Hoja1!C643&gt;Hoja1!H643,"Sí","No")</f>
        <v>No</v>
      </c>
      <c r="J643" s="3" t="str">
        <f>IF(SUMPRODUCT(--ISNUMBER(SEARCH({"0";"1";"2";"3";"4";"5";"6";"7";"8";"9"},Hoja1!D643)))=0,"Sí","No")</f>
        <v>No</v>
      </c>
      <c r="K643" s="3" t="str">
        <f t="shared" si="10"/>
        <v>No</v>
      </c>
    </row>
    <row r="644" spans="1:11" ht="15" customHeight="1" x14ac:dyDescent="0.3">
      <c r="A644" s="3" t="str">
        <f>Hoja1!A644</f>
        <v>C0643</v>
      </c>
      <c r="B644" s="3" t="str">
        <f>Hoja1!B644</f>
        <v>Pastor Fuente Arenas</v>
      </c>
      <c r="C644" s="3" t="str">
        <f>IF(COUNTA(Hoja1!A644:I644)=0,"Sí","No")</f>
        <v>No</v>
      </c>
      <c r="D644" s="3" t="str">
        <f>IF(COUNTBLANK(Hoja1!A644:I644)&gt;0,"Sí","No")</f>
        <v>No</v>
      </c>
      <c r="E644" s="3" t="str">
        <f>IF(COUNTIF(Hoja1!$A$2:$A$1000,Hoja1!A644)&gt;1,"Sí","No")</f>
        <v>No</v>
      </c>
      <c r="F644" s="3" t="str">
        <f>IF(COUNTIF(Hoja1!$G$2:$G$1000,Hoja1!G644)&gt;1,"Sí","No")</f>
        <v>No</v>
      </c>
      <c r="G644" s="3" t="str">
        <f>IF(OR(ISERROR(FIND("@",Hoja1!G644)),ISERROR(FIND(".",Hoja1!G644,FIND("@",Hoja1!G644)))),"Sí","No")</f>
        <v>No</v>
      </c>
      <c r="H644" s="3" t="str">
        <f>IF(LEN(Hoja1!F644)&lt;&gt;14,"Sí","No")</f>
        <v>No</v>
      </c>
      <c r="I644" s="3" t="str">
        <f>IF(Hoja1!C644&gt;Hoja1!H644,"Sí","No")</f>
        <v>No</v>
      </c>
      <c r="J644" s="3" t="str">
        <f>IF(SUMPRODUCT(--ISNUMBER(SEARCH({"0";"1";"2";"3";"4";"5";"6";"7";"8";"9"},Hoja1!D644)))=0,"Sí","No")</f>
        <v>Sí</v>
      </c>
      <c r="K644" s="3" t="str">
        <f t="shared" si="10"/>
        <v>Sí</v>
      </c>
    </row>
    <row r="645" spans="1:11" ht="15" customHeight="1" x14ac:dyDescent="0.3">
      <c r="A645" s="3" t="str">
        <f>Hoja1!A645</f>
        <v>C0644</v>
      </c>
      <c r="B645" s="3" t="str">
        <f>Hoja1!B645</f>
        <v>Amaro Quero Paredes</v>
      </c>
      <c r="C645" s="3" t="str">
        <f>IF(COUNTA(Hoja1!A645:I645)=0,"Sí","No")</f>
        <v>No</v>
      </c>
      <c r="D645" s="3" t="str">
        <f>IF(COUNTBLANK(Hoja1!A645:I645)&gt;0,"Sí","No")</f>
        <v>No</v>
      </c>
      <c r="E645" s="3" t="str">
        <f>IF(COUNTIF(Hoja1!$A$2:$A$1000,Hoja1!A645)&gt;1,"Sí","No")</f>
        <v>No</v>
      </c>
      <c r="F645" s="3" t="str">
        <f>IF(COUNTIF(Hoja1!$G$2:$G$1000,Hoja1!G645)&gt;1,"Sí","No")</f>
        <v>No</v>
      </c>
      <c r="G645" s="3" t="str">
        <f>IF(OR(ISERROR(FIND("@",Hoja1!G645)),ISERROR(FIND(".",Hoja1!G645,FIND("@",Hoja1!G645)))),"Sí","No")</f>
        <v>No</v>
      </c>
      <c r="H645" s="3" t="str">
        <f>IF(LEN(Hoja1!F645)&lt;&gt;14,"Sí","No")</f>
        <v>No</v>
      </c>
      <c r="I645" s="3" t="str">
        <f>IF(Hoja1!C645&gt;Hoja1!H645,"Sí","No")</f>
        <v>No</v>
      </c>
      <c r="J645" s="3" t="str">
        <f>IF(SUMPRODUCT(--ISNUMBER(SEARCH({"0";"1";"2";"3";"4";"5";"6";"7";"8";"9"},Hoja1!D645)))=0,"Sí","No")</f>
        <v>No</v>
      </c>
      <c r="K645" s="3" t="str">
        <f t="shared" si="10"/>
        <v>No</v>
      </c>
    </row>
    <row r="646" spans="1:11" ht="15" customHeight="1" x14ac:dyDescent="0.3">
      <c r="A646" s="3" t="str">
        <f>Hoja1!A646</f>
        <v>C0645</v>
      </c>
      <c r="B646" s="3" t="str">
        <f>Hoja1!B646</f>
        <v>Margarita del Coronado</v>
      </c>
      <c r="C646" s="3" t="str">
        <f>IF(COUNTA(Hoja1!A646:I646)=0,"Sí","No")</f>
        <v>No</v>
      </c>
      <c r="D646" s="3" t="str">
        <f>IF(COUNTBLANK(Hoja1!A646:I646)&gt;0,"Sí","No")</f>
        <v>No</v>
      </c>
      <c r="E646" s="3" t="str">
        <f>IF(COUNTIF(Hoja1!$A$2:$A$1000,Hoja1!A646)&gt;1,"Sí","No")</f>
        <v>No</v>
      </c>
      <c r="F646" s="3" t="str">
        <f>IF(COUNTIF(Hoja1!$G$2:$G$1000,Hoja1!G646)&gt;1,"Sí","No")</f>
        <v>No</v>
      </c>
      <c r="G646" s="3" t="str">
        <f>IF(OR(ISERROR(FIND("@",Hoja1!G646)),ISERROR(FIND(".",Hoja1!G646,FIND("@",Hoja1!G646)))),"Sí","No")</f>
        <v>No</v>
      </c>
      <c r="H646" s="3" t="str">
        <f>IF(LEN(Hoja1!F646)&lt;&gt;14,"Sí","No")</f>
        <v>No</v>
      </c>
      <c r="I646" s="3" t="str">
        <f>IF(Hoja1!C646&gt;Hoja1!H646,"Sí","No")</f>
        <v>No</v>
      </c>
      <c r="J646" s="3" t="str">
        <f>IF(SUMPRODUCT(--ISNUMBER(SEARCH({"0";"1";"2";"3";"4";"5";"6";"7";"8";"9"},Hoja1!D646)))=0,"Sí","No")</f>
        <v>No</v>
      </c>
      <c r="K646" s="3" t="str">
        <f t="shared" si="10"/>
        <v>No</v>
      </c>
    </row>
    <row r="647" spans="1:11" ht="15" customHeight="1" x14ac:dyDescent="0.3">
      <c r="A647" s="3" t="str">
        <f>Hoja1!A647</f>
        <v>C0646</v>
      </c>
      <c r="B647" s="3" t="str">
        <f>Hoja1!B647</f>
        <v>Calixto España Jove</v>
      </c>
      <c r="C647" s="3" t="str">
        <f>IF(COUNTA(Hoja1!A647:I647)=0,"Sí","No")</f>
        <v>No</v>
      </c>
      <c r="D647" s="3" t="str">
        <f>IF(COUNTBLANK(Hoja1!A647:I647)&gt;0,"Sí","No")</f>
        <v>No</v>
      </c>
      <c r="E647" s="3" t="str">
        <f>IF(COUNTIF(Hoja1!$A$2:$A$1000,Hoja1!A647)&gt;1,"Sí","No")</f>
        <v>No</v>
      </c>
      <c r="F647" s="3" t="str">
        <f>IF(COUNTIF(Hoja1!$G$2:$G$1000,Hoja1!G647)&gt;1,"Sí","No")</f>
        <v>No</v>
      </c>
      <c r="G647" s="3" t="str">
        <f>IF(OR(ISERROR(FIND("@",Hoja1!G647)),ISERROR(FIND(".",Hoja1!G647,FIND("@",Hoja1!G647)))),"Sí","No")</f>
        <v>No</v>
      </c>
      <c r="H647" s="3" t="str">
        <f>IF(LEN(Hoja1!F647)&lt;&gt;14,"Sí","No")</f>
        <v>No</v>
      </c>
      <c r="I647" s="3" t="str">
        <f>IF(Hoja1!C647&gt;Hoja1!H647,"Sí","No")</f>
        <v>No</v>
      </c>
      <c r="J647" s="3" t="str">
        <f>IF(SUMPRODUCT(--ISNUMBER(SEARCH({"0";"1";"2";"3";"4";"5";"6";"7";"8";"9"},Hoja1!D647)))=0,"Sí","No")</f>
        <v>Sí</v>
      </c>
      <c r="K647" s="3" t="str">
        <f t="shared" si="10"/>
        <v>Sí</v>
      </c>
    </row>
    <row r="648" spans="1:11" ht="15" customHeight="1" x14ac:dyDescent="0.3">
      <c r="A648" s="3" t="str">
        <f>Hoja1!A648</f>
        <v>C0647</v>
      </c>
      <c r="B648" s="3" t="str">
        <f>Hoja1!B648</f>
        <v>Sofía Mulet Benet</v>
      </c>
      <c r="C648" s="3" t="str">
        <f>IF(COUNTA(Hoja1!A648:I648)=0,"Sí","No")</f>
        <v>No</v>
      </c>
      <c r="D648" s="3" t="str">
        <f>IF(COUNTBLANK(Hoja1!A648:I648)&gt;0,"Sí","No")</f>
        <v>No</v>
      </c>
      <c r="E648" s="3" t="str">
        <f>IF(COUNTIF(Hoja1!$A$2:$A$1000,Hoja1!A648)&gt;1,"Sí","No")</f>
        <v>No</v>
      </c>
      <c r="F648" s="3" t="str">
        <f>IF(COUNTIF(Hoja1!$G$2:$G$1000,Hoja1!G648)&gt;1,"Sí","No")</f>
        <v>No</v>
      </c>
      <c r="G648" s="3" t="str">
        <f>IF(OR(ISERROR(FIND("@",Hoja1!G648)),ISERROR(FIND(".",Hoja1!G648,FIND("@",Hoja1!G648)))),"Sí","No")</f>
        <v>No</v>
      </c>
      <c r="H648" s="3" t="str">
        <f>IF(LEN(Hoja1!F648)&lt;&gt;14,"Sí","No")</f>
        <v>No</v>
      </c>
      <c r="I648" s="3" t="str">
        <f>IF(Hoja1!C648&gt;Hoja1!H648,"Sí","No")</f>
        <v>No</v>
      </c>
      <c r="J648" s="3" t="str">
        <f>IF(SUMPRODUCT(--ISNUMBER(SEARCH({"0";"1";"2";"3";"4";"5";"6";"7";"8";"9"},Hoja1!D648)))=0,"Sí","No")</f>
        <v>No</v>
      </c>
      <c r="K648" s="3" t="str">
        <f t="shared" si="10"/>
        <v>No</v>
      </c>
    </row>
    <row r="649" spans="1:11" ht="15" customHeight="1" x14ac:dyDescent="0.3">
      <c r="A649" s="3" t="str">
        <f>Hoja1!A649</f>
        <v>C0648</v>
      </c>
      <c r="B649" s="3" t="str">
        <f>Hoja1!B649</f>
        <v>Melania Ariadna Barceló Garcés</v>
      </c>
      <c r="C649" s="3" t="str">
        <f>IF(COUNTA(Hoja1!A649:I649)=0,"Sí","No")</f>
        <v>No</v>
      </c>
      <c r="D649" s="3" t="str">
        <f>IF(COUNTBLANK(Hoja1!A649:I649)&gt;0,"Sí","No")</f>
        <v>No</v>
      </c>
      <c r="E649" s="3" t="str">
        <f>IF(COUNTIF(Hoja1!$A$2:$A$1000,Hoja1!A649)&gt;1,"Sí","No")</f>
        <v>No</v>
      </c>
      <c r="F649" s="3" t="str">
        <f>IF(COUNTIF(Hoja1!$G$2:$G$1000,Hoja1!G649)&gt;1,"Sí","No")</f>
        <v>No</v>
      </c>
      <c r="G649" s="3" t="str">
        <f>IF(OR(ISERROR(FIND("@",Hoja1!G649)),ISERROR(FIND(".",Hoja1!G649,FIND("@",Hoja1!G649)))),"Sí","No")</f>
        <v>No</v>
      </c>
      <c r="H649" s="3" t="str">
        <f>IF(LEN(Hoja1!F649)&lt;&gt;14,"Sí","No")</f>
        <v>No</v>
      </c>
      <c r="I649" s="3" t="str">
        <f>IF(Hoja1!C649&gt;Hoja1!H649,"Sí","No")</f>
        <v>No</v>
      </c>
      <c r="J649" s="3" t="str">
        <f>IF(SUMPRODUCT(--ISNUMBER(SEARCH({"0";"1";"2";"3";"4";"5";"6";"7";"8";"9"},Hoja1!D649)))=0,"Sí","No")</f>
        <v>No</v>
      </c>
      <c r="K649" s="3" t="str">
        <f t="shared" si="10"/>
        <v>No</v>
      </c>
    </row>
    <row r="650" spans="1:11" ht="15" customHeight="1" x14ac:dyDescent="0.3">
      <c r="A650" s="3" t="str">
        <f>Hoja1!A650</f>
        <v>C0649</v>
      </c>
      <c r="B650" s="3" t="str">
        <f>Hoja1!B650</f>
        <v>Albina Dulce Nieto Ferrándiz</v>
      </c>
      <c r="C650" s="3" t="str">
        <f>IF(COUNTA(Hoja1!A650:I650)=0,"Sí","No")</f>
        <v>No</v>
      </c>
      <c r="D650" s="3" t="str">
        <f>IF(COUNTBLANK(Hoja1!A650:I650)&gt;0,"Sí","No")</f>
        <v>No</v>
      </c>
      <c r="E650" s="3" t="str">
        <f>IF(COUNTIF(Hoja1!$A$2:$A$1000,Hoja1!A650)&gt;1,"Sí","No")</f>
        <v>No</v>
      </c>
      <c r="F650" s="3" t="str">
        <f>IF(COUNTIF(Hoja1!$G$2:$G$1000,Hoja1!G650)&gt;1,"Sí","No")</f>
        <v>No</v>
      </c>
      <c r="G650" s="3" t="str">
        <f>IF(OR(ISERROR(FIND("@",Hoja1!G650)),ISERROR(FIND(".",Hoja1!G650,FIND("@",Hoja1!G650)))),"Sí","No")</f>
        <v>No</v>
      </c>
      <c r="H650" s="3" t="str">
        <f>IF(LEN(Hoja1!F650)&lt;&gt;14,"Sí","No")</f>
        <v>No</v>
      </c>
      <c r="I650" s="3" t="str">
        <f>IF(Hoja1!C650&gt;Hoja1!H650,"Sí","No")</f>
        <v>No</v>
      </c>
      <c r="J650" s="3" t="str">
        <f>IF(SUMPRODUCT(--ISNUMBER(SEARCH({"0";"1";"2";"3";"4";"5";"6";"7";"8";"9"},Hoja1!D650)))=0,"Sí","No")</f>
        <v>Sí</v>
      </c>
      <c r="K650" s="3" t="str">
        <f t="shared" si="10"/>
        <v>Sí</v>
      </c>
    </row>
    <row r="651" spans="1:11" ht="15" customHeight="1" x14ac:dyDescent="0.3">
      <c r="A651" s="3" t="str">
        <f>Hoja1!A651</f>
        <v>C0650</v>
      </c>
      <c r="B651" s="3" t="str">
        <f>Hoja1!B651</f>
        <v>Pepita Roig</v>
      </c>
      <c r="C651" s="3" t="str">
        <f>IF(COUNTA(Hoja1!A651:I651)=0,"Sí","No")</f>
        <v>No</v>
      </c>
      <c r="D651" s="3" t="str">
        <f>IF(COUNTBLANK(Hoja1!A651:I651)&gt;0,"Sí","No")</f>
        <v>No</v>
      </c>
      <c r="E651" s="3" t="str">
        <f>IF(COUNTIF(Hoja1!$A$2:$A$1000,Hoja1!A651)&gt;1,"Sí","No")</f>
        <v>No</v>
      </c>
      <c r="F651" s="3" t="str">
        <f>IF(COUNTIF(Hoja1!$G$2:$G$1000,Hoja1!G651)&gt;1,"Sí","No")</f>
        <v>No</v>
      </c>
      <c r="G651" s="3" t="str">
        <f>IF(OR(ISERROR(FIND("@",Hoja1!G651)),ISERROR(FIND(".",Hoja1!G651,FIND("@",Hoja1!G651)))),"Sí","No")</f>
        <v>No</v>
      </c>
      <c r="H651" s="3" t="str">
        <f>IF(LEN(Hoja1!F651)&lt;&gt;14,"Sí","No")</f>
        <v>No</v>
      </c>
      <c r="I651" s="3" t="str">
        <f>IF(Hoja1!C651&gt;Hoja1!H651,"Sí","No")</f>
        <v>No</v>
      </c>
      <c r="J651" s="3" t="str">
        <f>IF(SUMPRODUCT(--ISNUMBER(SEARCH({"0";"1";"2";"3";"4";"5";"6";"7";"8";"9"},Hoja1!D651)))=0,"Sí","No")</f>
        <v>No</v>
      </c>
      <c r="K651" s="3" t="str">
        <f t="shared" si="10"/>
        <v>No</v>
      </c>
    </row>
    <row r="652" spans="1:11" ht="15" customHeight="1" x14ac:dyDescent="0.3">
      <c r="A652" s="3" t="str">
        <f>Hoja1!A652</f>
        <v>C0651</v>
      </c>
      <c r="B652" s="3" t="str">
        <f>Hoja1!B652</f>
        <v>Marcela Leal Montes</v>
      </c>
      <c r="C652" s="3" t="str">
        <f>IF(COUNTA(Hoja1!A652:I652)=0,"Sí","No")</f>
        <v>No</v>
      </c>
      <c r="D652" s="3" t="str">
        <f>IF(COUNTBLANK(Hoja1!A652:I652)&gt;0,"Sí","No")</f>
        <v>No</v>
      </c>
      <c r="E652" s="3" t="str">
        <f>IF(COUNTIF(Hoja1!$A$2:$A$1000,Hoja1!A652)&gt;1,"Sí","No")</f>
        <v>No</v>
      </c>
      <c r="F652" s="3" t="str">
        <f>IF(COUNTIF(Hoja1!$G$2:$G$1000,Hoja1!G652)&gt;1,"Sí","No")</f>
        <v>No</v>
      </c>
      <c r="G652" s="3" t="str">
        <f>IF(OR(ISERROR(FIND("@",Hoja1!G652)),ISERROR(FIND(".",Hoja1!G652,FIND("@",Hoja1!G652)))),"Sí","No")</f>
        <v>No</v>
      </c>
      <c r="H652" s="3" t="str">
        <f>IF(LEN(Hoja1!F652)&lt;&gt;14,"Sí","No")</f>
        <v>No</v>
      </c>
      <c r="I652" s="3" t="str">
        <f>IF(Hoja1!C652&gt;Hoja1!H652,"Sí","No")</f>
        <v>No</v>
      </c>
      <c r="J652" s="3" t="str">
        <f>IF(SUMPRODUCT(--ISNUMBER(SEARCH({"0";"1";"2";"3";"4";"5";"6";"7";"8";"9"},Hoja1!D652)))=0,"Sí","No")</f>
        <v>No</v>
      </c>
      <c r="K652" s="3" t="str">
        <f t="shared" si="10"/>
        <v>No</v>
      </c>
    </row>
    <row r="653" spans="1:11" ht="15" customHeight="1" x14ac:dyDescent="0.3">
      <c r="A653" s="3" t="str">
        <f>Hoja1!A653</f>
        <v>C0652</v>
      </c>
      <c r="B653" s="3" t="str">
        <f>Hoja1!B653</f>
        <v>Paloma Salvà Carvajal</v>
      </c>
      <c r="C653" s="3" t="str">
        <f>IF(COUNTA(Hoja1!A653:I653)=0,"Sí","No")</f>
        <v>No</v>
      </c>
      <c r="D653" s="3" t="str">
        <f>IF(COUNTBLANK(Hoja1!A653:I653)&gt;0,"Sí","No")</f>
        <v>No</v>
      </c>
      <c r="E653" s="3" t="str">
        <f>IF(COUNTIF(Hoja1!$A$2:$A$1000,Hoja1!A653)&gt;1,"Sí","No")</f>
        <v>No</v>
      </c>
      <c r="F653" s="3" t="str">
        <f>IF(COUNTIF(Hoja1!$G$2:$G$1000,Hoja1!G653)&gt;1,"Sí","No")</f>
        <v>No</v>
      </c>
      <c r="G653" s="3" t="str">
        <f>IF(OR(ISERROR(FIND("@",Hoja1!G653)),ISERROR(FIND(".",Hoja1!G653,FIND("@",Hoja1!G653)))),"Sí","No")</f>
        <v>No</v>
      </c>
      <c r="H653" s="3" t="str">
        <f>IF(LEN(Hoja1!F653)&lt;&gt;14,"Sí","No")</f>
        <v>No</v>
      </c>
      <c r="I653" s="3" t="str">
        <f>IF(Hoja1!C653&gt;Hoja1!H653,"Sí","No")</f>
        <v>No</v>
      </c>
      <c r="J653" s="3" t="str">
        <f>IF(SUMPRODUCT(--ISNUMBER(SEARCH({"0";"1";"2";"3";"4";"5";"6";"7";"8";"9"},Hoja1!D653)))=0,"Sí","No")</f>
        <v>Sí</v>
      </c>
      <c r="K653" s="3" t="str">
        <f t="shared" si="10"/>
        <v>Sí</v>
      </c>
    </row>
    <row r="654" spans="1:11" ht="15" customHeight="1" x14ac:dyDescent="0.3">
      <c r="A654" s="3" t="str">
        <f>Hoja1!A654</f>
        <v>C0653</v>
      </c>
      <c r="B654" s="3" t="str">
        <f>Hoja1!B654</f>
        <v>Adelia Martí Bello</v>
      </c>
      <c r="C654" s="3" t="str">
        <f>IF(COUNTA(Hoja1!A654:I654)=0,"Sí","No")</f>
        <v>No</v>
      </c>
      <c r="D654" s="3" t="str">
        <f>IF(COUNTBLANK(Hoja1!A654:I654)&gt;0,"Sí","No")</f>
        <v>No</v>
      </c>
      <c r="E654" s="3" t="str">
        <f>IF(COUNTIF(Hoja1!$A$2:$A$1000,Hoja1!A654)&gt;1,"Sí","No")</f>
        <v>No</v>
      </c>
      <c r="F654" s="3" t="str">
        <f>IF(COUNTIF(Hoja1!$G$2:$G$1000,Hoja1!G654)&gt;1,"Sí","No")</f>
        <v>No</v>
      </c>
      <c r="G654" s="3" t="str">
        <f>IF(OR(ISERROR(FIND("@",Hoja1!G654)),ISERROR(FIND(".",Hoja1!G654,FIND("@",Hoja1!G654)))),"Sí","No")</f>
        <v>No</v>
      </c>
      <c r="H654" s="3" t="str">
        <f>IF(LEN(Hoja1!F654)&lt;&gt;14,"Sí","No")</f>
        <v>No</v>
      </c>
      <c r="I654" s="3" t="str">
        <f>IF(Hoja1!C654&gt;Hoja1!H654,"Sí","No")</f>
        <v>No</v>
      </c>
      <c r="J654" s="3" t="str">
        <f>IF(SUMPRODUCT(--ISNUMBER(SEARCH({"0";"1";"2";"3";"4";"5";"6";"7";"8";"9"},Hoja1!D654)))=0,"Sí","No")</f>
        <v>No</v>
      </c>
      <c r="K654" s="3" t="str">
        <f t="shared" si="10"/>
        <v>No</v>
      </c>
    </row>
    <row r="655" spans="1:11" ht="15" customHeight="1" x14ac:dyDescent="0.3">
      <c r="A655" s="3" t="str">
        <f>Hoja1!A655</f>
        <v>C0654</v>
      </c>
      <c r="B655" s="3" t="str">
        <f>Hoja1!B655</f>
        <v>Atilio Batalla Rios</v>
      </c>
      <c r="C655" s="3" t="str">
        <f>IF(COUNTA(Hoja1!A655:I655)=0,"Sí","No")</f>
        <v>No</v>
      </c>
      <c r="D655" s="3" t="str">
        <f>IF(COUNTBLANK(Hoja1!A655:I655)&gt;0,"Sí","No")</f>
        <v>No</v>
      </c>
      <c r="E655" s="3" t="str">
        <f>IF(COUNTIF(Hoja1!$A$2:$A$1000,Hoja1!A655)&gt;1,"Sí","No")</f>
        <v>No</v>
      </c>
      <c r="F655" s="3" t="str">
        <f>IF(COUNTIF(Hoja1!$G$2:$G$1000,Hoja1!G655)&gt;1,"Sí","No")</f>
        <v>No</v>
      </c>
      <c r="G655" s="3" t="str">
        <f>IF(OR(ISERROR(FIND("@",Hoja1!G655)),ISERROR(FIND(".",Hoja1!G655,FIND("@",Hoja1!G655)))),"Sí","No")</f>
        <v>No</v>
      </c>
      <c r="H655" s="3" t="str">
        <f>IF(LEN(Hoja1!F655)&lt;&gt;14,"Sí","No")</f>
        <v>No</v>
      </c>
      <c r="I655" s="3" t="str">
        <f>IF(Hoja1!C655&gt;Hoja1!H655,"Sí","No")</f>
        <v>No</v>
      </c>
      <c r="J655" s="3" t="str">
        <f>IF(SUMPRODUCT(--ISNUMBER(SEARCH({"0";"1";"2";"3";"4";"5";"6";"7";"8";"9"},Hoja1!D655)))=0,"Sí","No")</f>
        <v>No</v>
      </c>
      <c r="K655" s="3" t="str">
        <f t="shared" si="10"/>
        <v>No</v>
      </c>
    </row>
    <row r="656" spans="1:11" ht="15" customHeight="1" x14ac:dyDescent="0.3">
      <c r="A656" s="3" t="str">
        <f>Hoja1!A656</f>
        <v>C0655</v>
      </c>
      <c r="B656" s="3" t="str">
        <f>Hoja1!B656</f>
        <v>Felicia Novoa Cózar</v>
      </c>
      <c r="C656" s="3" t="str">
        <f>IF(COUNTA(Hoja1!A656:I656)=0,"Sí","No")</f>
        <v>No</v>
      </c>
      <c r="D656" s="3" t="str">
        <f>IF(COUNTBLANK(Hoja1!A656:I656)&gt;0,"Sí","No")</f>
        <v>No</v>
      </c>
      <c r="E656" s="3" t="str">
        <f>IF(COUNTIF(Hoja1!$A$2:$A$1000,Hoja1!A656)&gt;1,"Sí","No")</f>
        <v>No</v>
      </c>
      <c r="F656" s="3" t="str">
        <f>IF(COUNTIF(Hoja1!$G$2:$G$1000,Hoja1!G656)&gt;1,"Sí","No")</f>
        <v>No</v>
      </c>
      <c r="G656" s="3" t="str">
        <f>IF(OR(ISERROR(FIND("@",Hoja1!G656)),ISERROR(FIND(".",Hoja1!G656,FIND("@",Hoja1!G656)))),"Sí","No")</f>
        <v>No</v>
      </c>
      <c r="H656" s="3" t="str">
        <f>IF(LEN(Hoja1!F656)&lt;&gt;14,"Sí","No")</f>
        <v>No</v>
      </c>
      <c r="I656" s="3" t="str">
        <f>IF(Hoja1!C656&gt;Hoja1!H656,"Sí","No")</f>
        <v>No</v>
      </c>
      <c r="J656" s="3" t="str">
        <f>IF(SUMPRODUCT(--ISNUMBER(SEARCH({"0";"1";"2";"3";"4";"5";"6";"7";"8";"9"},Hoja1!D656)))=0,"Sí","No")</f>
        <v>Sí</v>
      </c>
      <c r="K656" s="3" t="str">
        <f t="shared" si="10"/>
        <v>Sí</v>
      </c>
    </row>
    <row r="657" spans="1:11" ht="15" customHeight="1" x14ac:dyDescent="0.3">
      <c r="A657" s="3" t="str">
        <f>Hoja1!A657</f>
        <v>C0656</v>
      </c>
      <c r="B657" s="3" t="str">
        <f>Hoja1!B657</f>
        <v>Petrona Guardia Céspedes</v>
      </c>
      <c r="C657" s="3" t="str">
        <f>IF(COUNTA(Hoja1!A657:I657)=0,"Sí","No")</f>
        <v>No</v>
      </c>
      <c r="D657" s="3" t="str">
        <f>IF(COUNTBLANK(Hoja1!A657:I657)&gt;0,"Sí","No")</f>
        <v>No</v>
      </c>
      <c r="E657" s="3" t="str">
        <f>IF(COUNTIF(Hoja1!$A$2:$A$1000,Hoja1!A657)&gt;1,"Sí","No")</f>
        <v>No</v>
      </c>
      <c r="F657" s="3" t="str">
        <f>IF(COUNTIF(Hoja1!$G$2:$G$1000,Hoja1!G657)&gt;1,"Sí","No")</f>
        <v>No</v>
      </c>
      <c r="G657" s="3" t="str">
        <f>IF(OR(ISERROR(FIND("@",Hoja1!G657)),ISERROR(FIND(".",Hoja1!G657,FIND("@",Hoja1!G657)))),"Sí","No")</f>
        <v>No</v>
      </c>
      <c r="H657" s="3" t="str">
        <f>IF(LEN(Hoja1!F657)&lt;&gt;14,"Sí","No")</f>
        <v>No</v>
      </c>
      <c r="I657" s="3" t="str">
        <f>IF(Hoja1!C657&gt;Hoja1!H657,"Sí","No")</f>
        <v>No</v>
      </c>
      <c r="J657" s="3" t="str">
        <f>IF(SUMPRODUCT(--ISNUMBER(SEARCH({"0";"1";"2";"3";"4";"5";"6";"7";"8";"9"},Hoja1!D657)))=0,"Sí","No")</f>
        <v>No</v>
      </c>
      <c r="K657" s="3" t="str">
        <f t="shared" si="10"/>
        <v>No</v>
      </c>
    </row>
    <row r="658" spans="1:11" ht="15" customHeight="1" x14ac:dyDescent="0.3">
      <c r="A658" s="3" t="str">
        <f>Hoja1!A658</f>
        <v>C0657</v>
      </c>
      <c r="B658" s="3" t="str">
        <f>Hoja1!B658</f>
        <v>Tito Oliveras-Mármol</v>
      </c>
      <c r="C658" s="3" t="str">
        <f>IF(COUNTA(Hoja1!A658:I658)=0,"Sí","No")</f>
        <v>No</v>
      </c>
      <c r="D658" s="3" t="str">
        <f>IF(COUNTBLANK(Hoja1!A658:I658)&gt;0,"Sí","No")</f>
        <v>No</v>
      </c>
      <c r="E658" s="3" t="str">
        <f>IF(COUNTIF(Hoja1!$A$2:$A$1000,Hoja1!A658)&gt;1,"Sí","No")</f>
        <v>No</v>
      </c>
      <c r="F658" s="3" t="str">
        <f>IF(COUNTIF(Hoja1!$G$2:$G$1000,Hoja1!G658)&gt;1,"Sí","No")</f>
        <v>No</v>
      </c>
      <c r="G658" s="3" t="str">
        <f>IF(OR(ISERROR(FIND("@",Hoja1!G658)),ISERROR(FIND(".",Hoja1!G658,FIND("@",Hoja1!G658)))),"Sí","No")</f>
        <v>No</v>
      </c>
      <c r="H658" s="3" t="str">
        <f>IF(LEN(Hoja1!F658)&lt;&gt;14,"Sí","No")</f>
        <v>No</v>
      </c>
      <c r="I658" s="3" t="str">
        <f>IF(Hoja1!C658&gt;Hoja1!H658,"Sí","No")</f>
        <v>No</v>
      </c>
      <c r="J658" s="3" t="str">
        <f>IF(SUMPRODUCT(--ISNUMBER(SEARCH({"0";"1";"2";"3";"4";"5";"6";"7";"8";"9"},Hoja1!D658)))=0,"Sí","No")</f>
        <v>No</v>
      </c>
      <c r="K658" s="3" t="str">
        <f t="shared" si="10"/>
        <v>No</v>
      </c>
    </row>
    <row r="659" spans="1:11" ht="15" customHeight="1" x14ac:dyDescent="0.3">
      <c r="A659" s="3" t="str">
        <f>Hoja1!A659</f>
        <v>C0658</v>
      </c>
      <c r="B659" s="3" t="str">
        <f>Hoja1!B659</f>
        <v>Urbano Plana Cornejo</v>
      </c>
      <c r="C659" s="3" t="str">
        <f>IF(COUNTA(Hoja1!A659:I659)=0,"Sí","No")</f>
        <v>No</v>
      </c>
      <c r="D659" s="3" t="str">
        <f>IF(COUNTBLANK(Hoja1!A659:I659)&gt;0,"Sí","No")</f>
        <v>No</v>
      </c>
      <c r="E659" s="3" t="str">
        <f>IF(COUNTIF(Hoja1!$A$2:$A$1000,Hoja1!A659)&gt;1,"Sí","No")</f>
        <v>No</v>
      </c>
      <c r="F659" s="3" t="str">
        <f>IF(COUNTIF(Hoja1!$G$2:$G$1000,Hoja1!G659)&gt;1,"Sí","No")</f>
        <v>Sí</v>
      </c>
      <c r="G659" s="3" t="str">
        <f>IF(OR(ISERROR(FIND("@",Hoja1!G659)),ISERROR(FIND(".",Hoja1!G659,FIND("@",Hoja1!G659)))),"Sí","No")</f>
        <v>No</v>
      </c>
      <c r="H659" s="3" t="str">
        <f>IF(LEN(Hoja1!F659)&lt;&gt;14,"Sí","No")</f>
        <v>No</v>
      </c>
      <c r="I659" s="3" t="str">
        <f>IF(Hoja1!C659&gt;Hoja1!H659,"Sí","No")</f>
        <v>No</v>
      </c>
      <c r="J659" s="3" t="str">
        <f>IF(SUMPRODUCT(--ISNUMBER(SEARCH({"0";"1";"2";"3";"4";"5";"6";"7";"8";"9"},Hoja1!D659)))=0,"Sí","No")</f>
        <v>Sí</v>
      </c>
      <c r="K659" s="3" t="str">
        <f t="shared" si="10"/>
        <v>Sí</v>
      </c>
    </row>
    <row r="660" spans="1:11" ht="15" customHeight="1" x14ac:dyDescent="0.3">
      <c r="A660" s="3" t="str">
        <f>Hoja1!A660</f>
        <v>C0659</v>
      </c>
      <c r="B660" s="3" t="str">
        <f>Hoja1!B660</f>
        <v>Anselma Rodriguez Bernad</v>
      </c>
      <c r="C660" s="3" t="str">
        <f>IF(COUNTA(Hoja1!A660:I660)=0,"Sí","No")</f>
        <v>No</v>
      </c>
      <c r="D660" s="3" t="str">
        <f>IF(COUNTBLANK(Hoja1!A660:I660)&gt;0,"Sí","No")</f>
        <v>No</v>
      </c>
      <c r="E660" s="3" t="str">
        <f>IF(COUNTIF(Hoja1!$A$2:$A$1000,Hoja1!A660)&gt;1,"Sí","No")</f>
        <v>No</v>
      </c>
      <c r="F660" s="3" t="str">
        <f>IF(COUNTIF(Hoja1!$G$2:$G$1000,Hoja1!G660)&gt;1,"Sí","No")</f>
        <v>No</v>
      </c>
      <c r="G660" s="3" t="str">
        <f>IF(OR(ISERROR(FIND("@",Hoja1!G660)),ISERROR(FIND(".",Hoja1!G660,FIND("@",Hoja1!G660)))),"Sí","No")</f>
        <v>No</v>
      </c>
      <c r="H660" s="3" t="str">
        <f>IF(LEN(Hoja1!F660)&lt;&gt;14,"Sí","No")</f>
        <v>No</v>
      </c>
      <c r="I660" s="3" t="str">
        <f>IF(Hoja1!C660&gt;Hoja1!H660,"Sí","No")</f>
        <v>No</v>
      </c>
      <c r="J660" s="3" t="str">
        <f>IF(SUMPRODUCT(--ISNUMBER(SEARCH({"0";"1";"2";"3";"4";"5";"6";"7";"8";"9"},Hoja1!D660)))=0,"Sí","No")</f>
        <v>No</v>
      </c>
      <c r="K660" s="3" t="str">
        <f t="shared" si="10"/>
        <v>No</v>
      </c>
    </row>
    <row r="661" spans="1:11" ht="15" customHeight="1" x14ac:dyDescent="0.3">
      <c r="A661" s="3" t="str">
        <f>Hoja1!A661</f>
        <v>C0660</v>
      </c>
      <c r="B661" s="3" t="str">
        <f>Hoja1!B661</f>
        <v>Adrián Fabra Viña</v>
      </c>
      <c r="C661" s="3" t="str">
        <f>IF(COUNTA(Hoja1!A661:I661)=0,"Sí","No")</f>
        <v>No</v>
      </c>
      <c r="D661" s="3" t="str">
        <f>IF(COUNTBLANK(Hoja1!A661:I661)&gt;0,"Sí","No")</f>
        <v>No</v>
      </c>
      <c r="E661" s="3" t="str">
        <f>IF(COUNTIF(Hoja1!$A$2:$A$1000,Hoja1!A661)&gt;1,"Sí","No")</f>
        <v>No</v>
      </c>
      <c r="F661" s="3" t="str">
        <f>IF(COUNTIF(Hoja1!$G$2:$G$1000,Hoja1!G661)&gt;1,"Sí","No")</f>
        <v>No</v>
      </c>
      <c r="G661" s="3" t="str">
        <f>IF(OR(ISERROR(FIND("@",Hoja1!G661)),ISERROR(FIND(".",Hoja1!G661,FIND("@",Hoja1!G661)))),"Sí","No")</f>
        <v>No</v>
      </c>
      <c r="H661" s="3" t="str">
        <f>IF(LEN(Hoja1!F661)&lt;&gt;14,"Sí","No")</f>
        <v>No</v>
      </c>
      <c r="I661" s="3" t="str">
        <f>IF(Hoja1!C661&gt;Hoja1!H661,"Sí","No")</f>
        <v>No</v>
      </c>
      <c r="J661" s="3" t="str">
        <f>IF(SUMPRODUCT(--ISNUMBER(SEARCH({"0";"1";"2";"3";"4";"5";"6";"7";"8";"9"},Hoja1!D661)))=0,"Sí","No")</f>
        <v>No</v>
      </c>
      <c r="K661" s="3" t="str">
        <f t="shared" si="10"/>
        <v>No</v>
      </c>
    </row>
    <row r="662" spans="1:11" ht="15" customHeight="1" x14ac:dyDescent="0.3">
      <c r="A662" s="3" t="str">
        <f>Hoja1!A662</f>
        <v>C0661</v>
      </c>
      <c r="B662" s="3" t="str">
        <f>Hoja1!B662</f>
        <v>Nicolasa Becerra Sánchez</v>
      </c>
      <c r="C662" s="3" t="str">
        <f>IF(COUNTA(Hoja1!A662:I662)=0,"Sí","No")</f>
        <v>No</v>
      </c>
      <c r="D662" s="3" t="str">
        <f>IF(COUNTBLANK(Hoja1!A662:I662)&gt;0,"Sí","No")</f>
        <v>No</v>
      </c>
      <c r="E662" s="3" t="str">
        <f>IF(COUNTIF(Hoja1!$A$2:$A$1000,Hoja1!A662)&gt;1,"Sí","No")</f>
        <v>No</v>
      </c>
      <c r="F662" s="3" t="str">
        <f>IF(COUNTIF(Hoja1!$G$2:$G$1000,Hoja1!G662)&gt;1,"Sí","No")</f>
        <v>No</v>
      </c>
      <c r="G662" s="3" t="str">
        <f>IF(OR(ISERROR(FIND("@",Hoja1!G662)),ISERROR(FIND(".",Hoja1!G662,FIND("@",Hoja1!G662)))),"Sí","No")</f>
        <v>No</v>
      </c>
      <c r="H662" s="3" t="str">
        <f>IF(LEN(Hoja1!F662)&lt;&gt;14,"Sí","No")</f>
        <v>No</v>
      </c>
      <c r="I662" s="3" t="str">
        <f>IF(Hoja1!C662&gt;Hoja1!H662,"Sí","No")</f>
        <v>No</v>
      </c>
      <c r="J662" s="3" t="str">
        <f>IF(SUMPRODUCT(--ISNUMBER(SEARCH({"0";"1";"2";"3";"4";"5";"6";"7";"8";"9"},Hoja1!D662)))=0,"Sí","No")</f>
        <v>Sí</v>
      </c>
      <c r="K662" s="3" t="str">
        <f t="shared" si="10"/>
        <v>Sí</v>
      </c>
    </row>
    <row r="663" spans="1:11" ht="15" customHeight="1" x14ac:dyDescent="0.3">
      <c r="A663" s="3" t="str">
        <f>Hoja1!A663</f>
        <v>C0662</v>
      </c>
      <c r="B663" s="3" t="str">
        <f>Hoja1!B663</f>
        <v>Ágata Carbajo Calvo</v>
      </c>
      <c r="C663" s="3" t="str">
        <f>IF(COUNTA(Hoja1!A663:I663)=0,"Sí","No")</f>
        <v>No</v>
      </c>
      <c r="D663" s="3" t="str">
        <f>IF(COUNTBLANK(Hoja1!A663:I663)&gt;0,"Sí","No")</f>
        <v>No</v>
      </c>
      <c r="E663" s="3" t="str">
        <f>IF(COUNTIF(Hoja1!$A$2:$A$1000,Hoja1!A663)&gt;1,"Sí","No")</f>
        <v>No</v>
      </c>
      <c r="F663" s="3" t="str">
        <f>IF(COUNTIF(Hoja1!$G$2:$G$1000,Hoja1!G663)&gt;1,"Sí","No")</f>
        <v>No</v>
      </c>
      <c r="G663" s="3" t="str">
        <f>IF(OR(ISERROR(FIND("@",Hoja1!G663)),ISERROR(FIND(".",Hoja1!G663,FIND("@",Hoja1!G663)))),"Sí","No")</f>
        <v>No</v>
      </c>
      <c r="H663" s="3" t="str">
        <f>IF(LEN(Hoja1!F663)&lt;&gt;14,"Sí","No")</f>
        <v>No</v>
      </c>
      <c r="I663" s="3" t="str">
        <f>IF(Hoja1!C663&gt;Hoja1!H663,"Sí","No")</f>
        <v>No</v>
      </c>
      <c r="J663" s="3" t="str">
        <f>IF(SUMPRODUCT(--ISNUMBER(SEARCH({"0";"1";"2";"3";"4";"5";"6";"7";"8";"9"},Hoja1!D663)))=0,"Sí","No")</f>
        <v>No</v>
      </c>
      <c r="K663" s="3" t="str">
        <f t="shared" si="10"/>
        <v>No</v>
      </c>
    </row>
    <row r="664" spans="1:11" ht="15" customHeight="1" x14ac:dyDescent="0.3">
      <c r="A664" s="3" t="str">
        <f>Hoja1!A664</f>
        <v>C0663</v>
      </c>
      <c r="B664" s="3" t="str">
        <f>Hoja1!B664</f>
        <v>Pepita Laura Lladó Franch</v>
      </c>
      <c r="C664" s="3" t="str">
        <f>IF(COUNTA(Hoja1!A664:I664)=0,"Sí","No")</f>
        <v>No</v>
      </c>
      <c r="D664" s="3" t="str">
        <f>IF(COUNTBLANK(Hoja1!A664:I664)&gt;0,"Sí","No")</f>
        <v>No</v>
      </c>
      <c r="E664" s="3" t="str">
        <f>IF(COUNTIF(Hoja1!$A$2:$A$1000,Hoja1!A664)&gt;1,"Sí","No")</f>
        <v>No</v>
      </c>
      <c r="F664" s="3" t="str">
        <f>IF(COUNTIF(Hoja1!$G$2:$G$1000,Hoja1!G664)&gt;1,"Sí","No")</f>
        <v>No</v>
      </c>
      <c r="G664" s="3" t="str">
        <f>IF(OR(ISERROR(FIND("@",Hoja1!G664)),ISERROR(FIND(".",Hoja1!G664,FIND("@",Hoja1!G664)))),"Sí","No")</f>
        <v>No</v>
      </c>
      <c r="H664" s="3" t="str">
        <f>IF(LEN(Hoja1!F664)&lt;&gt;14,"Sí","No")</f>
        <v>No</v>
      </c>
      <c r="I664" s="3" t="str">
        <f>IF(Hoja1!C664&gt;Hoja1!H664,"Sí","No")</f>
        <v>No</v>
      </c>
      <c r="J664" s="3" t="str">
        <f>IF(SUMPRODUCT(--ISNUMBER(SEARCH({"0";"1";"2";"3";"4";"5";"6";"7";"8";"9"},Hoja1!D664)))=0,"Sí","No")</f>
        <v>No</v>
      </c>
      <c r="K664" s="3" t="str">
        <f t="shared" si="10"/>
        <v>No</v>
      </c>
    </row>
    <row r="665" spans="1:11" ht="15" customHeight="1" x14ac:dyDescent="0.3">
      <c r="A665" s="3" t="str">
        <f>Hoja1!A665</f>
        <v>C0664</v>
      </c>
      <c r="B665" s="3" t="str">
        <f>Hoja1!B665</f>
        <v>Noemí Carpio Seco</v>
      </c>
      <c r="C665" s="3" t="str">
        <f>IF(COUNTA(Hoja1!A665:I665)=0,"Sí","No")</f>
        <v>No</v>
      </c>
      <c r="D665" s="3" t="str">
        <f>IF(COUNTBLANK(Hoja1!A665:I665)&gt;0,"Sí","No")</f>
        <v>No</v>
      </c>
      <c r="E665" s="3" t="str">
        <f>IF(COUNTIF(Hoja1!$A$2:$A$1000,Hoja1!A665)&gt;1,"Sí","No")</f>
        <v>No</v>
      </c>
      <c r="F665" s="3" t="str">
        <f>IF(COUNTIF(Hoja1!$G$2:$G$1000,Hoja1!G665)&gt;1,"Sí","No")</f>
        <v>No</v>
      </c>
      <c r="G665" s="3" t="str">
        <f>IF(OR(ISERROR(FIND("@",Hoja1!G665)),ISERROR(FIND(".",Hoja1!G665,FIND("@",Hoja1!G665)))),"Sí","No")</f>
        <v>No</v>
      </c>
      <c r="H665" s="3" t="str">
        <f>IF(LEN(Hoja1!F665)&lt;&gt;14,"Sí","No")</f>
        <v>No</v>
      </c>
      <c r="I665" s="3" t="str">
        <f>IF(Hoja1!C665&gt;Hoja1!H665,"Sí","No")</f>
        <v>No</v>
      </c>
      <c r="J665" s="3" t="str">
        <f>IF(SUMPRODUCT(--ISNUMBER(SEARCH({"0";"1";"2";"3";"4";"5";"6";"7";"8";"9"},Hoja1!D665)))=0,"Sí","No")</f>
        <v>Sí</v>
      </c>
      <c r="K665" s="3" t="str">
        <f t="shared" si="10"/>
        <v>Sí</v>
      </c>
    </row>
    <row r="666" spans="1:11" ht="15" customHeight="1" x14ac:dyDescent="0.3">
      <c r="A666" s="3" t="str">
        <f>Hoja1!A666</f>
        <v>C0665</v>
      </c>
      <c r="B666" s="3" t="str">
        <f>Hoja1!B666</f>
        <v>Edelmira Mosquera Recio</v>
      </c>
      <c r="C666" s="3" t="str">
        <f>IF(COUNTA(Hoja1!A666:I666)=0,"Sí","No")</f>
        <v>No</v>
      </c>
      <c r="D666" s="3" t="str">
        <f>IF(COUNTBLANK(Hoja1!A666:I666)&gt;0,"Sí","No")</f>
        <v>No</v>
      </c>
      <c r="E666" s="3" t="str">
        <f>IF(COUNTIF(Hoja1!$A$2:$A$1000,Hoja1!A666)&gt;1,"Sí","No")</f>
        <v>No</v>
      </c>
      <c r="F666" s="3" t="str">
        <f>IF(COUNTIF(Hoja1!$G$2:$G$1000,Hoja1!G666)&gt;1,"Sí","No")</f>
        <v>No</v>
      </c>
      <c r="G666" s="3" t="str">
        <f>IF(OR(ISERROR(FIND("@",Hoja1!G666)),ISERROR(FIND(".",Hoja1!G666,FIND("@",Hoja1!G666)))),"Sí","No")</f>
        <v>No</v>
      </c>
      <c r="H666" s="3" t="str">
        <f>IF(LEN(Hoja1!F666)&lt;&gt;14,"Sí","No")</f>
        <v>No</v>
      </c>
      <c r="I666" s="3" t="str">
        <f>IF(Hoja1!C666&gt;Hoja1!H666,"Sí","No")</f>
        <v>No</v>
      </c>
      <c r="J666" s="3" t="str">
        <f>IF(SUMPRODUCT(--ISNUMBER(SEARCH({"0";"1";"2";"3";"4";"5";"6";"7";"8";"9"},Hoja1!D666)))=0,"Sí","No")</f>
        <v>No</v>
      </c>
      <c r="K666" s="3" t="str">
        <f t="shared" si="10"/>
        <v>No</v>
      </c>
    </row>
    <row r="667" spans="1:11" ht="15" customHeight="1" x14ac:dyDescent="0.3">
      <c r="A667" s="3" t="str">
        <f>Hoja1!A667</f>
        <v>C0666</v>
      </c>
      <c r="B667" s="3" t="str">
        <f>Hoja1!B667</f>
        <v>Petrona Fonseca Martínez</v>
      </c>
      <c r="C667" s="3" t="str">
        <f>IF(COUNTA(Hoja1!A667:I667)=0,"Sí","No")</f>
        <v>No</v>
      </c>
      <c r="D667" s="3" t="str">
        <f>IF(COUNTBLANK(Hoja1!A667:I667)&gt;0,"Sí","No")</f>
        <v>No</v>
      </c>
      <c r="E667" s="3" t="str">
        <f>IF(COUNTIF(Hoja1!$A$2:$A$1000,Hoja1!A667)&gt;1,"Sí","No")</f>
        <v>No</v>
      </c>
      <c r="F667" s="3" t="str">
        <f>IF(COUNTIF(Hoja1!$G$2:$G$1000,Hoja1!G667)&gt;1,"Sí","No")</f>
        <v>No</v>
      </c>
      <c r="G667" s="3" t="str">
        <f>IF(OR(ISERROR(FIND("@",Hoja1!G667)),ISERROR(FIND(".",Hoja1!G667,FIND("@",Hoja1!G667)))),"Sí","No")</f>
        <v>No</v>
      </c>
      <c r="H667" s="3" t="str">
        <f>IF(LEN(Hoja1!F667)&lt;&gt;14,"Sí","No")</f>
        <v>No</v>
      </c>
      <c r="I667" s="3" t="str">
        <f>IF(Hoja1!C667&gt;Hoja1!H667,"Sí","No")</f>
        <v>No</v>
      </c>
      <c r="J667" s="3" t="str">
        <f>IF(SUMPRODUCT(--ISNUMBER(SEARCH({"0";"1";"2";"3";"4";"5";"6";"7";"8";"9"},Hoja1!D667)))=0,"Sí","No")</f>
        <v>No</v>
      </c>
      <c r="K667" s="3" t="str">
        <f t="shared" si="10"/>
        <v>No</v>
      </c>
    </row>
    <row r="668" spans="1:11" ht="15" customHeight="1" x14ac:dyDescent="0.3">
      <c r="A668" s="3" t="str">
        <f>Hoja1!A668</f>
        <v>C0667</v>
      </c>
      <c r="B668" s="3" t="str">
        <f>Hoja1!B668</f>
        <v>Fernando Peralta Arévalo</v>
      </c>
      <c r="C668" s="3" t="str">
        <f>IF(COUNTA(Hoja1!A668:I668)=0,"Sí","No")</f>
        <v>No</v>
      </c>
      <c r="D668" s="3" t="str">
        <f>IF(COUNTBLANK(Hoja1!A668:I668)&gt;0,"Sí","No")</f>
        <v>No</v>
      </c>
      <c r="E668" s="3" t="str">
        <f>IF(COUNTIF(Hoja1!$A$2:$A$1000,Hoja1!A668)&gt;1,"Sí","No")</f>
        <v>No</v>
      </c>
      <c r="F668" s="3" t="str">
        <f>IF(COUNTIF(Hoja1!$G$2:$G$1000,Hoja1!G668)&gt;1,"Sí","No")</f>
        <v>No</v>
      </c>
      <c r="G668" s="3" t="str">
        <f>IF(OR(ISERROR(FIND("@",Hoja1!G668)),ISERROR(FIND(".",Hoja1!G668,FIND("@",Hoja1!G668)))),"Sí","No")</f>
        <v>No</v>
      </c>
      <c r="H668" s="3" t="str">
        <f>IF(LEN(Hoja1!F668)&lt;&gt;14,"Sí","No")</f>
        <v>No</v>
      </c>
      <c r="I668" s="3" t="str">
        <f>IF(Hoja1!C668&gt;Hoja1!H668,"Sí","No")</f>
        <v>No</v>
      </c>
      <c r="J668" s="3" t="str">
        <f>IF(SUMPRODUCT(--ISNUMBER(SEARCH({"0";"1";"2";"3";"4";"5";"6";"7";"8";"9"},Hoja1!D668)))=0,"Sí","No")</f>
        <v>Sí</v>
      </c>
      <c r="K668" s="3" t="str">
        <f t="shared" si="10"/>
        <v>Sí</v>
      </c>
    </row>
    <row r="669" spans="1:11" ht="15" customHeight="1" x14ac:dyDescent="0.3">
      <c r="A669" s="3" t="str">
        <f>Hoja1!A669</f>
        <v>C0668</v>
      </c>
      <c r="B669" s="3" t="str">
        <f>Hoja1!B669</f>
        <v>Ariel Florencio Dávila Aramburu</v>
      </c>
      <c r="C669" s="3" t="str">
        <f>IF(COUNTA(Hoja1!A669:I669)=0,"Sí","No")</f>
        <v>No</v>
      </c>
      <c r="D669" s="3" t="str">
        <f>IF(COUNTBLANK(Hoja1!A669:I669)&gt;0,"Sí","No")</f>
        <v>No</v>
      </c>
      <c r="E669" s="3" t="str">
        <f>IF(COUNTIF(Hoja1!$A$2:$A$1000,Hoja1!A669)&gt;1,"Sí","No")</f>
        <v>No</v>
      </c>
      <c r="F669" s="3" t="str">
        <f>IF(COUNTIF(Hoja1!$G$2:$G$1000,Hoja1!G669)&gt;1,"Sí","No")</f>
        <v>No</v>
      </c>
      <c r="G669" s="3" t="str">
        <f>IF(OR(ISERROR(FIND("@",Hoja1!G669)),ISERROR(FIND(".",Hoja1!G669,FIND("@",Hoja1!G669)))),"Sí","No")</f>
        <v>No</v>
      </c>
      <c r="H669" s="3" t="str">
        <f>IF(LEN(Hoja1!F669)&lt;&gt;14,"Sí","No")</f>
        <v>No</v>
      </c>
      <c r="I669" s="3" t="str">
        <f>IF(Hoja1!C669&gt;Hoja1!H669,"Sí","No")</f>
        <v>No</v>
      </c>
      <c r="J669" s="3" t="str">
        <f>IF(SUMPRODUCT(--ISNUMBER(SEARCH({"0";"1";"2";"3";"4";"5";"6";"7";"8";"9"},Hoja1!D669)))=0,"Sí","No")</f>
        <v>No</v>
      </c>
      <c r="K669" s="3" t="str">
        <f t="shared" si="10"/>
        <v>No</v>
      </c>
    </row>
    <row r="670" spans="1:11" ht="15" customHeight="1" x14ac:dyDescent="0.3">
      <c r="A670" s="3" t="str">
        <f>Hoja1!A670</f>
        <v>C0669</v>
      </c>
      <c r="B670" s="3" t="str">
        <f>Hoja1!B670</f>
        <v>Magdalena Almansa Bayona</v>
      </c>
      <c r="C670" s="3" t="str">
        <f>IF(COUNTA(Hoja1!A670:I670)=0,"Sí","No")</f>
        <v>No</v>
      </c>
      <c r="D670" s="3" t="str">
        <f>IF(COUNTBLANK(Hoja1!A670:I670)&gt;0,"Sí","No")</f>
        <v>No</v>
      </c>
      <c r="E670" s="3" t="str">
        <f>IF(COUNTIF(Hoja1!$A$2:$A$1000,Hoja1!A670)&gt;1,"Sí","No")</f>
        <v>No</v>
      </c>
      <c r="F670" s="3" t="str">
        <f>IF(COUNTIF(Hoja1!$G$2:$G$1000,Hoja1!G670)&gt;1,"Sí","No")</f>
        <v>No</v>
      </c>
      <c r="G670" s="3" t="str">
        <f>IF(OR(ISERROR(FIND("@",Hoja1!G670)),ISERROR(FIND(".",Hoja1!G670,FIND("@",Hoja1!G670)))),"Sí","No")</f>
        <v>No</v>
      </c>
      <c r="H670" s="3" t="str">
        <f>IF(LEN(Hoja1!F670)&lt;&gt;14,"Sí","No")</f>
        <v>No</v>
      </c>
      <c r="I670" s="3" t="str">
        <f>IF(Hoja1!C670&gt;Hoja1!H670,"Sí","No")</f>
        <v>No</v>
      </c>
      <c r="J670" s="3" t="str">
        <f>IF(SUMPRODUCT(--ISNUMBER(SEARCH({"0";"1";"2";"3";"4";"5";"6";"7";"8";"9"},Hoja1!D670)))=0,"Sí","No")</f>
        <v>No</v>
      </c>
      <c r="K670" s="3" t="str">
        <f t="shared" si="10"/>
        <v>No</v>
      </c>
    </row>
    <row r="671" spans="1:11" ht="15" customHeight="1" x14ac:dyDescent="0.3">
      <c r="A671" s="3" t="str">
        <f>Hoja1!A671</f>
        <v>C0670</v>
      </c>
      <c r="B671" s="3" t="str">
        <f>Hoja1!B671</f>
        <v>Amancio Chuy Cañas Garcia</v>
      </c>
      <c r="C671" s="3" t="str">
        <f>IF(COUNTA(Hoja1!A671:I671)=0,"Sí","No")</f>
        <v>No</v>
      </c>
      <c r="D671" s="3" t="str">
        <f>IF(COUNTBLANK(Hoja1!A671:I671)&gt;0,"Sí","No")</f>
        <v>No</v>
      </c>
      <c r="E671" s="3" t="str">
        <f>IF(COUNTIF(Hoja1!$A$2:$A$1000,Hoja1!A671)&gt;1,"Sí","No")</f>
        <v>No</v>
      </c>
      <c r="F671" s="3" t="str">
        <f>IF(COUNTIF(Hoja1!$G$2:$G$1000,Hoja1!G671)&gt;1,"Sí","No")</f>
        <v>No</v>
      </c>
      <c r="G671" s="3" t="str">
        <f>IF(OR(ISERROR(FIND("@",Hoja1!G671)),ISERROR(FIND(".",Hoja1!G671,FIND("@",Hoja1!G671)))),"Sí","No")</f>
        <v>No</v>
      </c>
      <c r="H671" s="3" t="str">
        <f>IF(LEN(Hoja1!F671)&lt;&gt;14,"Sí","No")</f>
        <v>No</v>
      </c>
      <c r="I671" s="3" t="str">
        <f>IF(Hoja1!C671&gt;Hoja1!H671,"Sí","No")</f>
        <v>No</v>
      </c>
      <c r="J671" s="3" t="str">
        <f>IF(SUMPRODUCT(--ISNUMBER(SEARCH({"0";"1";"2";"3";"4";"5";"6";"7";"8";"9"},Hoja1!D671)))=0,"Sí","No")</f>
        <v>Sí</v>
      </c>
      <c r="K671" s="3" t="str">
        <f t="shared" si="10"/>
        <v>Sí</v>
      </c>
    </row>
    <row r="672" spans="1:11" ht="15" customHeight="1" x14ac:dyDescent="0.3">
      <c r="A672" s="3" t="str">
        <f>Hoja1!A672</f>
        <v>C0671</v>
      </c>
      <c r="B672" s="3" t="str">
        <f>Hoja1!B672</f>
        <v>Xiomara Albero Palomares</v>
      </c>
      <c r="C672" s="3" t="str">
        <f>IF(COUNTA(Hoja1!A672:I672)=0,"Sí","No")</f>
        <v>No</v>
      </c>
      <c r="D672" s="3" t="str">
        <f>IF(COUNTBLANK(Hoja1!A672:I672)&gt;0,"Sí","No")</f>
        <v>No</v>
      </c>
      <c r="E672" s="3" t="str">
        <f>IF(COUNTIF(Hoja1!$A$2:$A$1000,Hoja1!A672)&gt;1,"Sí","No")</f>
        <v>No</v>
      </c>
      <c r="F672" s="3" t="str">
        <f>IF(COUNTIF(Hoja1!$G$2:$G$1000,Hoja1!G672)&gt;1,"Sí","No")</f>
        <v>No</v>
      </c>
      <c r="G672" s="3" t="str">
        <f>IF(OR(ISERROR(FIND("@",Hoja1!G672)),ISERROR(FIND(".",Hoja1!G672,FIND("@",Hoja1!G672)))),"Sí","No")</f>
        <v>No</v>
      </c>
      <c r="H672" s="3" t="str">
        <f>IF(LEN(Hoja1!F672)&lt;&gt;14,"Sí","No")</f>
        <v>No</v>
      </c>
      <c r="I672" s="3" t="str">
        <f>IF(Hoja1!C672&gt;Hoja1!H672,"Sí","No")</f>
        <v>No</v>
      </c>
      <c r="J672" s="3" t="str">
        <f>IF(SUMPRODUCT(--ISNUMBER(SEARCH({"0";"1";"2";"3";"4";"5";"6";"7";"8";"9"},Hoja1!D672)))=0,"Sí","No")</f>
        <v>No</v>
      </c>
      <c r="K672" s="3" t="str">
        <f t="shared" si="10"/>
        <v>No</v>
      </c>
    </row>
    <row r="673" spans="1:11" ht="15" customHeight="1" x14ac:dyDescent="0.3">
      <c r="A673" s="3" t="str">
        <f>Hoja1!A673</f>
        <v>C0672</v>
      </c>
      <c r="B673" s="3" t="str">
        <f>Hoja1!B673</f>
        <v>Moreno del Armas</v>
      </c>
      <c r="C673" s="3" t="str">
        <f>IF(COUNTA(Hoja1!A673:I673)=0,"Sí","No")</f>
        <v>No</v>
      </c>
      <c r="D673" s="3" t="str">
        <f>IF(COUNTBLANK(Hoja1!A673:I673)&gt;0,"Sí","No")</f>
        <v>No</v>
      </c>
      <c r="E673" s="3" t="str">
        <f>IF(COUNTIF(Hoja1!$A$2:$A$1000,Hoja1!A673)&gt;1,"Sí","No")</f>
        <v>No</v>
      </c>
      <c r="F673" s="3" t="str">
        <f>IF(COUNTIF(Hoja1!$G$2:$G$1000,Hoja1!G673)&gt;1,"Sí","No")</f>
        <v>No</v>
      </c>
      <c r="G673" s="3" t="str">
        <f>IF(OR(ISERROR(FIND("@",Hoja1!G673)),ISERROR(FIND(".",Hoja1!G673,FIND("@",Hoja1!G673)))),"Sí","No")</f>
        <v>No</v>
      </c>
      <c r="H673" s="3" t="str">
        <f>IF(LEN(Hoja1!F673)&lt;&gt;14,"Sí","No")</f>
        <v>No</v>
      </c>
      <c r="I673" s="3" t="str">
        <f>IF(Hoja1!C673&gt;Hoja1!H673,"Sí","No")</f>
        <v>No</v>
      </c>
      <c r="J673" s="3" t="str">
        <f>IF(SUMPRODUCT(--ISNUMBER(SEARCH({"0";"1";"2";"3";"4";"5";"6";"7";"8";"9"},Hoja1!D673)))=0,"Sí","No")</f>
        <v>No</v>
      </c>
      <c r="K673" s="3" t="str">
        <f t="shared" si="10"/>
        <v>No</v>
      </c>
    </row>
    <row r="674" spans="1:11" ht="15" customHeight="1" x14ac:dyDescent="0.3">
      <c r="A674" s="3" t="str">
        <f>Hoja1!A674</f>
        <v>C0673</v>
      </c>
      <c r="B674" s="3" t="str">
        <f>Hoja1!B674</f>
        <v>Mayte Arjona Mir</v>
      </c>
      <c r="C674" s="3" t="str">
        <f>IF(COUNTA(Hoja1!A674:I674)=0,"Sí","No")</f>
        <v>No</v>
      </c>
      <c r="D674" s="3" t="str">
        <f>IF(COUNTBLANK(Hoja1!A674:I674)&gt;0,"Sí","No")</f>
        <v>No</v>
      </c>
      <c r="E674" s="3" t="str">
        <f>IF(COUNTIF(Hoja1!$A$2:$A$1000,Hoja1!A674)&gt;1,"Sí","No")</f>
        <v>No</v>
      </c>
      <c r="F674" s="3" t="str">
        <f>IF(COUNTIF(Hoja1!$G$2:$G$1000,Hoja1!G674)&gt;1,"Sí","No")</f>
        <v>No</v>
      </c>
      <c r="G674" s="3" t="str">
        <f>IF(OR(ISERROR(FIND("@",Hoja1!G674)),ISERROR(FIND(".",Hoja1!G674,FIND("@",Hoja1!G674)))),"Sí","No")</f>
        <v>No</v>
      </c>
      <c r="H674" s="3" t="str">
        <f>IF(LEN(Hoja1!F674)&lt;&gt;14,"Sí","No")</f>
        <v>No</v>
      </c>
      <c r="I674" s="3" t="str">
        <f>IF(Hoja1!C674&gt;Hoja1!H674,"Sí","No")</f>
        <v>No</v>
      </c>
      <c r="J674" s="3" t="str">
        <f>IF(SUMPRODUCT(--ISNUMBER(SEARCH({"0";"1";"2";"3";"4";"5";"6";"7";"8";"9"},Hoja1!D674)))=0,"Sí","No")</f>
        <v>Sí</v>
      </c>
      <c r="K674" s="3" t="str">
        <f t="shared" si="10"/>
        <v>Sí</v>
      </c>
    </row>
    <row r="675" spans="1:11" ht="15" customHeight="1" x14ac:dyDescent="0.3">
      <c r="A675" s="3" t="str">
        <f>Hoja1!A675</f>
        <v>C0674</v>
      </c>
      <c r="B675" s="3" t="str">
        <f>Hoja1!B675</f>
        <v>Elena Conde Alonso</v>
      </c>
      <c r="C675" s="3" t="str">
        <f>IF(COUNTA(Hoja1!A675:I675)=0,"Sí","No")</f>
        <v>No</v>
      </c>
      <c r="D675" s="3" t="str">
        <f>IF(COUNTBLANK(Hoja1!A675:I675)&gt;0,"Sí","No")</f>
        <v>No</v>
      </c>
      <c r="E675" s="3" t="str">
        <f>IF(COUNTIF(Hoja1!$A$2:$A$1000,Hoja1!A675)&gt;1,"Sí","No")</f>
        <v>No</v>
      </c>
      <c r="F675" s="3" t="str">
        <f>IF(COUNTIF(Hoja1!$G$2:$G$1000,Hoja1!G675)&gt;1,"Sí","No")</f>
        <v>No</v>
      </c>
      <c r="G675" s="3" t="str">
        <f>IF(OR(ISERROR(FIND("@",Hoja1!G675)),ISERROR(FIND(".",Hoja1!G675,FIND("@",Hoja1!G675)))),"Sí","No")</f>
        <v>No</v>
      </c>
      <c r="H675" s="3" t="str">
        <f>IF(LEN(Hoja1!F675)&lt;&gt;14,"Sí","No")</f>
        <v>No</v>
      </c>
      <c r="I675" s="3" t="str">
        <f>IF(Hoja1!C675&gt;Hoja1!H675,"Sí","No")</f>
        <v>No</v>
      </c>
      <c r="J675" s="3" t="str">
        <f>IF(SUMPRODUCT(--ISNUMBER(SEARCH({"0";"1";"2";"3";"4";"5";"6";"7";"8";"9"},Hoja1!D675)))=0,"Sí","No")</f>
        <v>No</v>
      </c>
      <c r="K675" s="3" t="str">
        <f t="shared" si="10"/>
        <v>No</v>
      </c>
    </row>
    <row r="676" spans="1:11" ht="15" customHeight="1" x14ac:dyDescent="0.3">
      <c r="A676" s="3" t="str">
        <f>Hoja1!A676</f>
        <v>C0675</v>
      </c>
      <c r="B676" s="3" t="str">
        <f>Hoja1!B676</f>
        <v>Celia Peinado Riquelme</v>
      </c>
      <c r="C676" s="3" t="str">
        <f>IF(COUNTA(Hoja1!A676:I676)=0,"Sí","No")</f>
        <v>No</v>
      </c>
      <c r="D676" s="3" t="str">
        <f>IF(COUNTBLANK(Hoja1!A676:I676)&gt;0,"Sí","No")</f>
        <v>No</v>
      </c>
      <c r="E676" s="3" t="str">
        <f>IF(COUNTIF(Hoja1!$A$2:$A$1000,Hoja1!A676)&gt;1,"Sí","No")</f>
        <v>No</v>
      </c>
      <c r="F676" s="3" t="str">
        <f>IF(COUNTIF(Hoja1!$G$2:$G$1000,Hoja1!G676)&gt;1,"Sí","No")</f>
        <v>No</v>
      </c>
      <c r="G676" s="3" t="str">
        <f>IF(OR(ISERROR(FIND("@",Hoja1!G676)),ISERROR(FIND(".",Hoja1!G676,FIND("@",Hoja1!G676)))),"Sí","No")</f>
        <v>No</v>
      </c>
      <c r="H676" s="3" t="str">
        <f>IF(LEN(Hoja1!F676)&lt;&gt;14,"Sí","No")</f>
        <v>No</v>
      </c>
      <c r="I676" s="3" t="str">
        <f>IF(Hoja1!C676&gt;Hoja1!H676,"Sí","No")</f>
        <v>No</v>
      </c>
      <c r="J676" s="3" t="str">
        <f>IF(SUMPRODUCT(--ISNUMBER(SEARCH({"0";"1";"2";"3";"4";"5";"6";"7";"8";"9"},Hoja1!D676)))=0,"Sí","No")</f>
        <v>No</v>
      </c>
      <c r="K676" s="3" t="str">
        <f t="shared" si="10"/>
        <v>No</v>
      </c>
    </row>
    <row r="677" spans="1:11" ht="15" customHeight="1" x14ac:dyDescent="0.3">
      <c r="A677" s="3" t="str">
        <f>Hoja1!A677</f>
        <v>C0676</v>
      </c>
      <c r="B677" s="3" t="str">
        <f>Hoja1!B677</f>
        <v>José Mas Diaz</v>
      </c>
      <c r="C677" s="3" t="str">
        <f>IF(COUNTA(Hoja1!A677:I677)=0,"Sí","No")</f>
        <v>No</v>
      </c>
      <c r="D677" s="3" t="str">
        <f>IF(COUNTBLANK(Hoja1!A677:I677)&gt;0,"Sí","No")</f>
        <v>No</v>
      </c>
      <c r="E677" s="3" t="str">
        <f>IF(COUNTIF(Hoja1!$A$2:$A$1000,Hoja1!A677)&gt;1,"Sí","No")</f>
        <v>No</v>
      </c>
      <c r="F677" s="3" t="str">
        <f>IF(COUNTIF(Hoja1!$G$2:$G$1000,Hoja1!G677)&gt;1,"Sí","No")</f>
        <v>No</v>
      </c>
      <c r="G677" s="3" t="str">
        <f>IF(OR(ISERROR(FIND("@",Hoja1!G677)),ISERROR(FIND(".",Hoja1!G677,FIND("@",Hoja1!G677)))),"Sí","No")</f>
        <v>No</v>
      </c>
      <c r="H677" s="3" t="str">
        <f>IF(LEN(Hoja1!F677)&lt;&gt;14,"Sí","No")</f>
        <v>No</v>
      </c>
      <c r="I677" s="3" t="str">
        <f>IF(Hoja1!C677&gt;Hoja1!H677,"Sí","No")</f>
        <v>No</v>
      </c>
      <c r="J677" s="3" t="str">
        <f>IF(SUMPRODUCT(--ISNUMBER(SEARCH({"0";"1";"2";"3";"4";"5";"6";"7";"8";"9"},Hoja1!D677)))=0,"Sí","No")</f>
        <v>Sí</v>
      </c>
      <c r="K677" s="3" t="str">
        <f t="shared" si="10"/>
        <v>Sí</v>
      </c>
    </row>
    <row r="678" spans="1:11" ht="15" customHeight="1" x14ac:dyDescent="0.3">
      <c r="A678" s="3" t="str">
        <f>Hoja1!A678</f>
        <v>C0677</v>
      </c>
      <c r="B678" s="3" t="str">
        <f>Hoja1!B678</f>
        <v>Marco del Almansa</v>
      </c>
      <c r="C678" s="3" t="str">
        <f>IF(COUNTA(Hoja1!A678:I678)=0,"Sí","No")</f>
        <v>No</v>
      </c>
      <c r="D678" s="3" t="str">
        <f>IF(COUNTBLANK(Hoja1!A678:I678)&gt;0,"Sí","No")</f>
        <v>No</v>
      </c>
      <c r="E678" s="3" t="str">
        <f>IF(COUNTIF(Hoja1!$A$2:$A$1000,Hoja1!A678)&gt;1,"Sí","No")</f>
        <v>No</v>
      </c>
      <c r="F678" s="3" t="str">
        <f>IF(COUNTIF(Hoja1!$G$2:$G$1000,Hoja1!G678)&gt;1,"Sí","No")</f>
        <v>No</v>
      </c>
      <c r="G678" s="3" t="str">
        <f>IF(OR(ISERROR(FIND("@",Hoja1!G678)),ISERROR(FIND(".",Hoja1!G678,FIND("@",Hoja1!G678)))),"Sí","No")</f>
        <v>No</v>
      </c>
      <c r="H678" s="3" t="str">
        <f>IF(LEN(Hoja1!F678)&lt;&gt;14,"Sí","No")</f>
        <v>No</v>
      </c>
      <c r="I678" s="3" t="str">
        <f>IF(Hoja1!C678&gt;Hoja1!H678,"Sí","No")</f>
        <v>No</v>
      </c>
      <c r="J678" s="3" t="str">
        <f>IF(SUMPRODUCT(--ISNUMBER(SEARCH({"0";"1";"2";"3";"4";"5";"6";"7";"8";"9"},Hoja1!D678)))=0,"Sí","No")</f>
        <v>No</v>
      </c>
      <c r="K678" s="3" t="str">
        <f t="shared" si="10"/>
        <v>No</v>
      </c>
    </row>
    <row r="679" spans="1:11" ht="15" customHeight="1" x14ac:dyDescent="0.3">
      <c r="A679" s="3" t="str">
        <f>Hoja1!A679</f>
        <v>C0678</v>
      </c>
      <c r="B679" s="3" t="str">
        <f>Hoja1!B679</f>
        <v>Ariel Martorell Quero</v>
      </c>
      <c r="C679" s="3" t="str">
        <f>IF(COUNTA(Hoja1!A679:I679)=0,"Sí","No")</f>
        <v>No</v>
      </c>
      <c r="D679" s="3" t="str">
        <f>IF(COUNTBLANK(Hoja1!A679:I679)&gt;0,"Sí","No")</f>
        <v>No</v>
      </c>
      <c r="E679" s="3" t="str">
        <f>IF(COUNTIF(Hoja1!$A$2:$A$1000,Hoja1!A679)&gt;1,"Sí","No")</f>
        <v>No</v>
      </c>
      <c r="F679" s="3" t="str">
        <f>IF(COUNTIF(Hoja1!$G$2:$G$1000,Hoja1!G679)&gt;1,"Sí","No")</f>
        <v>No</v>
      </c>
      <c r="G679" s="3" t="str">
        <f>IF(OR(ISERROR(FIND("@",Hoja1!G679)),ISERROR(FIND(".",Hoja1!G679,FIND("@",Hoja1!G679)))),"Sí","No")</f>
        <v>No</v>
      </c>
      <c r="H679" s="3" t="str">
        <f>IF(LEN(Hoja1!F679)&lt;&gt;14,"Sí","No")</f>
        <v>No</v>
      </c>
      <c r="I679" s="3" t="str">
        <f>IF(Hoja1!C679&gt;Hoja1!H679,"Sí","No")</f>
        <v>No</v>
      </c>
      <c r="J679" s="3" t="str">
        <f>IF(SUMPRODUCT(--ISNUMBER(SEARCH({"0";"1";"2";"3";"4";"5";"6";"7";"8";"9"},Hoja1!D679)))=0,"Sí","No")</f>
        <v>No</v>
      </c>
      <c r="K679" s="3" t="str">
        <f t="shared" si="10"/>
        <v>No</v>
      </c>
    </row>
    <row r="680" spans="1:11" ht="15" customHeight="1" x14ac:dyDescent="0.3">
      <c r="A680" s="3" t="str">
        <f>Hoja1!A680</f>
        <v>C0679</v>
      </c>
      <c r="B680" s="3" t="str">
        <f>Hoja1!B680</f>
        <v>Claudia Ibañez Macías</v>
      </c>
      <c r="C680" s="3" t="str">
        <f>IF(COUNTA(Hoja1!A680:I680)=0,"Sí","No")</f>
        <v>No</v>
      </c>
      <c r="D680" s="3" t="str">
        <f>IF(COUNTBLANK(Hoja1!A680:I680)&gt;0,"Sí","No")</f>
        <v>No</v>
      </c>
      <c r="E680" s="3" t="str">
        <f>IF(COUNTIF(Hoja1!$A$2:$A$1000,Hoja1!A680)&gt;1,"Sí","No")</f>
        <v>No</v>
      </c>
      <c r="F680" s="3" t="str">
        <f>IF(COUNTIF(Hoja1!$G$2:$G$1000,Hoja1!G680)&gt;1,"Sí","No")</f>
        <v>No</v>
      </c>
      <c r="G680" s="3" t="str">
        <f>IF(OR(ISERROR(FIND("@",Hoja1!G680)),ISERROR(FIND(".",Hoja1!G680,FIND("@",Hoja1!G680)))),"Sí","No")</f>
        <v>No</v>
      </c>
      <c r="H680" s="3" t="str">
        <f>IF(LEN(Hoja1!F680)&lt;&gt;14,"Sí","No")</f>
        <v>No</v>
      </c>
      <c r="I680" s="3" t="str">
        <f>IF(Hoja1!C680&gt;Hoja1!H680,"Sí","No")</f>
        <v>No</v>
      </c>
      <c r="J680" s="3" t="str">
        <f>IF(SUMPRODUCT(--ISNUMBER(SEARCH({"0";"1";"2";"3";"4";"5";"6";"7";"8";"9"},Hoja1!D680)))=0,"Sí","No")</f>
        <v>Sí</v>
      </c>
      <c r="K680" s="3" t="str">
        <f t="shared" si="10"/>
        <v>Sí</v>
      </c>
    </row>
    <row r="681" spans="1:11" ht="15" customHeight="1" x14ac:dyDescent="0.3">
      <c r="A681" s="3" t="str">
        <f>Hoja1!A681</f>
        <v>C0680</v>
      </c>
      <c r="B681" s="3" t="str">
        <f>Hoja1!B681</f>
        <v>Morena Llanos Dalmau</v>
      </c>
      <c r="C681" s="3" t="str">
        <f>IF(COUNTA(Hoja1!A681:I681)=0,"Sí","No")</f>
        <v>No</v>
      </c>
      <c r="D681" s="3" t="str">
        <f>IF(COUNTBLANK(Hoja1!A681:I681)&gt;0,"Sí","No")</f>
        <v>No</v>
      </c>
      <c r="E681" s="3" t="str">
        <f>IF(COUNTIF(Hoja1!$A$2:$A$1000,Hoja1!A681)&gt;1,"Sí","No")</f>
        <v>No</v>
      </c>
      <c r="F681" s="3" t="str">
        <f>IF(COUNTIF(Hoja1!$G$2:$G$1000,Hoja1!G681)&gt;1,"Sí","No")</f>
        <v>No</v>
      </c>
      <c r="G681" s="3" t="str">
        <f>IF(OR(ISERROR(FIND("@",Hoja1!G681)),ISERROR(FIND(".",Hoja1!G681,FIND("@",Hoja1!G681)))),"Sí","No")</f>
        <v>No</v>
      </c>
      <c r="H681" s="3" t="str">
        <f>IF(LEN(Hoja1!F681)&lt;&gt;14,"Sí","No")</f>
        <v>No</v>
      </c>
      <c r="I681" s="3" t="str">
        <f>IF(Hoja1!C681&gt;Hoja1!H681,"Sí","No")</f>
        <v>No</v>
      </c>
      <c r="J681" s="3" t="str">
        <f>IF(SUMPRODUCT(--ISNUMBER(SEARCH({"0";"1";"2";"3";"4";"5";"6";"7";"8";"9"},Hoja1!D681)))=0,"Sí","No")</f>
        <v>No</v>
      </c>
      <c r="K681" s="3" t="str">
        <f t="shared" si="10"/>
        <v>No</v>
      </c>
    </row>
    <row r="682" spans="1:11" ht="15" customHeight="1" x14ac:dyDescent="0.3">
      <c r="A682" s="3" t="str">
        <f>Hoja1!A682</f>
        <v>C0681</v>
      </c>
      <c r="B682" s="3" t="str">
        <f>Hoja1!B682</f>
        <v>Tecla Gertrudis Fortuny Santana</v>
      </c>
      <c r="C682" s="3" t="str">
        <f>IF(COUNTA(Hoja1!A682:I682)=0,"Sí","No")</f>
        <v>No</v>
      </c>
      <c r="D682" s="3" t="str">
        <f>IF(COUNTBLANK(Hoja1!A682:I682)&gt;0,"Sí","No")</f>
        <v>No</v>
      </c>
      <c r="E682" s="3" t="str">
        <f>IF(COUNTIF(Hoja1!$A$2:$A$1000,Hoja1!A682)&gt;1,"Sí","No")</f>
        <v>No</v>
      </c>
      <c r="F682" s="3" t="str">
        <f>IF(COUNTIF(Hoja1!$G$2:$G$1000,Hoja1!G682)&gt;1,"Sí","No")</f>
        <v>No</v>
      </c>
      <c r="G682" s="3" t="str">
        <f>IF(OR(ISERROR(FIND("@",Hoja1!G682)),ISERROR(FIND(".",Hoja1!G682,FIND("@",Hoja1!G682)))),"Sí","No")</f>
        <v>No</v>
      </c>
      <c r="H682" s="3" t="str">
        <f>IF(LEN(Hoja1!F682)&lt;&gt;14,"Sí","No")</f>
        <v>No</v>
      </c>
      <c r="I682" s="3" t="str">
        <f>IF(Hoja1!C682&gt;Hoja1!H682,"Sí","No")</f>
        <v>No</v>
      </c>
      <c r="J682" s="3" t="str">
        <f>IF(SUMPRODUCT(--ISNUMBER(SEARCH({"0";"1";"2";"3";"4";"5";"6";"7";"8";"9"},Hoja1!D682)))=0,"Sí","No")</f>
        <v>No</v>
      </c>
      <c r="K682" s="3" t="str">
        <f t="shared" si="10"/>
        <v>No</v>
      </c>
    </row>
    <row r="683" spans="1:11" ht="15" customHeight="1" x14ac:dyDescent="0.3">
      <c r="A683" s="3" t="str">
        <f>Hoja1!A683</f>
        <v>C0682</v>
      </c>
      <c r="B683" s="3" t="str">
        <f>Hoja1!B683</f>
        <v>Jose Francisco Martí Crespo</v>
      </c>
      <c r="C683" s="3" t="str">
        <f>IF(COUNTA(Hoja1!A683:I683)=0,"Sí","No")</f>
        <v>No</v>
      </c>
      <c r="D683" s="3" t="str">
        <f>IF(COUNTBLANK(Hoja1!A683:I683)&gt;0,"Sí","No")</f>
        <v>No</v>
      </c>
      <c r="E683" s="3" t="str">
        <f>IF(COUNTIF(Hoja1!$A$2:$A$1000,Hoja1!A683)&gt;1,"Sí","No")</f>
        <v>No</v>
      </c>
      <c r="F683" s="3" t="str">
        <f>IF(COUNTIF(Hoja1!$G$2:$G$1000,Hoja1!G683)&gt;1,"Sí","No")</f>
        <v>No</v>
      </c>
      <c r="G683" s="3" t="str">
        <f>IF(OR(ISERROR(FIND("@",Hoja1!G683)),ISERROR(FIND(".",Hoja1!G683,FIND("@",Hoja1!G683)))),"Sí","No")</f>
        <v>No</v>
      </c>
      <c r="H683" s="3" t="str">
        <f>IF(LEN(Hoja1!F683)&lt;&gt;14,"Sí","No")</f>
        <v>No</v>
      </c>
      <c r="I683" s="3" t="str">
        <f>IF(Hoja1!C683&gt;Hoja1!H683,"Sí","No")</f>
        <v>No</v>
      </c>
      <c r="J683" s="3" t="str">
        <f>IF(SUMPRODUCT(--ISNUMBER(SEARCH({"0";"1";"2";"3";"4";"5";"6";"7";"8";"9"},Hoja1!D683)))=0,"Sí","No")</f>
        <v>Sí</v>
      </c>
      <c r="K683" s="3" t="str">
        <f t="shared" si="10"/>
        <v>Sí</v>
      </c>
    </row>
    <row r="684" spans="1:11" ht="15" customHeight="1" x14ac:dyDescent="0.3">
      <c r="A684" s="3" t="str">
        <f>Hoja1!A684</f>
        <v>C0683</v>
      </c>
      <c r="B684" s="3" t="str">
        <f>Hoja1!B684</f>
        <v>Teresita Donaire Prieto</v>
      </c>
      <c r="C684" s="3" t="str">
        <f>IF(COUNTA(Hoja1!A684:I684)=0,"Sí","No")</f>
        <v>No</v>
      </c>
      <c r="D684" s="3" t="str">
        <f>IF(COUNTBLANK(Hoja1!A684:I684)&gt;0,"Sí","No")</f>
        <v>No</v>
      </c>
      <c r="E684" s="3" t="str">
        <f>IF(COUNTIF(Hoja1!$A$2:$A$1000,Hoja1!A684)&gt;1,"Sí","No")</f>
        <v>No</v>
      </c>
      <c r="F684" s="3" t="str">
        <f>IF(COUNTIF(Hoja1!$G$2:$G$1000,Hoja1!G684)&gt;1,"Sí","No")</f>
        <v>No</v>
      </c>
      <c r="G684" s="3" t="str">
        <f>IF(OR(ISERROR(FIND("@",Hoja1!G684)),ISERROR(FIND(".",Hoja1!G684,FIND("@",Hoja1!G684)))),"Sí","No")</f>
        <v>No</v>
      </c>
      <c r="H684" s="3" t="str">
        <f>IF(LEN(Hoja1!F684)&lt;&gt;14,"Sí","No")</f>
        <v>No</v>
      </c>
      <c r="I684" s="3" t="str">
        <f>IF(Hoja1!C684&gt;Hoja1!H684,"Sí","No")</f>
        <v>No</v>
      </c>
      <c r="J684" s="3" t="str">
        <f>IF(SUMPRODUCT(--ISNUMBER(SEARCH({"0";"1";"2";"3";"4";"5";"6";"7";"8";"9"},Hoja1!D684)))=0,"Sí","No")</f>
        <v>No</v>
      </c>
      <c r="K684" s="3" t="str">
        <f t="shared" si="10"/>
        <v>No</v>
      </c>
    </row>
    <row r="685" spans="1:11" ht="15" customHeight="1" x14ac:dyDescent="0.3">
      <c r="A685" s="3" t="str">
        <f>Hoja1!A685</f>
        <v>C0684</v>
      </c>
      <c r="B685" s="3" t="str">
        <f>Hoja1!B685</f>
        <v>Sofía Campillo Meléndez</v>
      </c>
      <c r="C685" s="3" t="str">
        <f>IF(COUNTA(Hoja1!A685:I685)=0,"Sí","No")</f>
        <v>No</v>
      </c>
      <c r="D685" s="3" t="str">
        <f>IF(COUNTBLANK(Hoja1!A685:I685)&gt;0,"Sí","No")</f>
        <v>No</v>
      </c>
      <c r="E685" s="3" t="str">
        <f>IF(COUNTIF(Hoja1!$A$2:$A$1000,Hoja1!A685)&gt;1,"Sí","No")</f>
        <v>No</v>
      </c>
      <c r="F685" s="3" t="str">
        <f>IF(COUNTIF(Hoja1!$G$2:$G$1000,Hoja1!G685)&gt;1,"Sí","No")</f>
        <v>No</v>
      </c>
      <c r="G685" s="3" t="str">
        <f>IF(OR(ISERROR(FIND("@",Hoja1!G685)),ISERROR(FIND(".",Hoja1!G685,FIND("@",Hoja1!G685)))),"Sí","No")</f>
        <v>No</v>
      </c>
      <c r="H685" s="3" t="str">
        <f>IF(LEN(Hoja1!F685)&lt;&gt;14,"Sí","No")</f>
        <v>No</v>
      </c>
      <c r="I685" s="3" t="str">
        <f>IF(Hoja1!C685&gt;Hoja1!H685,"Sí","No")</f>
        <v>No</v>
      </c>
      <c r="J685" s="3" t="str">
        <f>IF(SUMPRODUCT(--ISNUMBER(SEARCH({"0";"1";"2";"3";"4";"5";"6";"7";"8";"9"},Hoja1!D685)))=0,"Sí","No")</f>
        <v>No</v>
      </c>
      <c r="K685" s="3" t="str">
        <f t="shared" si="10"/>
        <v>No</v>
      </c>
    </row>
    <row r="686" spans="1:11" ht="15" customHeight="1" x14ac:dyDescent="0.3">
      <c r="A686" s="3" t="str">
        <f>Hoja1!A686</f>
        <v>C0685</v>
      </c>
      <c r="B686" s="3" t="str">
        <f>Hoja1!B686</f>
        <v>Paola Anastasia Peral Gracia</v>
      </c>
      <c r="C686" s="3" t="str">
        <f>IF(COUNTA(Hoja1!A686:I686)=0,"Sí","No")</f>
        <v>No</v>
      </c>
      <c r="D686" s="3" t="str">
        <f>IF(COUNTBLANK(Hoja1!A686:I686)&gt;0,"Sí","No")</f>
        <v>No</v>
      </c>
      <c r="E686" s="3" t="str">
        <f>IF(COUNTIF(Hoja1!$A$2:$A$1000,Hoja1!A686)&gt;1,"Sí","No")</f>
        <v>No</v>
      </c>
      <c r="F686" s="3" t="str">
        <f>IF(COUNTIF(Hoja1!$G$2:$G$1000,Hoja1!G686)&gt;1,"Sí","No")</f>
        <v>No</v>
      </c>
      <c r="G686" s="3" t="str">
        <f>IF(OR(ISERROR(FIND("@",Hoja1!G686)),ISERROR(FIND(".",Hoja1!G686,FIND("@",Hoja1!G686)))),"Sí","No")</f>
        <v>No</v>
      </c>
      <c r="H686" s="3" t="str">
        <f>IF(LEN(Hoja1!F686)&lt;&gt;14,"Sí","No")</f>
        <v>No</v>
      </c>
      <c r="I686" s="3" t="str">
        <f>IF(Hoja1!C686&gt;Hoja1!H686,"Sí","No")</f>
        <v>No</v>
      </c>
      <c r="J686" s="3" t="str">
        <f>IF(SUMPRODUCT(--ISNUMBER(SEARCH({"0";"1";"2";"3";"4";"5";"6";"7";"8";"9"},Hoja1!D686)))=0,"Sí","No")</f>
        <v>Sí</v>
      </c>
      <c r="K686" s="3" t="str">
        <f t="shared" si="10"/>
        <v>Sí</v>
      </c>
    </row>
    <row r="687" spans="1:11" ht="15" customHeight="1" x14ac:dyDescent="0.3">
      <c r="A687" s="3" t="str">
        <f>Hoja1!A687</f>
        <v>C0686</v>
      </c>
      <c r="B687" s="3" t="str">
        <f>Hoja1!B687</f>
        <v>Fabián Ojeda Duran</v>
      </c>
      <c r="C687" s="3" t="str">
        <f>IF(COUNTA(Hoja1!A687:I687)=0,"Sí","No")</f>
        <v>No</v>
      </c>
      <c r="D687" s="3" t="str">
        <f>IF(COUNTBLANK(Hoja1!A687:I687)&gt;0,"Sí","No")</f>
        <v>No</v>
      </c>
      <c r="E687" s="3" t="str">
        <f>IF(COUNTIF(Hoja1!$A$2:$A$1000,Hoja1!A687)&gt;1,"Sí","No")</f>
        <v>No</v>
      </c>
      <c r="F687" s="3" t="str">
        <f>IF(COUNTIF(Hoja1!$G$2:$G$1000,Hoja1!G687)&gt;1,"Sí","No")</f>
        <v>No</v>
      </c>
      <c r="G687" s="3" t="str">
        <f>IF(OR(ISERROR(FIND("@",Hoja1!G687)),ISERROR(FIND(".",Hoja1!G687,FIND("@",Hoja1!G687)))),"Sí","No")</f>
        <v>No</v>
      </c>
      <c r="H687" s="3" t="str">
        <f>IF(LEN(Hoja1!F687)&lt;&gt;14,"Sí","No")</f>
        <v>No</v>
      </c>
      <c r="I687" s="3" t="str">
        <f>IF(Hoja1!C687&gt;Hoja1!H687,"Sí","No")</f>
        <v>No</v>
      </c>
      <c r="J687" s="3" t="str">
        <f>IF(SUMPRODUCT(--ISNUMBER(SEARCH({"0";"1";"2";"3";"4";"5";"6";"7";"8";"9"},Hoja1!D687)))=0,"Sí","No")</f>
        <v>No</v>
      </c>
      <c r="K687" s="3" t="str">
        <f t="shared" si="10"/>
        <v>No</v>
      </c>
    </row>
    <row r="688" spans="1:11" ht="15" customHeight="1" x14ac:dyDescent="0.3">
      <c r="A688" s="3" t="str">
        <f>Hoja1!A688</f>
        <v>C0687</v>
      </c>
      <c r="B688" s="3" t="str">
        <f>Hoja1!B688</f>
        <v>Pascuala Conde-Amat</v>
      </c>
      <c r="C688" s="3" t="str">
        <f>IF(COUNTA(Hoja1!A688:I688)=0,"Sí","No")</f>
        <v>No</v>
      </c>
      <c r="D688" s="3" t="str">
        <f>IF(COUNTBLANK(Hoja1!A688:I688)&gt;0,"Sí","No")</f>
        <v>No</v>
      </c>
      <c r="E688" s="3" t="str">
        <f>IF(COUNTIF(Hoja1!$A$2:$A$1000,Hoja1!A688)&gt;1,"Sí","No")</f>
        <v>No</v>
      </c>
      <c r="F688" s="3" t="str">
        <f>IF(COUNTIF(Hoja1!$G$2:$G$1000,Hoja1!G688)&gt;1,"Sí","No")</f>
        <v>No</v>
      </c>
      <c r="G688" s="3" t="str">
        <f>IF(OR(ISERROR(FIND("@",Hoja1!G688)),ISERROR(FIND(".",Hoja1!G688,FIND("@",Hoja1!G688)))),"Sí","No")</f>
        <v>No</v>
      </c>
      <c r="H688" s="3" t="str">
        <f>IF(LEN(Hoja1!F688)&lt;&gt;14,"Sí","No")</f>
        <v>No</v>
      </c>
      <c r="I688" s="3" t="str">
        <f>IF(Hoja1!C688&gt;Hoja1!H688,"Sí","No")</f>
        <v>No</v>
      </c>
      <c r="J688" s="3" t="str">
        <f>IF(SUMPRODUCT(--ISNUMBER(SEARCH({"0";"1";"2";"3";"4";"5";"6";"7";"8";"9"},Hoja1!D688)))=0,"Sí","No")</f>
        <v>No</v>
      </c>
      <c r="K688" s="3" t="str">
        <f t="shared" si="10"/>
        <v>No</v>
      </c>
    </row>
    <row r="689" spans="1:11" ht="15" customHeight="1" x14ac:dyDescent="0.3">
      <c r="A689" s="3" t="str">
        <f>Hoja1!A689</f>
        <v>C0688</v>
      </c>
      <c r="B689" s="3" t="str">
        <f>Hoja1!B689</f>
        <v>Vicente de Manzano</v>
      </c>
      <c r="C689" s="3" t="str">
        <f>IF(COUNTA(Hoja1!A689:I689)=0,"Sí","No")</f>
        <v>No</v>
      </c>
      <c r="D689" s="3" t="str">
        <f>IF(COUNTBLANK(Hoja1!A689:I689)&gt;0,"Sí","No")</f>
        <v>No</v>
      </c>
      <c r="E689" s="3" t="str">
        <f>IF(COUNTIF(Hoja1!$A$2:$A$1000,Hoja1!A689)&gt;1,"Sí","No")</f>
        <v>No</v>
      </c>
      <c r="F689" s="3" t="str">
        <f>IF(COUNTIF(Hoja1!$G$2:$G$1000,Hoja1!G689)&gt;1,"Sí","No")</f>
        <v>No</v>
      </c>
      <c r="G689" s="3" t="str">
        <f>IF(OR(ISERROR(FIND("@",Hoja1!G689)),ISERROR(FIND(".",Hoja1!G689,FIND("@",Hoja1!G689)))),"Sí","No")</f>
        <v>No</v>
      </c>
      <c r="H689" s="3" t="str">
        <f>IF(LEN(Hoja1!F689)&lt;&gt;14,"Sí","No")</f>
        <v>No</v>
      </c>
      <c r="I689" s="3" t="str">
        <f>IF(Hoja1!C689&gt;Hoja1!H689,"Sí","No")</f>
        <v>No</v>
      </c>
      <c r="J689" s="3" t="str">
        <f>IF(SUMPRODUCT(--ISNUMBER(SEARCH({"0";"1";"2";"3";"4";"5";"6";"7";"8";"9"},Hoja1!D689)))=0,"Sí","No")</f>
        <v>Sí</v>
      </c>
      <c r="K689" s="3" t="str">
        <f t="shared" si="10"/>
        <v>Sí</v>
      </c>
    </row>
    <row r="690" spans="1:11" ht="15" customHeight="1" x14ac:dyDescent="0.3">
      <c r="A690" s="3" t="str">
        <f>Hoja1!A690</f>
        <v>C0689</v>
      </c>
      <c r="B690" s="3" t="str">
        <f>Hoja1!B690</f>
        <v>Serafina de Suárez</v>
      </c>
      <c r="C690" s="3" t="str">
        <f>IF(COUNTA(Hoja1!A690:I690)=0,"Sí","No")</f>
        <v>No</v>
      </c>
      <c r="D690" s="3" t="str">
        <f>IF(COUNTBLANK(Hoja1!A690:I690)&gt;0,"Sí","No")</f>
        <v>No</v>
      </c>
      <c r="E690" s="3" t="str">
        <f>IF(COUNTIF(Hoja1!$A$2:$A$1000,Hoja1!A690)&gt;1,"Sí","No")</f>
        <v>No</v>
      </c>
      <c r="F690" s="3" t="str">
        <f>IF(COUNTIF(Hoja1!$G$2:$G$1000,Hoja1!G690)&gt;1,"Sí","No")</f>
        <v>No</v>
      </c>
      <c r="G690" s="3" t="str">
        <f>IF(OR(ISERROR(FIND("@",Hoja1!G690)),ISERROR(FIND(".",Hoja1!G690,FIND("@",Hoja1!G690)))),"Sí","No")</f>
        <v>No</v>
      </c>
      <c r="H690" s="3" t="str">
        <f>IF(LEN(Hoja1!F690)&lt;&gt;14,"Sí","No")</f>
        <v>No</v>
      </c>
      <c r="I690" s="3" t="str">
        <f>IF(Hoja1!C690&gt;Hoja1!H690,"Sí","No")</f>
        <v>No</v>
      </c>
      <c r="J690" s="3" t="str">
        <f>IF(SUMPRODUCT(--ISNUMBER(SEARCH({"0";"1";"2";"3";"4";"5";"6";"7";"8";"9"},Hoja1!D690)))=0,"Sí","No")</f>
        <v>No</v>
      </c>
      <c r="K690" s="3" t="str">
        <f t="shared" si="10"/>
        <v>No</v>
      </c>
    </row>
    <row r="691" spans="1:11" ht="15" customHeight="1" x14ac:dyDescent="0.3">
      <c r="A691" s="3" t="str">
        <f>Hoja1!A691</f>
        <v>C0690</v>
      </c>
      <c r="B691" s="3" t="str">
        <f>Hoja1!B691</f>
        <v>Benita Susanita Segarra Comas</v>
      </c>
      <c r="C691" s="3" t="str">
        <f>IF(COUNTA(Hoja1!A691:I691)=0,"Sí","No")</f>
        <v>No</v>
      </c>
      <c r="D691" s="3" t="str">
        <f>IF(COUNTBLANK(Hoja1!A691:I691)&gt;0,"Sí","No")</f>
        <v>No</v>
      </c>
      <c r="E691" s="3" t="str">
        <f>IF(COUNTIF(Hoja1!$A$2:$A$1000,Hoja1!A691)&gt;1,"Sí","No")</f>
        <v>No</v>
      </c>
      <c r="F691" s="3" t="str">
        <f>IF(COUNTIF(Hoja1!$G$2:$G$1000,Hoja1!G691)&gt;1,"Sí","No")</f>
        <v>No</v>
      </c>
      <c r="G691" s="3" t="str">
        <f>IF(OR(ISERROR(FIND("@",Hoja1!G691)),ISERROR(FIND(".",Hoja1!G691,FIND("@",Hoja1!G691)))),"Sí","No")</f>
        <v>No</v>
      </c>
      <c r="H691" s="3" t="str">
        <f>IF(LEN(Hoja1!F691)&lt;&gt;14,"Sí","No")</f>
        <v>No</v>
      </c>
      <c r="I691" s="3" t="str">
        <f>IF(Hoja1!C691&gt;Hoja1!H691,"Sí","No")</f>
        <v>No</v>
      </c>
      <c r="J691" s="3" t="str">
        <f>IF(SUMPRODUCT(--ISNUMBER(SEARCH({"0";"1";"2";"3";"4";"5";"6";"7";"8";"9"},Hoja1!D691)))=0,"Sí","No")</f>
        <v>No</v>
      </c>
      <c r="K691" s="3" t="str">
        <f t="shared" si="10"/>
        <v>No</v>
      </c>
    </row>
    <row r="692" spans="1:11" ht="15" customHeight="1" x14ac:dyDescent="0.3">
      <c r="A692" s="3" t="str">
        <f>Hoja1!A692</f>
        <v>C0691</v>
      </c>
      <c r="B692" s="3" t="str">
        <f>Hoja1!B692</f>
        <v>Casemiro Aliaga Arce</v>
      </c>
      <c r="C692" s="3" t="str">
        <f>IF(COUNTA(Hoja1!A692:I692)=0,"Sí","No")</f>
        <v>No</v>
      </c>
      <c r="D692" s="3" t="str">
        <f>IF(COUNTBLANK(Hoja1!A692:I692)&gt;0,"Sí","No")</f>
        <v>No</v>
      </c>
      <c r="E692" s="3" t="str">
        <f>IF(COUNTIF(Hoja1!$A$2:$A$1000,Hoja1!A692)&gt;1,"Sí","No")</f>
        <v>No</v>
      </c>
      <c r="F692" s="3" t="str">
        <f>IF(COUNTIF(Hoja1!$G$2:$G$1000,Hoja1!G692)&gt;1,"Sí","No")</f>
        <v>No</v>
      </c>
      <c r="G692" s="3" t="str">
        <f>IF(OR(ISERROR(FIND("@",Hoja1!G692)),ISERROR(FIND(".",Hoja1!G692,FIND("@",Hoja1!G692)))),"Sí","No")</f>
        <v>No</v>
      </c>
      <c r="H692" s="3" t="str">
        <f>IF(LEN(Hoja1!F692)&lt;&gt;14,"Sí","No")</f>
        <v>No</v>
      </c>
      <c r="I692" s="3" t="str">
        <f>IF(Hoja1!C692&gt;Hoja1!H692,"Sí","No")</f>
        <v>No</v>
      </c>
      <c r="J692" s="3" t="str">
        <f>IF(SUMPRODUCT(--ISNUMBER(SEARCH({"0";"1";"2";"3";"4";"5";"6";"7";"8";"9"},Hoja1!D692)))=0,"Sí","No")</f>
        <v>Sí</v>
      </c>
      <c r="K692" s="3" t="str">
        <f t="shared" si="10"/>
        <v>Sí</v>
      </c>
    </row>
    <row r="693" spans="1:11" ht="15" customHeight="1" x14ac:dyDescent="0.3">
      <c r="A693" s="3" t="str">
        <f>Hoja1!A693</f>
        <v>C0692</v>
      </c>
      <c r="B693" s="3" t="str">
        <f>Hoja1!B693</f>
        <v>Renato Machado Pla</v>
      </c>
      <c r="C693" s="3" t="str">
        <f>IF(COUNTA(Hoja1!A693:I693)=0,"Sí","No")</f>
        <v>No</v>
      </c>
      <c r="D693" s="3" t="str">
        <f>IF(COUNTBLANK(Hoja1!A693:I693)&gt;0,"Sí","No")</f>
        <v>No</v>
      </c>
      <c r="E693" s="3" t="str">
        <f>IF(COUNTIF(Hoja1!$A$2:$A$1000,Hoja1!A693)&gt;1,"Sí","No")</f>
        <v>No</v>
      </c>
      <c r="F693" s="3" t="str">
        <f>IF(COUNTIF(Hoja1!$G$2:$G$1000,Hoja1!G693)&gt;1,"Sí","No")</f>
        <v>No</v>
      </c>
      <c r="G693" s="3" t="str">
        <f>IF(OR(ISERROR(FIND("@",Hoja1!G693)),ISERROR(FIND(".",Hoja1!G693,FIND("@",Hoja1!G693)))),"Sí","No")</f>
        <v>No</v>
      </c>
      <c r="H693" s="3" t="str">
        <f>IF(LEN(Hoja1!F693)&lt;&gt;14,"Sí","No")</f>
        <v>No</v>
      </c>
      <c r="I693" s="3" t="str">
        <f>IF(Hoja1!C693&gt;Hoja1!H693,"Sí","No")</f>
        <v>No</v>
      </c>
      <c r="J693" s="3" t="str">
        <f>IF(SUMPRODUCT(--ISNUMBER(SEARCH({"0";"1";"2";"3";"4";"5";"6";"7";"8";"9"},Hoja1!D693)))=0,"Sí","No")</f>
        <v>No</v>
      </c>
      <c r="K693" s="3" t="str">
        <f t="shared" si="10"/>
        <v>No</v>
      </c>
    </row>
    <row r="694" spans="1:11" ht="15" customHeight="1" x14ac:dyDescent="0.3">
      <c r="A694" s="3" t="str">
        <f>Hoja1!A694</f>
        <v>C0693</v>
      </c>
      <c r="B694" s="3" t="str">
        <f>Hoja1!B694</f>
        <v>Desiderio Mendoza Escobar</v>
      </c>
      <c r="C694" s="3" t="str">
        <f>IF(COUNTA(Hoja1!A694:I694)=0,"Sí","No")</f>
        <v>No</v>
      </c>
      <c r="D694" s="3" t="str">
        <f>IF(COUNTBLANK(Hoja1!A694:I694)&gt;0,"Sí","No")</f>
        <v>No</v>
      </c>
      <c r="E694" s="3" t="str">
        <f>IF(COUNTIF(Hoja1!$A$2:$A$1000,Hoja1!A694)&gt;1,"Sí","No")</f>
        <v>No</v>
      </c>
      <c r="F694" s="3" t="str">
        <f>IF(COUNTIF(Hoja1!$G$2:$G$1000,Hoja1!G694)&gt;1,"Sí","No")</f>
        <v>No</v>
      </c>
      <c r="G694" s="3" t="str">
        <f>IF(OR(ISERROR(FIND("@",Hoja1!G694)),ISERROR(FIND(".",Hoja1!G694,FIND("@",Hoja1!G694)))),"Sí","No")</f>
        <v>No</v>
      </c>
      <c r="H694" s="3" t="str">
        <f>IF(LEN(Hoja1!F694)&lt;&gt;14,"Sí","No")</f>
        <v>No</v>
      </c>
      <c r="I694" s="3" t="str">
        <f>IF(Hoja1!C694&gt;Hoja1!H694,"Sí","No")</f>
        <v>No</v>
      </c>
      <c r="J694" s="3" t="str">
        <f>IF(SUMPRODUCT(--ISNUMBER(SEARCH({"0";"1";"2";"3";"4";"5";"6";"7";"8";"9"},Hoja1!D694)))=0,"Sí","No")</f>
        <v>No</v>
      </c>
      <c r="K694" s="3" t="str">
        <f t="shared" si="10"/>
        <v>No</v>
      </c>
    </row>
    <row r="695" spans="1:11" ht="15" customHeight="1" x14ac:dyDescent="0.3">
      <c r="A695" s="3" t="str">
        <f>Hoja1!A695</f>
        <v>C0694</v>
      </c>
      <c r="B695" s="3" t="str">
        <f>Hoja1!B695</f>
        <v>Gerardo Bernat Barros</v>
      </c>
      <c r="C695" s="3" t="str">
        <f>IF(COUNTA(Hoja1!A695:I695)=0,"Sí","No")</f>
        <v>No</v>
      </c>
      <c r="D695" s="3" t="str">
        <f>IF(COUNTBLANK(Hoja1!A695:I695)&gt;0,"Sí","No")</f>
        <v>No</v>
      </c>
      <c r="E695" s="3" t="str">
        <f>IF(COUNTIF(Hoja1!$A$2:$A$1000,Hoja1!A695)&gt;1,"Sí","No")</f>
        <v>No</v>
      </c>
      <c r="F695" s="3" t="str">
        <f>IF(COUNTIF(Hoja1!$G$2:$G$1000,Hoja1!G695)&gt;1,"Sí","No")</f>
        <v>No</v>
      </c>
      <c r="G695" s="3" t="str">
        <f>IF(OR(ISERROR(FIND("@",Hoja1!G695)),ISERROR(FIND(".",Hoja1!G695,FIND("@",Hoja1!G695)))),"Sí","No")</f>
        <v>No</v>
      </c>
      <c r="H695" s="3" t="str">
        <f>IF(LEN(Hoja1!F695)&lt;&gt;14,"Sí","No")</f>
        <v>No</v>
      </c>
      <c r="I695" s="3" t="str">
        <f>IF(Hoja1!C695&gt;Hoja1!H695,"Sí","No")</f>
        <v>No</v>
      </c>
      <c r="J695" s="3" t="str">
        <f>IF(SUMPRODUCT(--ISNUMBER(SEARCH({"0";"1";"2";"3";"4";"5";"6";"7";"8";"9"},Hoja1!D695)))=0,"Sí","No")</f>
        <v>Sí</v>
      </c>
      <c r="K695" s="3" t="str">
        <f t="shared" si="10"/>
        <v>Sí</v>
      </c>
    </row>
    <row r="696" spans="1:11" ht="15" customHeight="1" x14ac:dyDescent="0.3">
      <c r="A696" s="3" t="str">
        <f>Hoja1!A696</f>
        <v>C0695</v>
      </c>
      <c r="B696" s="3" t="str">
        <f>Hoja1!B696</f>
        <v>Hugo Torrecilla Canals</v>
      </c>
      <c r="C696" s="3" t="str">
        <f>IF(COUNTA(Hoja1!A696:I696)=0,"Sí","No")</f>
        <v>No</v>
      </c>
      <c r="D696" s="3" t="str">
        <f>IF(COUNTBLANK(Hoja1!A696:I696)&gt;0,"Sí","No")</f>
        <v>No</v>
      </c>
      <c r="E696" s="3" t="str">
        <f>IF(COUNTIF(Hoja1!$A$2:$A$1000,Hoja1!A696)&gt;1,"Sí","No")</f>
        <v>No</v>
      </c>
      <c r="F696" s="3" t="str">
        <f>IF(COUNTIF(Hoja1!$G$2:$G$1000,Hoja1!G696)&gt;1,"Sí","No")</f>
        <v>No</v>
      </c>
      <c r="G696" s="3" t="str">
        <f>IF(OR(ISERROR(FIND("@",Hoja1!G696)),ISERROR(FIND(".",Hoja1!G696,FIND("@",Hoja1!G696)))),"Sí","No")</f>
        <v>No</v>
      </c>
      <c r="H696" s="3" t="str">
        <f>IF(LEN(Hoja1!F696)&lt;&gt;14,"Sí","No")</f>
        <v>No</v>
      </c>
      <c r="I696" s="3" t="str">
        <f>IF(Hoja1!C696&gt;Hoja1!H696,"Sí","No")</f>
        <v>No</v>
      </c>
      <c r="J696" s="3" t="str">
        <f>IF(SUMPRODUCT(--ISNUMBER(SEARCH({"0";"1";"2";"3";"4";"5";"6";"7";"8";"9"},Hoja1!D696)))=0,"Sí","No")</f>
        <v>No</v>
      </c>
      <c r="K696" s="3" t="str">
        <f t="shared" si="10"/>
        <v>No</v>
      </c>
    </row>
    <row r="697" spans="1:11" ht="15" customHeight="1" x14ac:dyDescent="0.3">
      <c r="A697" s="3" t="str">
        <f>Hoja1!A697</f>
        <v>C0696</v>
      </c>
      <c r="B697" s="3" t="str">
        <f>Hoja1!B697</f>
        <v>Mamen Ortega Ferrer</v>
      </c>
      <c r="C697" s="3" t="str">
        <f>IF(COUNTA(Hoja1!A697:I697)=0,"Sí","No")</f>
        <v>No</v>
      </c>
      <c r="D697" s="3" t="str">
        <f>IF(COUNTBLANK(Hoja1!A697:I697)&gt;0,"Sí","No")</f>
        <v>No</v>
      </c>
      <c r="E697" s="3" t="str">
        <f>IF(COUNTIF(Hoja1!$A$2:$A$1000,Hoja1!A697)&gt;1,"Sí","No")</f>
        <v>No</v>
      </c>
      <c r="F697" s="3" t="str">
        <f>IF(COUNTIF(Hoja1!$G$2:$G$1000,Hoja1!G697)&gt;1,"Sí","No")</f>
        <v>No</v>
      </c>
      <c r="G697" s="3" t="str">
        <f>IF(OR(ISERROR(FIND("@",Hoja1!G697)),ISERROR(FIND(".",Hoja1!G697,FIND("@",Hoja1!G697)))),"Sí","No")</f>
        <v>No</v>
      </c>
      <c r="H697" s="3" t="str">
        <f>IF(LEN(Hoja1!F697)&lt;&gt;14,"Sí","No")</f>
        <v>No</v>
      </c>
      <c r="I697" s="3" t="str">
        <f>IF(Hoja1!C697&gt;Hoja1!H697,"Sí","No")</f>
        <v>No</v>
      </c>
      <c r="J697" s="3" t="str">
        <f>IF(SUMPRODUCT(--ISNUMBER(SEARCH({"0";"1";"2";"3";"4";"5";"6";"7";"8";"9"},Hoja1!D697)))=0,"Sí","No")</f>
        <v>No</v>
      </c>
      <c r="K697" s="3" t="str">
        <f t="shared" si="10"/>
        <v>No</v>
      </c>
    </row>
    <row r="698" spans="1:11" ht="15" customHeight="1" x14ac:dyDescent="0.3">
      <c r="A698" s="3" t="str">
        <f>Hoja1!A698</f>
        <v>C0697</v>
      </c>
      <c r="B698" s="3" t="str">
        <f>Hoja1!B698</f>
        <v>Ciríaco del Ruano</v>
      </c>
      <c r="C698" s="3" t="str">
        <f>IF(COUNTA(Hoja1!A698:I698)=0,"Sí","No")</f>
        <v>No</v>
      </c>
      <c r="D698" s="3" t="str">
        <f>IF(COUNTBLANK(Hoja1!A698:I698)&gt;0,"Sí","No")</f>
        <v>No</v>
      </c>
      <c r="E698" s="3" t="str">
        <f>IF(COUNTIF(Hoja1!$A$2:$A$1000,Hoja1!A698)&gt;1,"Sí","No")</f>
        <v>No</v>
      </c>
      <c r="F698" s="3" t="str">
        <f>IF(COUNTIF(Hoja1!$G$2:$G$1000,Hoja1!G698)&gt;1,"Sí","No")</f>
        <v>No</v>
      </c>
      <c r="G698" s="3" t="str">
        <f>IF(OR(ISERROR(FIND("@",Hoja1!G698)),ISERROR(FIND(".",Hoja1!G698,FIND("@",Hoja1!G698)))),"Sí","No")</f>
        <v>No</v>
      </c>
      <c r="H698" s="3" t="str">
        <f>IF(LEN(Hoja1!F698)&lt;&gt;14,"Sí","No")</f>
        <v>No</v>
      </c>
      <c r="I698" s="3" t="str">
        <f>IF(Hoja1!C698&gt;Hoja1!H698,"Sí","No")</f>
        <v>No</v>
      </c>
      <c r="J698" s="3" t="str">
        <f>IF(SUMPRODUCT(--ISNUMBER(SEARCH({"0";"1";"2";"3";"4";"5";"6";"7";"8";"9"},Hoja1!D698)))=0,"Sí","No")</f>
        <v>Sí</v>
      </c>
      <c r="K698" s="3" t="str">
        <f t="shared" si="10"/>
        <v>Sí</v>
      </c>
    </row>
    <row r="699" spans="1:11" ht="15" customHeight="1" x14ac:dyDescent="0.3">
      <c r="A699" s="3" t="str">
        <f>Hoja1!A699</f>
        <v>C0698</v>
      </c>
      <c r="B699" s="3" t="str">
        <f>Hoja1!B699</f>
        <v>Reynaldo Gargallo Salcedo</v>
      </c>
      <c r="C699" s="3" t="str">
        <f>IF(COUNTA(Hoja1!A699:I699)=0,"Sí","No")</f>
        <v>No</v>
      </c>
      <c r="D699" s="3" t="str">
        <f>IF(COUNTBLANK(Hoja1!A699:I699)&gt;0,"Sí","No")</f>
        <v>No</v>
      </c>
      <c r="E699" s="3" t="str">
        <f>IF(COUNTIF(Hoja1!$A$2:$A$1000,Hoja1!A699)&gt;1,"Sí","No")</f>
        <v>No</v>
      </c>
      <c r="F699" s="3" t="str">
        <f>IF(COUNTIF(Hoja1!$G$2:$G$1000,Hoja1!G699)&gt;1,"Sí","No")</f>
        <v>No</v>
      </c>
      <c r="G699" s="3" t="str">
        <f>IF(OR(ISERROR(FIND("@",Hoja1!G699)),ISERROR(FIND(".",Hoja1!G699,FIND("@",Hoja1!G699)))),"Sí","No")</f>
        <v>No</v>
      </c>
      <c r="H699" s="3" t="str">
        <f>IF(LEN(Hoja1!F699)&lt;&gt;14,"Sí","No")</f>
        <v>No</v>
      </c>
      <c r="I699" s="3" t="str">
        <f>IF(Hoja1!C699&gt;Hoja1!H699,"Sí","No")</f>
        <v>No</v>
      </c>
      <c r="J699" s="3" t="str">
        <f>IF(SUMPRODUCT(--ISNUMBER(SEARCH({"0";"1";"2";"3";"4";"5";"6";"7";"8";"9"},Hoja1!D699)))=0,"Sí","No")</f>
        <v>No</v>
      </c>
      <c r="K699" s="3" t="str">
        <f t="shared" si="10"/>
        <v>No</v>
      </c>
    </row>
    <row r="700" spans="1:11" ht="15" customHeight="1" x14ac:dyDescent="0.3">
      <c r="A700" s="3" t="str">
        <f>Hoja1!A700</f>
        <v>C0699</v>
      </c>
      <c r="B700" s="3" t="str">
        <f>Hoja1!B700</f>
        <v>Blanca Quero Alcántara</v>
      </c>
      <c r="C700" s="3" t="str">
        <f>IF(COUNTA(Hoja1!A700:I700)=0,"Sí","No")</f>
        <v>No</v>
      </c>
      <c r="D700" s="3" t="str">
        <f>IF(COUNTBLANK(Hoja1!A700:I700)&gt;0,"Sí","No")</f>
        <v>No</v>
      </c>
      <c r="E700" s="3" t="str">
        <f>IF(COUNTIF(Hoja1!$A$2:$A$1000,Hoja1!A700)&gt;1,"Sí","No")</f>
        <v>No</v>
      </c>
      <c r="F700" s="3" t="str">
        <f>IF(COUNTIF(Hoja1!$G$2:$G$1000,Hoja1!G700)&gt;1,"Sí","No")</f>
        <v>No</v>
      </c>
      <c r="G700" s="3" t="str">
        <f>IF(OR(ISERROR(FIND("@",Hoja1!G700)),ISERROR(FIND(".",Hoja1!G700,FIND("@",Hoja1!G700)))),"Sí","No")</f>
        <v>No</v>
      </c>
      <c r="H700" s="3" t="str">
        <f>IF(LEN(Hoja1!F700)&lt;&gt;14,"Sí","No")</f>
        <v>No</v>
      </c>
      <c r="I700" s="3" t="str">
        <f>IF(Hoja1!C700&gt;Hoja1!H700,"Sí","No")</f>
        <v>No</v>
      </c>
      <c r="J700" s="3" t="str">
        <f>IF(SUMPRODUCT(--ISNUMBER(SEARCH({"0";"1";"2";"3";"4";"5";"6";"7";"8";"9"},Hoja1!D700)))=0,"Sí","No")</f>
        <v>No</v>
      </c>
      <c r="K700" s="3" t="str">
        <f t="shared" si="10"/>
        <v>No</v>
      </c>
    </row>
    <row r="701" spans="1:11" ht="15" customHeight="1" x14ac:dyDescent="0.3">
      <c r="A701" s="3" t="str">
        <f>Hoja1!A701</f>
        <v>C0700</v>
      </c>
      <c r="B701" s="3" t="str">
        <f>Hoja1!B701</f>
        <v>Concepción Catalán</v>
      </c>
      <c r="C701" s="3" t="str">
        <f>IF(COUNTA(Hoja1!A701:I701)=0,"Sí","No")</f>
        <v>No</v>
      </c>
      <c r="D701" s="3" t="str">
        <f>IF(COUNTBLANK(Hoja1!A701:I701)&gt;0,"Sí","No")</f>
        <v>No</v>
      </c>
      <c r="E701" s="3" t="str">
        <f>IF(COUNTIF(Hoja1!$A$2:$A$1000,Hoja1!A701)&gt;1,"Sí","No")</f>
        <v>No</v>
      </c>
      <c r="F701" s="3" t="str">
        <f>IF(COUNTIF(Hoja1!$G$2:$G$1000,Hoja1!G701)&gt;1,"Sí","No")</f>
        <v>No</v>
      </c>
      <c r="G701" s="3" t="str">
        <f>IF(OR(ISERROR(FIND("@",Hoja1!G701)),ISERROR(FIND(".",Hoja1!G701,FIND("@",Hoja1!G701)))),"Sí","No")</f>
        <v>No</v>
      </c>
      <c r="H701" s="3" t="str">
        <f>IF(LEN(Hoja1!F701)&lt;&gt;14,"Sí","No")</f>
        <v>No</v>
      </c>
      <c r="I701" s="3" t="str">
        <f>IF(Hoja1!C701&gt;Hoja1!H701,"Sí","No")</f>
        <v>No</v>
      </c>
      <c r="J701" s="3" t="str">
        <f>IF(SUMPRODUCT(--ISNUMBER(SEARCH({"0";"1";"2";"3";"4";"5";"6";"7";"8";"9"},Hoja1!D701)))=0,"Sí","No")</f>
        <v>Sí</v>
      </c>
      <c r="K701" s="3" t="str">
        <f t="shared" si="10"/>
        <v>Sí</v>
      </c>
    </row>
    <row r="702" spans="1:11" ht="15" customHeight="1" x14ac:dyDescent="0.3">
      <c r="A702" s="3" t="str">
        <f>Hoja1!A702</f>
        <v>C0701</v>
      </c>
      <c r="B702" s="3" t="str">
        <f>Hoja1!B702</f>
        <v>Carolina Bilbao Iñiguez</v>
      </c>
      <c r="C702" s="3" t="str">
        <f>IF(COUNTA(Hoja1!A702:I702)=0,"Sí","No")</f>
        <v>No</v>
      </c>
      <c r="D702" s="3" t="str">
        <f>IF(COUNTBLANK(Hoja1!A702:I702)&gt;0,"Sí","No")</f>
        <v>No</v>
      </c>
      <c r="E702" s="3" t="str">
        <f>IF(COUNTIF(Hoja1!$A$2:$A$1000,Hoja1!A702)&gt;1,"Sí","No")</f>
        <v>No</v>
      </c>
      <c r="F702" s="3" t="str">
        <f>IF(COUNTIF(Hoja1!$G$2:$G$1000,Hoja1!G702)&gt;1,"Sí","No")</f>
        <v>No</v>
      </c>
      <c r="G702" s="3" t="str">
        <f>IF(OR(ISERROR(FIND("@",Hoja1!G702)),ISERROR(FIND(".",Hoja1!G702,FIND("@",Hoja1!G702)))),"Sí","No")</f>
        <v>No</v>
      </c>
      <c r="H702" s="3" t="str">
        <f>IF(LEN(Hoja1!F702)&lt;&gt;14,"Sí","No")</f>
        <v>No</v>
      </c>
      <c r="I702" s="3" t="str">
        <f>IF(Hoja1!C702&gt;Hoja1!H702,"Sí","No")</f>
        <v>No</v>
      </c>
      <c r="J702" s="3" t="str">
        <f>IF(SUMPRODUCT(--ISNUMBER(SEARCH({"0";"1";"2";"3";"4";"5";"6";"7";"8";"9"},Hoja1!D702)))=0,"Sí","No")</f>
        <v>No</v>
      </c>
      <c r="K702" s="3" t="str">
        <f t="shared" si="10"/>
        <v>No</v>
      </c>
    </row>
    <row r="703" spans="1:11" ht="15" customHeight="1" x14ac:dyDescent="0.3">
      <c r="A703" s="3" t="str">
        <f>Hoja1!A703</f>
        <v>C0702</v>
      </c>
      <c r="B703" s="3" t="str">
        <f>Hoja1!B703</f>
        <v>Luisina Gonzalez Ferrán</v>
      </c>
      <c r="C703" s="3" t="str">
        <f>IF(COUNTA(Hoja1!A703:I703)=0,"Sí","No")</f>
        <v>No</v>
      </c>
      <c r="D703" s="3" t="str">
        <f>IF(COUNTBLANK(Hoja1!A703:I703)&gt;0,"Sí","No")</f>
        <v>No</v>
      </c>
      <c r="E703" s="3" t="str">
        <f>IF(COUNTIF(Hoja1!$A$2:$A$1000,Hoja1!A703)&gt;1,"Sí","No")</f>
        <v>No</v>
      </c>
      <c r="F703" s="3" t="str">
        <f>IF(COUNTIF(Hoja1!$G$2:$G$1000,Hoja1!G703)&gt;1,"Sí","No")</f>
        <v>Sí</v>
      </c>
      <c r="G703" s="3" t="str">
        <f>IF(OR(ISERROR(FIND("@",Hoja1!G703)),ISERROR(FIND(".",Hoja1!G703,FIND("@",Hoja1!G703)))),"Sí","No")</f>
        <v>No</v>
      </c>
      <c r="H703" s="3" t="str">
        <f>IF(LEN(Hoja1!F703)&lt;&gt;14,"Sí","No")</f>
        <v>No</v>
      </c>
      <c r="I703" s="3" t="str">
        <f>IF(Hoja1!C703&gt;Hoja1!H703,"Sí","No")</f>
        <v>No</v>
      </c>
      <c r="J703" s="3" t="str">
        <f>IF(SUMPRODUCT(--ISNUMBER(SEARCH({"0";"1";"2";"3";"4";"5";"6";"7";"8";"9"},Hoja1!D703)))=0,"Sí","No")</f>
        <v>No</v>
      </c>
      <c r="K703" s="3" t="str">
        <f t="shared" si="10"/>
        <v>Sí</v>
      </c>
    </row>
    <row r="704" spans="1:11" ht="15" customHeight="1" x14ac:dyDescent="0.3">
      <c r="A704" s="3" t="str">
        <f>Hoja1!A704</f>
        <v>C0703</v>
      </c>
      <c r="B704" s="3" t="str">
        <f>Hoja1!B704</f>
        <v>Filomena Larrañaga Andrade</v>
      </c>
      <c r="C704" s="3" t="str">
        <f>IF(COUNTA(Hoja1!A704:I704)=0,"Sí","No")</f>
        <v>No</v>
      </c>
      <c r="D704" s="3" t="str">
        <f>IF(COUNTBLANK(Hoja1!A704:I704)&gt;0,"Sí","No")</f>
        <v>No</v>
      </c>
      <c r="E704" s="3" t="str">
        <f>IF(COUNTIF(Hoja1!$A$2:$A$1000,Hoja1!A704)&gt;1,"Sí","No")</f>
        <v>No</v>
      </c>
      <c r="F704" s="3" t="str">
        <f>IF(COUNTIF(Hoja1!$G$2:$G$1000,Hoja1!G704)&gt;1,"Sí","No")</f>
        <v>No</v>
      </c>
      <c r="G704" s="3" t="str">
        <f>IF(OR(ISERROR(FIND("@",Hoja1!G704)),ISERROR(FIND(".",Hoja1!G704,FIND("@",Hoja1!G704)))),"Sí","No")</f>
        <v>No</v>
      </c>
      <c r="H704" s="3" t="str">
        <f>IF(LEN(Hoja1!F704)&lt;&gt;14,"Sí","No")</f>
        <v>No</v>
      </c>
      <c r="I704" s="3" t="str">
        <f>IF(Hoja1!C704&gt;Hoja1!H704,"Sí","No")</f>
        <v>No</v>
      </c>
      <c r="J704" s="3" t="str">
        <f>IF(SUMPRODUCT(--ISNUMBER(SEARCH({"0";"1";"2";"3";"4";"5";"6";"7";"8";"9"},Hoja1!D704)))=0,"Sí","No")</f>
        <v>Sí</v>
      </c>
      <c r="K704" s="3" t="str">
        <f t="shared" si="10"/>
        <v>Sí</v>
      </c>
    </row>
    <row r="705" spans="1:11" ht="15" customHeight="1" x14ac:dyDescent="0.3">
      <c r="A705" s="3" t="str">
        <f>Hoja1!A705</f>
        <v>C0704</v>
      </c>
      <c r="B705" s="3" t="str">
        <f>Hoja1!B705</f>
        <v>Marta Roldán-Galván</v>
      </c>
      <c r="C705" s="3" t="str">
        <f>IF(COUNTA(Hoja1!A705:I705)=0,"Sí","No")</f>
        <v>No</v>
      </c>
      <c r="D705" s="3" t="str">
        <f>IF(COUNTBLANK(Hoja1!A705:I705)&gt;0,"Sí","No")</f>
        <v>No</v>
      </c>
      <c r="E705" s="3" t="str">
        <f>IF(COUNTIF(Hoja1!$A$2:$A$1000,Hoja1!A705)&gt;1,"Sí","No")</f>
        <v>No</v>
      </c>
      <c r="F705" s="3" t="str">
        <f>IF(COUNTIF(Hoja1!$G$2:$G$1000,Hoja1!G705)&gt;1,"Sí","No")</f>
        <v>No</v>
      </c>
      <c r="G705" s="3" t="str">
        <f>IF(OR(ISERROR(FIND("@",Hoja1!G705)),ISERROR(FIND(".",Hoja1!G705,FIND("@",Hoja1!G705)))),"Sí","No")</f>
        <v>No</v>
      </c>
      <c r="H705" s="3" t="str">
        <f>IF(LEN(Hoja1!F705)&lt;&gt;14,"Sí","No")</f>
        <v>No</v>
      </c>
      <c r="I705" s="3" t="str">
        <f>IF(Hoja1!C705&gt;Hoja1!H705,"Sí","No")</f>
        <v>No</v>
      </c>
      <c r="J705" s="3" t="str">
        <f>IF(SUMPRODUCT(--ISNUMBER(SEARCH({"0";"1";"2";"3";"4";"5";"6";"7";"8";"9"},Hoja1!D705)))=0,"Sí","No")</f>
        <v>No</v>
      </c>
      <c r="K705" s="3" t="str">
        <f t="shared" si="10"/>
        <v>No</v>
      </c>
    </row>
    <row r="706" spans="1:11" ht="15" customHeight="1" x14ac:dyDescent="0.3">
      <c r="A706" s="3" t="str">
        <f>Hoja1!A706</f>
        <v>C0705</v>
      </c>
      <c r="B706" s="3" t="str">
        <f>Hoja1!B706</f>
        <v>Alma Valderrama Cortés</v>
      </c>
      <c r="C706" s="3" t="str">
        <f>IF(COUNTA(Hoja1!A706:I706)=0,"Sí","No")</f>
        <v>No</v>
      </c>
      <c r="D706" s="3" t="str">
        <f>IF(COUNTBLANK(Hoja1!A706:I706)&gt;0,"Sí","No")</f>
        <v>No</v>
      </c>
      <c r="E706" s="3" t="str">
        <f>IF(COUNTIF(Hoja1!$A$2:$A$1000,Hoja1!A706)&gt;1,"Sí","No")</f>
        <v>No</v>
      </c>
      <c r="F706" s="3" t="str">
        <f>IF(COUNTIF(Hoja1!$G$2:$G$1000,Hoja1!G706)&gt;1,"Sí","No")</f>
        <v>No</v>
      </c>
      <c r="G706" s="3" t="str">
        <f>IF(OR(ISERROR(FIND("@",Hoja1!G706)),ISERROR(FIND(".",Hoja1!G706,FIND("@",Hoja1!G706)))),"Sí","No")</f>
        <v>No</v>
      </c>
      <c r="H706" s="3" t="str">
        <f>IF(LEN(Hoja1!F706)&lt;&gt;14,"Sí","No")</f>
        <v>No</v>
      </c>
      <c r="I706" s="3" t="str">
        <f>IF(Hoja1!C706&gt;Hoja1!H706,"Sí","No")</f>
        <v>No</v>
      </c>
      <c r="J706" s="3" t="str">
        <f>IF(SUMPRODUCT(--ISNUMBER(SEARCH({"0";"1";"2";"3";"4";"5";"6";"7";"8";"9"},Hoja1!D706)))=0,"Sí","No")</f>
        <v>No</v>
      </c>
      <c r="K706" s="3" t="str">
        <f t="shared" ref="K706:K769" si="11">IF(COUNTIF(C706:J706,"Sí")&gt;0,"Sí","No")</f>
        <v>No</v>
      </c>
    </row>
    <row r="707" spans="1:11" ht="15" customHeight="1" x14ac:dyDescent="0.3">
      <c r="A707" s="3" t="str">
        <f>Hoja1!A707</f>
        <v>C0706</v>
      </c>
      <c r="B707" s="3" t="str">
        <f>Hoja1!B707</f>
        <v>Alcides Viana Benavente</v>
      </c>
      <c r="C707" s="3" t="str">
        <f>IF(COUNTA(Hoja1!A707:I707)=0,"Sí","No")</f>
        <v>No</v>
      </c>
      <c r="D707" s="3" t="str">
        <f>IF(COUNTBLANK(Hoja1!A707:I707)&gt;0,"Sí","No")</f>
        <v>No</v>
      </c>
      <c r="E707" s="3" t="str">
        <f>IF(COUNTIF(Hoja1!$A$2:$A$1000,Hoja1!A707)&gt;1,"Sí","No")</f>
        <v>No</v>
      </c>
      <c r="F707" s="3" t="str">
        <f>IF(COUNTIF(Hoja1!$G$2:$G$1000,Hoja1!G707)&gt;1,"Sí","No")</f>
        <v>No</v>
      </c>
      <c r="G707" s="3" t="str">
        <f>IF(OR(ISERROR(FIND("@",Hoja1!G707)),ISERROR(FIND(".",Hoja1!G707,FIND("@",Hoja1!G707)))),"Sí","No")</f>
        <v>No</v>
      </c>
      <c r="H707" s="3" t="str">
        <f>IF(LEN(Hoja1!F707)&lt;&gt;14,"Sí","No")</f>
        <v>No</v>
      </c>
      <c r="I707" s="3" t="str">
        <f>IF(Hoja1!C707&gt;Hoja1!H707,"Sí","No")</f>
        <v>No</v>
      </c>
      <c r="J707" s="3" t="str">
        <f>IF(SUMPRODUCT(--ISNUMBER(SEARCH({"0";"1";"2";"3";"4";"5";"6";"7";"8";"9"},Hoja1!D707)))=0,"Sí","No")</f>
        <v>Sí</v>
      </c>
      <c r="K707" s="3" t="str">
        <f t="shared" si="11"/>
        <v>Sí</v>
      </c>
    </row>
    <row r="708" spans="1:11" ht="15" customHeight="1" x14ac:dyDescent="0.3">
      <c r="A708" s="3" t="str">
        <f>Hoja1!A708</f>
        <v>C0707</v>
      </c>
      <c r="B708" s="3" t="str">
        <f>Hoja1!B708</f>
        <v>Santiago Garmendia Doménech</v>
      </c>
      <c r="C708" s="3" t="str">
        <f>IF(COUNTA(Hoja1!A708:I708)=0,"Sí","No")</f>
        <v>No</v>
      </c>
      <c r="D708" s="3" t="str">
        <f>IF(COUNTBLANK(Hoja1!A708:I708)&gt;0,"Sí","No")</f>
        <v>No</v>
      </c>
      <c r="E708" s="3" t="str">
        <f>IF(COUNTIF(Hoja1!$A$2:$A$1000,Hoja1!A708)&gt;1,"Sí","No")</f>
        <v>No</v>
      </c>
      <c r="F708" s="3" t="str">
        <f>IF(COUNTIF(Hoja1!$G$2:$G$1000,Hoja1!G708)&gt;1,"Sí","No")</f>
        <v>No</v>
      </c>
      <c r="G708" s="3" t="str">
        <f>IF(OR(ISERROR(FIND("@",Hoja1!G708)),ISERROR(FIND(".",Hoja1!G708,FIND("@",Hoja1!G708)))),"Sí","No")</f>
        <v>No</v>
      </c>
      <c r="H708" s="3" t="str">
        <f>IF(LEN(Hoja1!F708)&lt;&gt;14,"Sí","No")</f>
        <v>No</v>
      </c>
      <c r="I708" s="3" t="str">
        <f>IF(Hoja1!C708&gt;Hoja1!H708,"Sí","No")</f>
        <v>No</v>
      </c>
      <c r="J708" s="3" t="str">
        <f>IF(SUMPRODUCT(--ISNUMBER(SEARCH({"0";"1";"2";"3";"4";"5";"6";"7";"8";"9"},Hoja1!D708)))=0,"Sí","No")</f>
        <v>No</v>
      </c>
      <c r="K708" s="3" t="str">
        <f t="shared" si="11"/>
        <v>No</v>
      </c>
    </row>
    <row r="709" spans="1:11" ht="15" customHeight="1" x14ac:dyDescent="0.3">
      <c r="A709" s="3" t="str">
        <f>Hoja1!A709</f>
        <v>C0708</v>
      </c>
      <c r="B709" s="3" t="str">
        <f>Hoja1!B709</f>
        <v>Nerea Torrent-Valverde</v>
      </c>
      <c r="C709" s="3" t="str">
        <f>IF(COUNTA(Hoja1!A709:I709)=0,"Sí","No")</f>
        <v>No</v>
      </c>
      <c r="D709" s="3" t="str">
        <f>IF(COUNTBLANK(Hoja1!A709:I709)&gt;0,"Sí","No")</f>
        <v>No</v>
      </c>
      <c r="E709" s="3" t="str">
        <f>IF(COUNTIF(Hoja1!$A$2:$A$1000,Hoja1!A709)&gt;1,"Sí","No")</f>
        <v>No</v>
      </c>
      <c r="F709" s="3" t="str">
        <f>IF(COUNTIF(Hoja1!$G$2:$G$1000,Hoja1!G709)&gt;1,"Sí","No")</f>
        <v>No</v>
      </c>
      <c r="G709" s="3" t="str">
        <f>IF(OR(ISERROR(FIND("@",Hoja1!G709)),ISERROR(FIND(".",Hoja1!G709,FIND("@",Hoja1!G709)))),"Sí","No")</f>
        <v>No</v>
      </c>
      <c r="H709" s="3" t="str">
        <f>IF(LEN(Hoja1!F709)&lt;&gt;14,"Sí","No")</f>
        <v>No</v>
      </c>
      <c r="I709" s="3" t="str">
        <f>IF(Hoja1!C709&gt;Hoja1!H709,"Sí","No")</f>
        <v>No</v>
      </c>
      <c r="J709" s="3" t="str">
        <f>IF(SUMPRODUCT(--ISNUMBER(SEARCH({"0";"1";"2";"3";"4";"5";"6";"7";"8";"9"},Hoja1!D709)))=0,"Sí","No")</f>
        <v>No</v>
      </c>
      <c r="K709" s="3" t="str">
        <f t="shared" si="11"/>
        <v>No</v>
      </c>
    </row>
    <row r="710" spans="1:11" ht="15" customHeight="1" x14ac:dyDescent="0.3">
      <c r="A710" s="3" t="str">
        <f>Hoja1!A710</f>
        <v>C0709</v>
      </c>
      <c r="B710" s="3" t="str">
        <f>Hoja1!B710</f>
        <v>Ángeles del Higueras</v>
      </c>
      <c r="C710" s="3" t="str">
        <f>IF(COUNTA(Hoja1!A710:I710)=0,"Sí","No")</f>
        <v>No</v>
      </c>
      <c r="D710" s="3" t="str">
        <f>IF(COUNTBLANK(Hoja1!A710:I710)&gt;0,"Sí","No")</f>
        <v>No</v>
      </c>
      <c r="E710" s="3" t="str">
        <f>IF(COUNTIF(Hoja1!$A$2:$A$1000,Hoja1!A710)&gt;1,"Sí","No")</f>
        <v>No</v>
      </c>
      <c r="F710" s="3" t="str">
        <f>IF(COUNTIF(Hoja1!$G$2:$G$1000,Hoja1!G710)&gt;1,"Sí","No")</f>
        <v>No</v>
      </c>
      <c r="G710" s="3" t="str">
        <f>IF(OR(ISERROR(FIND("@",Hoja1!G710)),ISERROR(FIND(".",Hoja1!G710,FIND("@",Hoja1!G710)))),"Sí","No")</f>
        <v>No</v>
      </c>
      <c r="H710" s="3" t="str">
        <f>IF(LEN(Hoja1!F710)&lt;&gt;14,"Sí","No")</f>
        <v>No</v>
      </c>
      <c r="I710" s="3" t="str">
        <f>IF(Hoja1!C710&gt;Hoja1!H710,"Sí","No")</f>
        <v>No</v>
      </c>
      <c r="J710" s="3" t="str">
        <f>IF(SUMPRODUCT(--ISNUMBER(SEARCH({"0";"1";"2";"3";"4";"5";"6";"7";"8";"9"},Hoja1!D710)))=0,"Sí","No")</f>
        <v>Sí</v>
      </c>
      <c r="K710" s="3" t="str">
        <f t="shared" si="11"/>
        <v>Sí</v>
      </c>
    </row>
    <row r="711" spans="1:11" ht="15" customHeight="1" x14ac:dyDescent="0.3">
      <c r="A711" s="3" t="str">
        <f>Hoja1!A711</f>
        <v>C0710</v>
      </c>
      <c r="B711" s="3" t="str">
        <f>Hoja1!B711</f>
        <v>Octavio de Andrés</v>
      </c>
      <c r="C711" s="3" t="str">
        <f>IF(COUNTA(Hoja1!A711:I711)=0,"Sí","No")</f>
        <v>No</v>
      </c>
      <c r="D711" s="3" t="str">
        <f>IF(COUNTBLANK(Hoja1!A711:I711)&gt;0,"Sí","No")</f>
        <v>No</v>
      </c>
      <c r="E711" s="3" t="str">
        <f>IF(COUNTIF(Hoja1!$A$2:$A$1000,Hoja1!A711)&gt;1,"Sí","No")</f>
        <v>No</v>
      </c>
      <c r="F711" s="3" t="str">
        <f>IF(COUNTIF(Hoja1!$G$2:$G$1000,Hoja1!G711)&gt;1,"Sí","No")</f>
        <v>No</v>
      </c>
      <c r="G711" s="3" t="str">
        <f>IF(OR(ISERROR(FIND("@",Hoja1!G711)),ISERROR(FIND(".",Hoja1!G711,FIND("@",Hoja1!G711)))),"Sí","No")</f>
        <v>No</v>
      </c>
      <c r="H711" s="3" t="str">
        <f>IF(LEN(Hoja1!F711)&lt;&gt;14,"Sí","No")</f>
        <v>No</v>
      </c>
      <c r="I711" s="3" t="str">
        <f>IF(Hoja1!C711&gt;Hoja1!H711,"Sí","No")</f>
        <v>No</v>
      </c>
      <c r="J711" s="3" t="str">
        <f>IF(SUMPRODUCT(--ISNUMBER(SEARCH({"0";"1";"2";"3";"4";"5";"6";"7";"8";"9"},Hoja1!D711)))=0,"Sí","No")</f>
        <v>No</v>
      </c>
      <c r="K711" s="3" t="str">
        <f t="shared" si="11"/>
        <v>No</v>
      </c>
    </row>
    <row r="712" spans="1:11" ht="15" customHeight="1" x14ac:dyDescent="0.3">
      <c r="A712" s="3" t="str">
        <f>Hoja1!A712</f>
        <v>C0711</v>
      </c>
      <c r="B712" s="3" t="str">
        <f>Hoja1!B712</f>
        <v>Eligio Herrero-Canet</v>
      </c>
      <c r="C712" s="3" t="str">
        <f>IF(COUNTA(Hoja1!A712:I712)=0,"Sí","No")</f>
        <v>No</v>
      </c>
      <c r="D712" s="3" t="str">
        <f>IF(COUNTBLANK(Hoja1!A712:I712)&gt;0,"Sí","No")</f>
        <v>No</v>
      </c>
      <c r="E712" s="3" t="str">
        <f>IF(COUNTIF(Hoja1!$A$2:$A$1000,Hoja1!A712)&gt;1,"Sí","No")</f>
        <v>No</v>
      </c>
      <c r="F712" s="3" t="str">
        <f>IF(COUNTIF(Hoja1!$G$2:$G$1000,Hoja1!G712)&gt;1,"Sí","No")</f>
        <v>No</v>
      </c>
      <c r="G712" s="3" t="str">
        <f>IF(OR(ISERROR(FIND("@",Hoja1!G712)),ISERROR(FIND(".",Hoja1!G712,FIND("@",Hoja1!G712)))),"Sí","No")</f>
        <v>No</v>
      </c>
      <c r="H712" s="3" t="str">
        <f>IF(LEN(Hoja1!F712)&lt;&gt;14,"Sí","No")</f>
        <v>No</v>
      </c>
      <c r="I712" s="3" t="str">
        <f>IF(Hoja1!C712&gt;Hoja1!H712,"Sí","No")</f>
        <v>No</v>
      </c>
      <c r="J712" s="3" t="str">
        <f>IF(SUMPRODUCT(--ISNUMBER(SEARCH({"0";"1";"2";"3";"4";"5";"6";"7";"8";"9"},Hoja1!D712)))=0,"Sí","No")</f>
        <v>No</v>
      </c>
      <c r="K712" s="3" t="str">
        <f t="shared" si="11"/>
        <v>No</v>
      </c>
    </row>
    <row r="713" spans="1:11" ht="15" customHeight="1" x14ac:dyDescent="0.3">
      <c r="A713" s="3" t="str">
        <f>Hoja1!A713</f>
        <v>C0712</v>
      </c>
      <c r="B713" s="3" t="str">
        <f>Hoja1!B713</f>
        <v>Elías Carbonell Pareja</v>
      </c>
      <c r="C713" s="3" t="str">
        <f>IF(COUNTA(Hoja1!A713:I713)=0,"Sí","No")</f>
        <v>No</v>
      </c>
      <c r="D713" s="3" t="str">
        <f>IF(COUNTBLANK(Hoja1!A713:I713)&gt;0,"Sí","No")</f>
        <v>No</v>
      </c>
      <c r="E713" s="3" t="str">
        <f>IF(COUNTIF(Hoja1!$A$2:$A$1000,Hoja1!A713)&gt;1,"Sí","No")</f>
        <v>No</v>
      </c>
      <c r="F713" s="3" t="str">
        <f>IF(COUNTIF(Hoja1!$G$2:$G$1000,Hoja1!G713)&gt;1,"Sí","No")</f>
        <v>No</v>
      </c>
      <c r="G713" s="3" t="str">
        <f>IF(OR(ISERROR(FIND("@",Hoja1!G713)),ISERROR(FIND(".",Hoja1!G713,FIND("@",Hoja1!G713)))),"Sí","No")</f>
        <v>No</v>
      </c>
      <c r="H713" s="3" t="str">
        <f>IF(LEN(Hoja1!F713)&lt;&gt;14,"Sí","No")</f>
        <v>No</v>
      </c>
      <c r="I713" s="3" t="str">
        <f>IF(Hoja1!C713&gt;Hoja1!H713,"Sí","No")</f>
        <v>No</v>
      </c>
      <c r="J713" s="3" t="str">
        <f>IF(SUMPRODUCT(--ISNUMBER(SEARCH({"0";"1";"2";"3";"4";"5";"6";"7";"8";"9"},Hoja1!D713)))=0,"Sí","No")</f>
        <v>Sí</v>
      </c>
      <c r="K713" s="3" t="str">
        <f t="shared" si="11"/>
        <v>Sí</v>
      </c>
    </row>
    <row r="714" spans="1:11" ht="15" customHeight="1" x14ac:dyDescent="0.3">
      <c r="A714" s="3" t="str">
        <f>Hoja1!A714</f>
        <v>C0713</v>
      </c>
      <c r="B714" s="3" t="str">
        <f>Hoja1!B714</f>
        <v>Elvira Olmedo Girona</v>
      </c>
      <c r="C714" s="3" t="str">
        <f>IF(COUNTA(Hoja1!A714:I714)=0,"Sí","No")</f>
        <v>No</v>
      </c>
      <c r="D714" s="3" t="str">
        <f>IF(COUNTBLANK(Hoja1!A714:I714)&gt;0,"Sí","No")</f>
        <v>No</v>
      </c>
      <c r="E714" s="3" t="str">
        <f>IF(COUNTIF(Hoja1!$A$2:$A$1000,Hoja1!A714)&gt;1,"Sí","No")</f>
        <v>No</v>
      </c>
      <c r="F714" s="3" t="str">
        <f>IF(COUNTIF(Hoja1!$G$2:$G$1000,Hoja1!G714)&gt;1,"Sí","No")</f>
        <v>No</v>
      </c>
      <c r="G714" s="3" t="str">
        <f>IF(OR(ISERROR(FIND("@",Hoja1!G714)),ISERROR(FIND(".",Hoja1!G714,FIND("@",Hoja1!G714)))),"Sí","No")</f>
        <v>No</v>
      </c>
      <c r="H714" s="3" t="str">
        <f>IF(LEN(Hoja1!F714)&lt;&gt;14,"Sí","No")</f>
        <v>No</v>
      </c>
      <c r="I714" s="3" t="str">
        <f>IF(Hoja1!C714&gt;Hoja1!H714,"Sí","No")</f>
        <v>No</v>
      </c>
      <c r="J714" s="3" t="str">
        <f>IF(SUMPRODUCT(--ISNUMBER(SEARCH({"0";"1";"2";"3";"4";"5";"6";"7";"8";"9"},Hoja1!D714)))=0,"Sí","No")</f>
        <v>No</v>
      </c>
      <c r="K714" s="3" t="str">
        <f t="shared" si="11"/>
        <v>No</v>
      </c>
    </row>
    <row r="715" spans="1:11" ht="15" customHeight="1" x14ac:dyDescent="0.3">
      <c r="A715" s="3" t="str">
        <f>Hoja1!A715</f>
        <v>C0714</v>
      </c>
      <c r="B715" s="3" t="str">
        <f>Hoja1!B715</f>
        <v>Sosimo Landa Aragonés</v>
      </c>
      <c r="C715" s="3" t="str">
        <f>IF(COUNTA(Hoja1!A715:I715)=0,"Sí","No")</f>
        <v>No</v>
      </c>
      <c r="D715" s="3" t="str">
        <f>IF(COUNTBLANK(Hoja1!A715:I715)&gt;0,"Sí","No")</f>
        <v>No</v>
      </c>
      <c r="E715" s="3" t="str">
        <f>IF(COUNTIF(Hoja1!$A$2:$A$1000,Hoja1!A715)&gt;1,"Sí","No")</f>
        <v>No</v>
      </c>
      <c r="F715" s="3" t="str">
        <f>IF(COUNTIF(Hoja1!$G$2:$G$1000,Hoja1!G715)&gt;1,"Sí","No")</f>
        <v>No</v>
      </c>
      <c r="G715" s="3" t="str">
        <f>IF(OR(ISERROR(FIND("@",Hoja1!G715)),ISERROR(FIND(".",Hoja1!G715,FIND("@",Hoja1!G715)))),"Sí","No")</f>
        <v>No</v>
      </c>
      <c r="H715" s="3" t="str">
        <f>IF(LEN(Hoja1!F715)&lt;&gt;14,"Sí","No")</f>
        <v>No</v>
      </c>
      <c r="I715" s="3" t="str">
        <f>IF(Hoja1!C715&gt;Hoja1!H715,"Sí","No")</f>
        <v>No</v>
      </c>
      <c r="J715" s="3" t="str">
        <f>IF(SUMPRODUCT(--ISNUMBER(SEARCH({"0";"1";"2";"3";"4";"5";"6";"7";"8";"9"},Hoja1!D715)))=0,"Sí","No")</f>
        <v>No</v>
      </c>
      <c r="K715" s="3" t="str">
        <f t="shared" si="11"/>
        <v>No</v>
      </c>
    </row>
    <row r="716" spans="1:11" ht="15" customHeight="1" x14ac:dyDescent="0.3">
      <c r="A716" s="3" t="str">
        <f>Hoja1!A716</f>
        <v>C0715</v>
      </c>
      <c r="B716" s="3" t="str">
        <f>Hoja1!B716</f>
        <v>Clotilde del Osorio</v>
      </c>
      <c r="C716" s="3" t="str">
        <f>IF(COUNTA(Hoja1!A716:I716)=0,"Sí","No")</f>
        <v>No</v>
      </c>
      <c r="D716" s="3" t="str">
        <f>IF(COUNTBLANK(Hoja1!A716:I716)&gt;0,"Sí","No")</f>
        <v>No</v>
      </c>
      <c r="E716" s="3" t="str">
        <f>IF(COUNTIF(Hoja1!$A$2:$A$1000,Hoja1!A716)&gt;1,"Sí","No")</f>
        <v>No</v>
      </c>
      <c r="F716" s="3" t="str">
        <f>IF(COUNTIF(Hoja1!$G$2:$G$1000,Hoja1!G716)&gt;1,"Sí","No")</f>
        <v>No</v>
      </c>
      <c r="G716" s="3" t="str">
        <f>IF(OR(ISERROR(FIND("@",Hoja1!G716)),ISERROR(FIND(".",Hoja1!G716,FIND("@",Hoja1!G716)))),"Sí","No")</f>
        <v>No</v>
      </c>
      <c r="H716" s="3" t="str">
        <f>IF(LEN(Hoja1!F716)&lt;&gt;14,"Sí","No")</f>
        <v>No</v>
      </c>
      <c r="I716" s="3" t="str">
        <f>IF(Hoja1!C716&gt;Hoja1!H716,"Sí","No")</f>
        <v>No</v>
      </c>
      <c r="J716" s="3" t="str">
        <f>IF(SUMPRODUCT(--ISNUMBER(SEARCH({"0";"1";"2";"3";"4";"5";"6";"7";"8";"9"},Hoja1!D716)))=0,"Sí","No")</f>
        <v>Sí</v>
      </c>
      <c r="K716" s="3" t="str">
        <f t="shared" si="11"/>
        <v>Sí</v>
      </c>
    </row>
    <row r="717" spans="1:11" ht="15" customHeight="1" x14ac:dyDescent="0.3">
      <c r="A717" s="3" t="str">
        <f>Hoja1!A717</f>
        <v>C0716</v>
      </c>
      <c r="B717" s="3" t="str">
        <f>Hoja1!B717</f>
        <v>Alcides Tello Fernandez</v>
      </c>
      <c r="C717" s="3" t="str">
        <f>IF(COUNTA(Hoja1!A717:I717)=0,"Sí","No")</f>
        <v>No</v>
      </c>
      <c r="D717" s="3" t="str">
        <f>IF(COUNTBLANK(Hoja1!A717:I717)&gt;0,"Sí","No")</f>
        <v>No</v>
      </c>
      <c r="E717" s="3" t="str">
        <f>IF(COUNTIF(Hoja1!$A$2:$A$1000,Hoja1!A717)&gt;1,"Sí","No")</f>
        <v>No</v>
      </c>
      <c r="F717" s="3" t="str">
        <f>IF(COUNTIF(Hoja1!$G$2:$G$1000,Hoja1!G717)&gt;1,"Sí","No")</f>
        <v>No</v>
      </c>
      <c r="G717" s="3" t="str">
        <f>IF(OR(ISERROR(FIND("@",Hoja1!G717)),ISERROR(FIND(".",Hoja1!G717,FIND("@",Hoja1!G717)))),"Sí","No")</f>
        <v>No</v>
      </c>
      <c r="H717" s="3" t="str">
        <f>IF(LEN(Hoja1!F717)&lt;&gt;14,"Sí","No")</f>
        <v>No</v>
      </c>
      <c r="I717" s="3" t="str">
        <f>IF(Hoja1!C717&gt;Hoja1!H717,"Sí","No")</f>
        <v>No</v>
      </c>
      <c r="J717" s="3" t="str">
        <f>IF(SUMPRODUCT(--ISNUMBER(SEARCH({"0";"1";"2";"3";"4";"5";"6";"7";"8";"9"},Hoja1!D717)))=0,"Sí","No")</f>
        <v>No</v>
      </c>
      <c r="K717" s="3" t="str">
        <f t="shared" si="11"/>
        <v>No</v>
      </c>
    </row>
    <row r="718" spans="1:11" ht="15" customHeight="1" x14ac:dyDescent="0.3">
      <c r="A718" s="3" t="str">
        <f>Hoja1!A718</f>
        <v>C0717</v>
      </c>
      <c r="B718" s="3" t="str">
        <f>Hoja1!B718</f>
        <v>Sigfrido Simó Benavent</v>
      </c>
      <c r="C718" s="3" t="str">
        <f>IF(COUNTA(Hoja1!A718:I718)=0,"Sí","No")</f>
        <v>No</v>
      </c>
      <c r="D718" s="3" t="str">
        <f>IF(COUNTBLANK(Hoja1!A718:I718)&gt;0,"Sí","No")</f>
        <v>No</v>
      </c>
      <c r="E718" s="3" t="str">
        <f>IF(COUNTIF(Hoja1!$A$2:$A$1000,Hoja1!A718)&gt;1,"Sí","No")</f>
        <v>No</v>
      </c>
      <c r="F718" s="3" t="str">
        <f>IF(COUNTIF(Hoja1!$G$2:$G$1000,Hoja1!G718)&gt;1,"Sí","No")</f>
        <v>No</v>
      </c>
      <c r="G718" s="3" t="str">
        <f>IF(OR(ISERROR(FIND("@",Hoja1!G718)),ISERROR(FIND(".",Hoja1!G718,FIND("@",Hoja1!G718)))),"Sí","No")</f>
        <v>No</v>
      </c>
      <c r="H718" s="3" t="str">
        <f>IF(LEN(Hoja1!F718)&lt;&gt;14,"Sí","No")</f>
        <v>No</v>
      </c>
      <c r="I718" s="3" t="str">
        <f>IF(Hoja1!C718&gt;Hoja1!H718,"Sí","No")</f>
        <v>No</v>
      </c>
      <c r="J718" s="3" t="str">
        <f>IF(SUMPRODUCT(--ISNUMBER(SEARCH({"0";"1";"2";"3";"4";"5";"6";"7";"8";"9"},Hoja1!D718)))=0,"Sí","No")</f>
        <v>No</v>
      </c>
      <c r="K718" s="3" t="str">
        <f t="shared" si="11"/>
        <v>No</v>
      </c>
    </row>
    <row r="719" spans="1:11" ht="15" customHeight="1" x14ac:dyDescent="0.3">
      <c r="A719" s="3" t="str">
        <f>Hoja1!A719</f>
        <v>C0718</v>
      </c>
      <c r="B719" s="3" t="str">
        <f>Hoja1!B719</f>
        <v>Nerea Leon Puga</v>
      </c>
      <c r="C719" s="3" t="str">
        <f>IF(COUNTA(Hoja1!A719:I719)=0,"Sí","No")</f>
        <v>No</v>
      </c>
      <c r="D719" s="3" t="str">
        <f>IF(COUNTBLANK(Hoja1!A719:I719)&gt;0,"Sí","No")</f>
        <v>No</v>
      </c>
      <c r="E719" s="3" t="str">
        <f>IF(COUNTIF(Hoja1!$A$2:$A$1000,Hoja1!A719)&gt;1,"Sí","No")</f>
        <v>No</v>
      </c>
      <c r="F719" s="3" t="str">
        <f>IF(COUNTIF(Hoja1!$G$2:$G$1000,Hoja1!G719)&gt;1,"Sí","No")</f>
        <v>No</v>
      </c>
      <c r="G719" s="3" t="str">
        <f>IF(OR(ISERROR(FIND("@",Hoja1!G719)),ISERROR(FIND(".",Hoja1!G719,FIND("@",Hoja1!G719)))),"Sí","No")</f>
        <v>No</v>
      </c>
      <c r="H719" s="3" t="str">
        <f>IF(LEN(Hoja1!F719)&lt;&gt;14,"Sí","No")</f>
        <v>No</v>
      </c>
      <c r="I719" s="3" t="str">
        <f>IF(Hoja1!C719&gt;Hoja1!H719,"Sí","No")</f>
        <v>No</v>
      </c>
      <c r="J719" s="3" t="str">
        <f>IF(SUMPRODUCT(--ISNUMBER(SEARCH({"0";"1";"2";"3";"4";"5";"6";"7";"8";"9"},Hoja1!D719)))=0,"Sí","No")</f>
        <v>Sí</v>
      </c>
      <c r="K719" s="3" t="str">
        <f t="shared" si="11"/>
        <v>Sí</v>
      </c>
    </row>
    <row r="720" spans="1:11" ht="15" customHeight="1" x14ac:dyDescent="0.3">
      <c r="A720" s="3" t="str">
        <f>Hoja1!A720</f>
        <v>C0719</v>
      </c>
      <c r="B720" s="3" t="str">
        <f>Hoja1!B720</f>
        <v>David Ballesteros-Francisco</v>
      </c>
      <c r="C720" s="3" t="str">
        <f>IF(COUNTA(Hoja1!A720:I720)=0,"Sí","No")</f>
        <v>No</v>
      </c>
      <c r="D720" s="3" t="str">
        <f>IF(COUNTBLANK(Hoja1!A720:I720)&gt;0,"Sí","No")</f>
        <v>No</v>
      </c>
      <c r="E720" s="3" t="str">
        <f>IF(COUNTIF(Hoja1!$A$2:$A$1000,Hoja1!A720)&gt;1,"Sí","No")</f>
        <v>No</v>
      </c>
      <c r="F720" s="3" t="str">
        <f>IF(COUNTIF(Hoja1!$G$2:$G$1000,Hoja1!G720)&gt;1,"Sí","No")</f>
        <v>No</v>
      </c>
      <c r="G720" s="3" t="str">
        <f>IF(OR(ISERROR(FIND("@",Hoja1!G720)),ISERROR(FIND(".",Hoja1!G720,FIND("@",Hoja1!G720)))),"Sí","No")</f>
        <v>No</v>
      </c>
      <c r="H720" s="3" t="str">
        <f>IF(LEN(Hoja1!F720)&lt;&gt;14,"Sí","No")</f>
        <v>No</v>
      </c>
      <c r="I720" s="3" t="str">
        <f>IF(Hoja1!C720&gt;Hoja1!H720,"Sí","No")</f>
        <v>No</v>
      </c>
      <c r="J720" s="3" t="str">
        <f>IF(SUMPRODUCT(--ISNUMBER(SEARCH({"0";"1";"2";"3";"4";"5";"6";"7";"8";"9"},Hoja1!D720)))=0,"Sí","No")</f>
        <v>No</v>
      </c>
      <c r="K720" s="3" t="str">
        <f t="shared" si="11"/>
        <v>No</v>
      </c>
    </row>
    <row r="721" spans="1:11" ht="15" customHeight="1" x14ac:dyDescent="0.3">
      <c r="A721" s="3" t="str">
        <f>Hoja1!A721</f>
        <v>C0720</v>
      </c>
      <c r="B721" s="3" t="str">
        <f>Hoja1!B721</f>
        <v>Eva Araceli Marcos Cerdán</v>
      </c>
      <c r="C721" s="3" t="str">
        <f>IF(COUNTA(Hoja1!A721:I721)=0,"Sí","No")</f>
        <v>No</v>
      </c>
      <c r="D721" s="3" t="str">
        <f>IF(COUNTBLANK(Hoja1!A721:I721)&gt;0,"Sí","No")</f>
        <v>No</v>
      </c>
      <c r="E721" s="3" t="str">
        <f>IF(COUNTIF(Hoja1!$A$2:$A$1000,Hoja1!A721)&gt;1,"Sí","No")</f>
        <v>No</v>
      </c>
      <c r="F721" s="3" t="str">
        <f>IF(COUNTIF(Hoja1!$G$2:$G$1000,Hoja1!G721)&gt;1,"Sí","No")</f>
        <v>No</v>
      </c>
      <c r="G721" s="3" t="str">
        <f>IF(OR(ISERROR(FIND("@",Hoja1!G721)),ISERROR(FIND(".",Hoja1!G721,FIND("@",Hoja1!G721)))),"Sí","No")</f>
        <v>No</v>
      </c>
      <c r="H721" s="3" t="str">
        <f>IF(LEN(Hoja1!F721)&lt;&gt;14,"Sí","No")</f>
        <v>No</v>
      </c>
      <c r="I721" s="3" t="str">
        <f>IF(Hoja1!C721&gt;Hoja1!H721,"Sí","No")</f>
        <v>No</v>
      </c>
      <c r="J721" s="3" t="str">
        <f>IF(SUMPRODUCT(--ISNUMBER(SEARCH({"0";"1";"2";"3";"4";"5";"6";"7";"8";"9"},Hoja1!D721)))=0,"Sí","No")</f>
        <v>No</v>
      </c>
      <c r="K721" s="3" t="str">
        <f t="shared" si="11"/>
        <v>No</v>
      </c>
    </row>
    <row r="722" spans="1:11" ht="15" customHeight="1" x14ac:dyDescent="0.3">
      <c r="A722" s="3" t="str">
        <f>Hoja1!A722</f>
        <v>C0721</v>
      </c>
      <c r="B722" s="3" t="str">
        <f>Hoja1!B722</f>
        <v>Tecla Conesa</v>
      </c>
      <c r="C722" s="3" t="str">
        <f>IF(COUNTA(Hoja1!A722:I722)=0,"Sí","No")</f>
        <v>No</v>
      </c>
      <c r="D722" s="3" t="str">
        <f>IF(COUNTBLANK(Hoja1!A722:I722)&gt;0,"Sí","No")</f>
        <v>No</v>
      </c>
      <c r="E722" s="3" t="str">
        <f>IF(COUNTIF(Hoja1!$A$2:$A$1000,Hoja1!A722)&gt;1,"Sí","No")</f>
        <v>No</v>
      </c>
      <c r="F722" s="3" t="str">
        <f>IF(COUNTIF(Hoja1!$G$2:$G$1000,Hoja1!G722)&gt;1,"Sí","No")</f>
        <v>No</v>
      </c>
      <c r="G722" s="3" t="str">
        <f>IF(OR(ISERROR(FIND("@",Hoja1!G722)),ISERROR(FIND(".",Hoja1!G722,FIND("@",Hoja1!G722)))),"Sí","No")</f>
        <v>No</v>
      </c>
      <c r="H722" s="3" t="str">
        <f>IF(LEN(Hoja1!F722)&lt;&gt;14,"Sí","No")</f>
        <v>No</v>
      </c>
      <c r="I722" s="3" t="str">
        <f>IF(Hoja1!C722&gt;Hoja1!H722,"Sí","No")</f>
        <v>No</v>
      </c>
      <c r="J722" s="3" t="str">
        <f>IF(SUMPRODUCT(--ISNUMBER(SEARCH({"0";"1";"2";"3";"4";"5";"6";"7";"8";"9"},Hoja1!D722)))=0,"Sí","No")</f>
        <v>Sí</v>
      </c>
      <c r="K722" s="3" t="str">
        <f t="shared" si="11"/>
        <v>Sí</v>
      </c>
    </row>
    <row r="723" spans="1:11" ht="15" customHeight="1" x14ac:dyDescent="0.3">
      <c r="A723" s="3" t="str">
        <f>Hoja1!A723</f>
        <v>C0722</v>
      </c>
      <c r="B723" s="3" t="str">
        <f>Hoja1!B723</f>
        <v>Mayte Isern Gárate</v>
      </c>
      <c r="C723" s="3" t="str">
        <f>IF(COUNTA(Hoja1!A723:I723)=0,"Sí","No")</f>
        <v>No</v>
      </c>
      <c r="D723" s="3" t="str">
        <f>IF(COUNTBLANK(Hoja1!A723:I723)&gt;0,"Sí","No")</f>
        <v>No</v>
      </c>
      <c r="E723" s="3" t="str">
        <f>IF(COUNTIF(Hoja1!$A$2:$A$1000,Hoja1!A723)&gt;1,"Sí","No")</f>
        <v>No</v>
      </c>
      <c r="F723" s="3" t="str">
        <f>IF(COUNTIF(Hoja1!$G$2:$G$1000,Hoja1!G723)&gt;1,"Sí","No")</f>
        <v>No</v>
      </c>
      <c r="G723" s="3" t="str">
        <f>IF(OR(ISERROR(FIND("@",Hoja1!G723)),ISERROR(FIND(".",Hoja1!G723,FIND("@",Hoja1!G723)))),"Sí","No")</f>
        <v>No</v>
      </c>
      <c r="H723" s="3" t="str">
        <f>IF(LEN(Hoja1!F723)&lt;&gt;14,"Sí","No")</f>
        <v>No</v>
      </c>
      <c r="I723" s="3" t="str">
        <f>IF(Hoja1!C723&gt;Hoja1!H723,"Sí","No")</f>
        <v>No</v>
      </c>
      <c r="J723" s="3" t="str">
        <f>IF(SUMPRODUCT(--ISNUMBER(SEARCH({"0";"1";"2";"3";"4";"5";"6";"7";"8";"9"},Hoja1!D723)))=0,"Sí","No")</f>
        <v>No</v>
      </c>
      <c r="K723" s="3" t="str">
        <f t="shared" si="11"/>
        <v>No</v>
      </c>
    </row>
    <row r="724" spans="1:11" ht="15" customHeight="1" x14ac:dyDescent="0.3">
      <c r="A724" s="3" t="str">
        <f>Hoja1!A724</f>
        <v>C0723</v>
      </c>
      <c r="B724" s="3" t="str">
        <f>Hoja1!B724</f>
        <v>Ignacio Bauzà-Torrens</v>
      </c>
      <c r="C724" s="3" t="str">
        <f>IF(COUNTA(Hoja1!A724:I724)=0,"Sí","No")</f>
        <v>No</v>
      </c>
      <c r="D724" s="3" t="str">
        <f>IF(COUNTBLANK(Hoja1!A724:I724)&gt;0,"Sí","No")</f>
        <v>No</v>
      </c>
      <c r="E724" s="3" t="str">
        <f>IF(COUNTIF(Hoja1!$A$2:$A$1000,Hoja1!A724)&gt;1,"Sí","No")</f>
        <v>No</v>
      </c>
      <c r="F724" s="3" t="str">
        <f>IF(COUNTIF(Hoja1!$G$2:$G$1000,Hoja1!G724)&gt;1,"Sí","No")</f>
        <v>No</v>
      </c>
      <c r="G724" s="3" t="str">
        <f>IF(OR(ISERROR(FIND("@",Hoja1!G724)),ISERROR(FIND(".",Hoja1!G724,FIND("@",Hoja1!G724)))),"Sí","No")</f>
        <v>No</v>
      </c>
      <c r="H724" s="3" t="str">
        <f>IF(LEN(Hoja1!F724)&lt;&gt;14,"Sí","No")</f>
        <v>No</v>
      </c>
      <c r="I724" s="3" t="str">
        <f>IF(Hoja1!C724&gt;Hoja1!H724,"Sí","No")</f>
        <v>No</v>
      </c>
      <c r="J724" s="3" t="str">
        <f>IF(SUMPRODUCT(--ISNUMBER(SEARCH({"0";"1";"2";"3";"4";"5";"6";"7";"8";"9"},Hoja1!D724)))=0,"Sí","No")</f>
        <v>No</v>
      </c>
      <c r="K724" s="3" t="str">
        <f t="shared" si="11"/>
        <v>No</v>
      </c>
    </row>
    <row r="725" spans="1:11" ht="15" customHeight="1" x14ac:dyDescent="0.3">
      <c r="A725" s="3" t="str">
        <f>Hoja1!A725</f>
        <v>C0724</v>
      </c>
      <c r="B725" s="3" t="str">
        <f>Hoja1!B725</f>
        <v>Amor Estrada-Querol</v>
      </c>
      <c r="C725" s="3" t="str">
        <f>IF(COUNTA(Hoja1!A725:I725)=0,"Sí","No")</f>
        <v>No</v>
      </c>
      <c r="D725" s="3" t="str">
        <f>IF(COUNTBLANK(Hoja1!A725:I725)&gt;0,"Sí","No")</f>
        <v>No</v>
      </c>
      <c r="E725" s="3" t="str">
        <f>IF(COUNTIF(Hoja1!$A$2:$A$1000,Hoja1!A725)&gt;1,"Sí","No")</f>
        <v>No</v>
      </c>
      <c r="F725" s="3" t="str">
        <f>IF(COUNTIF(Hoja1!$G$2:$G$1000,Hoja1!G725)&gt;1,"Sí","No")</f>
        <v>No</v>
      </c>
      <c r="G725" s="3" t="str">
        <f>IF(OR(ISERROR(FIND("@",Hoja1!G725)),ISERROR(FIND(".",Hoja1!G725,FIND("@",Hoja1!G725)))),"Sí","No")</f>
        <v>No</v>
      </c>
      <c r="H725" s="3" t="str">
        <f>IF(LEN(Hoja1!F725)&lt;&gt;14,"Sí","No")</f>
        <v>No</v>
      </c>
      <c r="I725" s="3" t="str">
        <f>IF(Hoja1!C725&gt;Hoja1!H725,"Sí","No")</f>
        <v>No</v>
      </c>
      <c r="J725" s="3" t="str">
        <f>IF(SUMPRODUCT(--ISNUMBER(SEARCH({"0";"1";"2";"3";"4";"5";"6";"7";"8";"9"},Hoja1!D725)))=0,"Sí","No")</f>
        <v>Sí</v>
      </c>
      <c r="K725" s="3" t="str">
        <f t="shared" si="11"/>
        <v>Sí</v>
      </c>
    </row>
    <row r="726" spans="1:11" ht="15" customHeight="1" x14ac:dyDescent="0.3">
      <c r="A726" s="3" t="str">
        <f>Hoja1!A726</f>
        <v>C0725</v>
      </c>
      <c r="B726" s="3" t="str">
        <f>Hoja1!B726</f>
        <v>Gabino Aranda Godoy</v>
      </c>
      <c r="C726" s="3" t="str">
        <f>IF(COUNTA(Hoja1!A726:I726)=0,"Sí","No")</f>
        <v>No</v>
      </c>
      <c r="D726" s="3" t="str">
        <f>IF(COUNTBLANK(Hoja1!A726:I726)&gt;0,"Sí","No")</f>
        <v>No</v>
      </c>
      <c r="E726" s="3" t="str">
        <f>IF(COUNTIF(Hoja1!$A$2:$A$1000,Hoja1!A726)&gt;1,"Sí","No")</f>
        <v>No</v>
      </c>
      <c r="F726" s="3" t="str">
        <f>IF(COUNTIF(Hoja1!$G$2:$G$1000,Hoja1!G726)&gt;1,"Sí","No")</f>
        <v>No</v>
      </c>
      <c r="G726" s="3" t="str">
        <f>IF(OR(ISERROR(FIND("@",Hoja1!G726)),ISERROR(FIND(".",Hoja1!G726,FIND("@",Hoja1!G726)))),"Sí","No")</f>
        <v>No</v>
      </c>
      <c r="H726" s="3" t="str">
        <f>IF(LEN(Hoja1!F726)&lt;&gt;14,"Sí","No")</f>
        <v>No</v>
      </c>
      <c r="I726" s="3" t="str">
        <f>IF(Hoja1!C726&gt;Hoja1!H726,"Sí","No")</f>
        <v>No</v>
      </c>
      <c r="J726" s="3" t="str">
        <f>IF(SUMPRODUCT(--ISNUMBER(SEARCH({"0";"1";"2";"3";"4";"5";"6";"7";"8";"9"},Hoja1!D726)))=0,"Sí","No")</f>
        <v>No</v>
      </c>
      <c r="K726" s="3" t="str">
        <f t="shared" si="11"/>
        <v>No</v>
      </c>
    </row>
    <row r="727" spans="1:11" ht="15" customHeight="1" x14ac:dyDescent="0.3">
      <c r="A727" s="3" t="str">
        <f>Hoja1!A727</f>
        <v>C0726</v>
      </c>
      <c r="B727" s="3" t="str">
        <f>Hoja1!B727</f>
        <v>Gerónimo Asenjo</v>
      </c>
      <c r="C727" s="3" t="str">
        <f>IF(COUNTA(Hoja1!A727:I727)=0,"Sí","No")</f>
        <v>No</v>
      </c>
      <c r="D727" s="3" t="str">
        <f>IF(COUNTBLANK(Hoja1!A727:I727)&gt;0,"Sí","No")</f>
        <v>No</v>
      </c>
      <c r="E727" s="3" t="str">
        <f>IF(COUNTIF(Hoja1!$A$2:$A$1000,Hoja1!A727)&gt;1,"Sí","No")</f>
        <v>No</v>
      </c>
      <c r="F727" s="3" t="str">
        <f>IF(COUNTIF(Hoja1!$G$2:$G$1000,Hoja1!G727)&gt;1,"Sí","No")</f>
        <v>No</v>
      </c>
      <c r="G727" s="3" t="str">
        <f>IF(OR(ISERROR(FIND("@",Hoja1!G727)),ISERROR(FIND(".",Hoja1!G727,FIND("@",Hoja1!G727)))),"Sí","No")</f>
        <v>No</v>
      </c>
      <c r="H727" s="3" t="str">
        <f>IF(LEN(Hoja1!F727)&lt;&gt;14,"Sí","No")</f>
        <v>No</v>
      </c>
      <c r="I727" s="3" t="str">
        <f>IF(Hoja1!C727&gt;Hoja1!H727,"Sí","No")</f>
        <v>No</v>
      </c>
      <c r="J727" s="3" t="str">
        <f>IF(SUMPRODUCT(--ISNUMBER(SEARCH({"0";"1";"2";"3";"4";"5";"6";"7";"8";"9"},Hoja1!D727)))=0,"Sí","No")</f>
        <v>No</v>
      </c>
      <c r="K727" s="3" t="str">
        <f t="shared" si="11"/>
        <v>No</v>
      </c>
    </row>
    <row r="728" spans="1:11" ht="15" customHeight="1" x14ac:dyDescent="0.3">
      <c r="A728" s="3" t="str">
        <f>Hoja1!A728</f>
        <v>C0727</v>
      </c>
      <c r="B728" s="3" t="str">
        <f>Hoja1!B728</f>
        <v>Enrique Andreu Cueto</v>
      </c>
      <c r="C728" s="3" t="str">
        <f>IF(COUNTA(Hoja1!A728:I728)=0,"Sí","No")</f>
        <v>No</v>
      </c>
      <c r="D728" s="3" t="str">
        <f>IF(COUNTBLANK(Hoja1!A728:I728)&gt;0,"Sí","No")</f>
        <v>No</v>
      </c>
      <c r="E728" s="3" t="str">
        <f>IF(COUNTIF(Hoja1!$A$2:$A$1000,Hoja1!A728)&gt;1,"Sí","No")</f>
        <v>No</v>
      </c>
      <c r="F728" s="3" t="str">
        <f>IF(COUNTIF(Hoja1!$G$2:$G$1000,Hoja1!G728)&gt;1,"Sí","No")</f>
        <v>No</v>
      </c>
      <c r="G728" s="3" t="str">
        <f>IF(OR(ISERROR(FIND("@",Hoja1!G728)),ISERROR(FIND(".",Hoja1!G728,FIND("@",Hoja1!G728)))),"Sí","No")</f>
        <v>No</v>
      </c>
      <c r="H728" s="3" t="str">
        <f>IF(LEN(Hoja1!F728)&lt;&gt;14,"Sí","No")</f>
        <v>No</v>
      </c>
      <c r="I728" s="3" t="str">
        <f>IF(Hoja1!C728&gt;Hoja1!H728,"Sí","No")</f>
        <v>No</v>
      </c>
      <c r="J728" s="3" t="str">
        <f>IF(SUMPRODUCT(--ISNUMBER(SEARCH({"0";"1";"2";"3";"4";"5";"6";"7";"8";"9"},Hoja1!D728)))=0,"Sí","No")</f>
        <v>Sí</v>
      </c>
      <c r="K728" s="3" t="str">
        <f t="shared" si="11"/>
        <v>Sí</v>
      </c>
    </row>
    <row r="729" spans="1:11" ht="15" customHeight="1" x14ac:dyDescent="0.3">
      <c r="A729" s="3" t="str">
        <f>Hoja1!A729</f>
        <v>C0728</v>
      </c>
      <c r="B729" s="3" t="str">
        <f>Hoja1!B729</f>
        <v>Clara Cantón Farré</v>
      </c>
      <c r="C729" s="3" t="str">
        <f>IF(COUNTA(Hoja1!A729:I729)=0,"Sí","No")</f>
        <v>No</v>
      </c>
      <c r="D729" s="3" t="str">
        <f>IF(COUNTBLANK(Hoja1!A729:I729)&gt;0,"Sí","No")</f>
        <v>No</v>
      </c>
      <c r="E729" s="3" t="str">
        <f>IF(COUNTIF(Hoja1!$A$2:$A$1000,Hoja1!A729)&gt;1,"Sí","No")</f>
        <v>No</v>
      </c>
      <c r="F729" s="3" t="str">
        <f>IF(COUNTIF(Hoja1!$G$2:$G$1000,Hoja1!G729)&gt;1,"Sí","No")</f>
        <v>No</v>
      </c>
      <c r="G729" s="3" t="str">
        <f>IF(OR(ISERROR(FIND("@",Hoja1!G729)),ISERROR(FIND(".",Hoja1!G729,FIND("@",Hoja1!G729)))),"Sí","No")</f>
        <v>No</v>
      </c>
      <c r="H729" s="3" t="str">
        <f>IF(LEN(Hoja1!F729)&lt;&gt;14,"Sí","No")</f>
        <v>No</v>
      </c>
      <c r="I729" s="3" t="str">
        <f>IF(Hoja1!C729&gt;Hoja1!H729,"Sí","No")</f>
        <v>No</v>
      </c>
      <c r="J729" s="3" t="str">
        <f>IF(SUMPRODUCT(--ISNUMBER(SEARCH({"0";"1";"2";"3";"4";"5";"6";"7";"8";"9"},Hoja1!D729)))=0,"Sí","No")</f>
        <v>No</v>
      </c>
      <c r="K729" s="3" t="str">
        <f t="shared" si="11"/>
        <v>No</v>
      </c>
    </row>
    <row r="730" spans="1:11" ht="15" customHeight="1" x14ac:dyDescent="0.3">
      <c r="A730" s="3" t="str">
        <f>Hoja1!A730</f>
        <v>C0729</v>
      </c>
      <c r="B730" s="3" t="str">
        <f>Hoja1!B730</f>
        <v>Baudelio Asensio</v>
      </c>
      <c r="C730" s="3" t="str">
        <f>IF(COUNTA(Hoja1!A730:I730)=0,"Sí","No")</f>
        <v>No</v>
      </c>
      <c r="D730" s="3" t="str">
        <f>IF(COUNTBLANK(Hoja1!A730:I730)&gt;0,"Sí","No")</f>
        <v>No</v>
      </c>
      <c r="E730" s="3" t="str">
        <f>IF(COUNTIF(Hoja1!$A$2:$A$1000,Hoja1!A730)&gt;1,"Sí","No")</f>
        <v>No</v>
      </c>
      <c r="F730" s="3" t="str">
        <f>IF(COUNTIF(Hoja1!$G$2:$G$1000,Hoja1!G730)&gt;1,"Sí","No")</f>
        <v>No</v>
      </c>
      <c r="G730" s="3" t="str">
        <f>IF(OR(ISERROR(FIND("@",Hoja1!G730)),ISERROR(FIND(".",Hoja1!G730,FIND("@",Hoja1!G730)))),"Sí","No")</f>
        <v>No</v>
      </c>
      <c r="H730" s="3" t="str">
        <f>IF(LEN(Hoja1!F730)&lt;&gt;14,"Sí","No")</f>
        <v>No</v>
      </c>
      <c r="I730" s="3" t="str">
        <f>IF(Hoja1!C730&gt;Hoja1!H730,"Sí","No")</f>
        <v>No</v>
      </c>
      <c r="J730" s="3" t="str">
        <f>IF(SUMPRODUCT(--ISNUMBER(SEARCH({"0";"1";"2";"3";"4";"5";"6";"7";"8";"9"},Hoja1!D730)))=0,"Sí","No")</f>
        <v>No</v>
      </c>
      <c r="K730" s="3" t="str">
        <f t="shared" si="11"/>
        <v>No</v>
      </c>
    </row>
    <row r="731" spans="1:11" ht="15" customHeight="1" x14ac:dyDescent="0.3">
      <c r="A731" s="3" t="str">
        <f>Hoja1!A731</f>
        <v>C0730</v>
      </c>
      <c r="B731" s="3" t="str">
        <f>Hoja1!B731</f>
        <v>Pepita del Grau</v>
      </c>
      <c r="C731" s="3" t="str">
        <f>IF(COUNTA(Hoja1!A731:I731)=0,"Sí","No")</f>
        <v>No</v>
      </c>
      <c r="D731" s="3" t="str">
        <f>IF(COUNTBLANK(Hoja1!A731:I731)&gt;0,"Sí","No")</f>
        <v>No</v>
      </c>
      <c r="E731" s="3" t="str">
        <f>IF(COUNTIF(Hoja1!$A$2:$A$1000,Hoja1!A731)&gt;1,"Sí","No")</f>
        <v>No</v>
      </c>
      <c r="F731" s="3" t="str">
        <f>IF(COUNTIF(Hoja1!$G$2:$G$1000,Hoja1!G731)&gt;1,"Sí","No")</f>
        <v>No</v>
      </c>
      <c r="G731" s="3" t="str">
        <f>IF(OR(ISERROR(FIND("@",Hoja1!G731)),ISERROR(FIND(".",Hoja1!G731,FIND("@",Hoja1!G731)))),"Sí","No")</f>
        <v>No</v>
      </c>
      <c r="H731" s="3" t="str">
        <f>IF(LEN(Hoja1!F731)&lt;&gt;14,"Sí","No")</f>
        <v>No</v>
      </c>
      <c r="I731" s="3" t="str">
        <f>IF(Hoja1!C731&gt;Hoja1!H731,"Sí","No")</f>
        <v>No</v>
      </c>
      <c r="J731" s="3" t="str">
        <f>IF(SUMPRODUCT(--ISNUMBER(SEARCH({"0";"1";"2";"3";"4";"5";"6";"7";"8";"9"},Hoja1!D731)))=0,"Sí","No")</f>
        <v>Sí</v>
      </c>
      <c r="K731" s="3" t="str">
        <f t="shared" si="11"/>
        <v>Sí</v>
      </c>
    </row>
    <row r="732" spans="1:11" ht="15" customHeight="1" x14ac:dyDescent="0.3">
      <c r="A732" s="3" t="str">
        <f>Hoja1!A732</f>
        <v>C0731</v>
      </c>
      <c r="B732" s="3" t="str">
        <f>Hoja1!B732</f>
        <v>Alba Batalla Valls</v>
      </c>
      <c r="C732" s="3" t="str">
        <f>IF(COUNTA(Hoja1!A732:I732)=0,"Sí","No")</f>
        <v>No</v>
      </c>
      <c r="D732" s="3" t="str">
        <f>IF(COUNTBLANK(Hoja1!A732:I732)&gt;0,"Sí","No")</f>
        <v>No</v>
      </c>
      <c r="E732" s="3" t="str">
        <f>IF(COUNTIF(Hoja1!$A$2:$A$1000,Hoja1!A732)&gt;1,"Sí","No")</f>
        <v>No</v>
      </c>
      <c r="F732" s="3" t="str">
        <f>IF(COUNTIF(Hoja1!$G$2:$G$1000,Hoja1!G732)&gt;1,"Sí","No")</f>
        <v>No</v>
      </c>
      <c r="G732" s="3" t="str">
        <f>IF(OR(ISERROR(FIND("@",Hoja1!G732)),ISERROR(FIND(".",Hoja1!G732,FIND("@",Hoja1!G732)))),"Sí","No")</f>
        <v>No</v>
      </c>
      <c r="H732" s="3" t="str">
        <f>IF(LEN(Hoja1!F732)&lt;&gt;14,"Sí","No")</f>
        <v>No</v>
      </c>
      <c r="I732" s="3" t="str">
        <f>IF(Hoja1!C732&gt;Hoja1!H732,"Sí","No")</f>
        <v>No</v>
      </c>
      <c r="J732" s="3" t="str">
        <f>IF(SUMPRODUCT(--ISNUMBER(SEARCH({"0";"1";"2";"3";"4";"5";"6";"7";"8";"9"},Hoja1!D732)))=0,"Sí","No")</f>
        <v>No</v>
      </c>
      <c r="K732" s="3" t="str">
        <f t="shared" si="11"/>
        <v>No</v>
      </c>
    </row>
    <row r="733" spans="1:11" ht="15" customHeight="1" x14ac:dyDescent="0.3">
      <c r="A733" s="3" t="str">
        <f>Hoja1!A733</f>
        <v>C0732</v>
      </c>
      <c r="B733" s="3" t="str">
        <f>Hoja1!B733</f>
        <v>Bernardino Patiño Aguado</v>
      </c>
      <c r="C733" s="3" t="str">
        <f>IF(COUNTA(Hoja1!A733:I733)=0,"Sí","No")</f>
        <v>No</v>
      </c>
      <c r="D733" s="3" t="str">
        <f>IF(COUNTBLANK(Hoja1!A733:I733)&gt;0,"Sí","No")</f>
        <v>No</v>
      </c>
      <c r="E733" s="3" t="str">
        <f>IF(COUNTIF(Hoja1!$A$2:$A$1000,Hoja1!A733)&gt;1,"Sí","No")</f>
        <v>No</v>
      </c>
      <c r="F733" s="3" t="str">
        <f>IF(COUNTIF(Hoja1!$G$2:$G$1000,Hoja1!G733)&gt;1,"Sí","No")</f>
        <v>No</v>
      </c>
      <c r="G733" s="3" t="str">
        <f>IF(OR(ISERROR(FIND("@",Hoja1!G733)),ISERROR(FIND(".",Hoja1!G733,FIND("@",Hoja1!G733)))),"Sí","No")</f>
        <v>No</v>
      </c>
      <c r="H733" s="3" t="str">
        <f>IF(LEN(Hoja1!F733)&lt;&gt;14,"Sí","No")</f>
        <v>No</v>
      </c>
      <c r="I733" s="3" t="str">
        <f>IF(Hoja1!C733&gt;Hoja1!H733,"Sí","No")</f>
        <v>No</v>
      </c>
      <c r="J733" s="3" t="str">
        <f>IF(SUMPRODUCT(--ISNUMBER(SEARCH({"0";"1";"2";"3";"4";"5";"6";"7";"8";"9"},Hoja1!D733)))=0,"Sí","No")</f>
        <v>No</v>
      </c>
      <c r="K733" s="3" t="str">
        <f t="shared" si="11"/>
        <v>No</v>
      </c>
    </row>
    <row r="734" spans="1:11" ht="15" customHeight="1" x14ac:dyDescent="0.3">
      <c r="A734" s="3" t="str">
        <f>Hoja1!A734</f>
        <v>C0733</v>
      </c>
      <c r="B734" s="3" t="str">
        <f>Hoja1!B734</f>
        <v>Esteban Vaquero Dominguez</v>
      </c>
      <c r="C734" s="3" t="str">
        <f>IF(COUNTA(Hoja1!A734:I734)=0,"Sí","No")</f>
        <v>No</v>
      </c>
      <c r="D734" s="3" t="str">
        <f>IF(COUNTBLANK(Hoja1!A734:I734)&gt;0,"Sí","No")</f>
        <v>No</v>
      </c>
      <c r="E734" s="3" t="str">
        <f>IF(COUNTIF(Hoja1!$A$2:$A$1000,Hoja1!A734)&gt;1,"Sí","No")</f>
        <v>No</v>
      </c>
      <c r="F734" s="3" t="str">
        <f>IF(COUNTIF(Hoja1!$G$2:$G$1000,Hoja1!G734)&gt;1,"Sí","No")</f>
        <v>No</v>
      </c>
      <c r="G734" s="3" t="str">
        <f>IF(OR(ISERROR(FIND("@",Hoja1!G734)),ISERROR(FIND(".",Hoja1!G734,FIND("@",Hoja1!G734)))),"Sí","No")</f>
        <v>No</v>
      </c>
      <c r="H734" s="3" t="str">
        <f>IF(LEN(Hoja1!F734)&lt;&gt;14,"Sí","No")</f>
        <v>No</v>
      </c>
      <c r="I734" s="3" t="str">
        <f>IF(Hoja1!C734&gt;Hoja1!H734,"Sí","No")</f>
        <v>No</v>
      </c>
      <c r="J734" s="3" t="str">
        <f>IF(SUMPRODUCT(--ISNUMBER(SEARCH({"0";"1";"2";"3";"4";"5";"6";"7";"8";"9"},Hoja1!D734)))=0,"Sí","No")</f>
        <v>Sí</v>
      </c>
      <c r="K734" s="3" t="str">
        <f t="shared" si="11"/>
        <v>Sí</v>
      </c>
    </row>
    <row r="735" spans="1:11" ht="15" customHeight="1" x14ac:dyDescent="0.3">
      <c r="A735" s="3" t="str">
        <f>Hoja1!A735</f>
        <v>C0734</v>
      </c>
      <c r="B735" s="3" t="str">
        <f>Hoja1!B735</f>
        <v>Anacleto Tomás Torrecilla</v>
      </c>
      <c r="C735" s="3" t="str">
        <f>IF(COUNTA(Hoja1!A735:I735)=0,"Sí","No")</f>
        <v>No</v>
      </c>
      <c r="D735" s="3" t="str">
        <f>IF(COUNTBLANK(Hoja1!A735:I735)&gt;0,"Sí","No")</f>
        <v>No</v>
      </c>
      <c r="E735" s="3" t="str">
        <f>IF(COUNTIF(Hoja1!$A$2:$A$1000,Hoja1!A735)&gt;1,"Sí","No")</f>
        <v>No</v>
      </c>
      <c r="F735" s="3" t="str">
        <f>IF(COUNTIF(Hoja1!$G$2:$G$1000,Hoja1!G735)&gt;1,"Sí","No")</f>
        <v>No</v>
      </c>
      <c r="G735" s="3" t="str">
        <f>IF(OR(ISERROR(FIND("@",Hoja1!G735)),ISERROR(FIND(".",Hoja1!G735,FIND("@",Hoja1!G735)))),"Sí","No")</f>
        <v>No</v>
      </c>
      <c r="H735" s="3" t="str">
        <f>IF(LEN(Hoja1!F735)&lt;&gt;14,"Sí","No")</f>
        <v>No</v>
      </c>
      <c r="I735" s="3" t="str">
        <f>IF(Hoja1!C735&gt;Hoja1!H735,"Sí","No")</f>
        <v>No</v>
      </c>
      <c r="J735" s="3" t="str">
        <f>IF(SUMPRODUCT(--ISNUMBER(SEARCH({"0";"1";"2";"3";"4";"5";"6";"7";"8";"9"},Hoja1!D735)))=0,"Sí","No")</f>
        <v>No</v>
      </c>
      <c r="K735" s="3" t="str">
        <f t="shared" si="11"/>
        <v>No</v>
      </c>
    </row>
    <row r="736" spans="1:11" ht="15" customHeight="1" x14ac:dyDescent="0.3">
      <c r="A736" s="3" t="str">
        <f>Hoja1!A736</f>
        <v>C0735</v>
      </c>
      <c r="B736" s="3" t="str">
        <f>Hoja1!B736</f>
        <v>Severino Nicolau Vizcaíno</v>
      </c>
      <c r="C736" s="3" t="str">
        <f>IF(COUNTA(Hoja1!A736:I736)=0,"Sí","No")</f>
        <v>No</v>
      </c>
      <c r="D736" s="3" t="str">
        <f>IF(COUNTBLANK(Hoja1!A736:I736)&gt;0,"Sí","No")</f>
        <v>No</v>
      </c>
      <c r="E736" s="3" t="str">
        <f>IF(COUNTIF(Hoja1!$A$2:$A$1000,Hoja1!A736)&gt;1,"Sí","No")</f>
        <v>No</v>
      </c>
      <c r="F736" s="3" t="str">
        <f>IF(COUNTIF(Hoja1!$G$2:$G$1000,Hoja1!G736)&gt;1,"Sí","No")</f>
        <v>No</v>
      </c>
      <c r="G736" s="3" t="str">
        <f>IF(OR(ISERROR(FIND("@",Hoja1!G736)),ISERROR(FIND(".",Hoja1!G736,FIND("@",Hoja1!G736)))),"Sí","No")</f>
        <v>No</v>
      </c>
      <c r="H736" s="3" t="str">
        <f>IF(LEN(Hoja1!F736)&lt;&gt;14,"Sí","No")</f>
        <v>No</v>
      </c>
      <c r="I736" s="3" t="str">
        <f>IF(Hoja1!C736&gt;Hoja1!H736,"Sí","No")</f>
        <v>No</v>
      </c>
      <c r="J736" s="3" t="str">
        <f>IF(SUMPRODUCT(--ISNUMBER(SEARCH({"0";"1";"2";"3";"4";"5";"6";"7";"8";"9"},Hoja1!D736)))=0,"Sí","No")</f>
        <v>No</v>
      </c>
      <c r="K736" s="3" t="str">
        <f t="shared" si="11"/>
        <v>No</v>
      </c>
    </row>
    <row r="737" spans="1:11" ht="15" customHeight="1" x14ac:dyDescent="0.3">
      <c r="A737" s="3" t="str">
        <f>Hoja1!A737</f>
        <v>C0736</v>
      </c>
      <c r="B737" s="3" t="str">
        <f>Hoja1!B737</f>
        <v>Corona Feijoo Pi</v>
      </c>
      <c r="C737" s="3" t="str">
        <f>IF(COUNTA(Hoja1!A737:I737)=0,"Sí","No")</f>
        <v>No</v>
      </c>
      <c r="D737" s="3" t="str">
        <f>IF(COUNTBLANK(Hoja1!A737:I737)&gt;0,"Sí","No")</f>
        <v>No</v>
      </c>
      <c r="E737" s="3" t="str">
        <f>IF(COUNTIF(Hoja1!$A$2:$A$1000,Hoja1!A737)&gt;1,"Sí","No")</f>
        <v>No</v>
      </c>
      <c r="F737" s="3" t="str">
        <f>IF(COUNTIF(Hoja1!$G$2:$G$1000,Hoja1!G737)&gt;1,"Sí","No")</f>
        <v>Sí</v>
      </c>
      <c r="G737" s="3" t="str">
        <f>IF(OR(ISERROR(FIND("@",Hoja1!G737)),ISERROR(FIND(".",Hoja1!G737,FIND("@",Hoja1!G737)))),"Sí","No")</f>
        <v>No</v>
      </c>
      <c r="H737" s="3" t="str">
        <f>IF(LEN(Hoja1!F737)&lt;&gt;14,"Sí","No")</f>
        <v>No</v>
      </c>
      <c r="I737" s="3" t="str">
        <f>IF(Hoja1!C737&gt;Hoja1!H737,"Sí","No")</f>
        <v>No</v>
      </c>
      <c r="J737" s="3" t="str">
        <f>IF(SUMPRODUCT(--ISNUMBER(SEARCH({"0";"1";"2";"3";"4";"5";"6";"7";"8";"9"},Hoja1!D737)))=0,"Sí","No")</f>
        <v>Sí</v>
      </c>
      <c r="K737" s="3" t="str">
        <f t="shared" si="11"/>
        <v>Sí</v>
      </c>
    </row>
    <row r="738" spans="1:11" ht="15" customHeight="1" x14ac:dyDescent="0.3">
      <c r="A738" s="3" t="str">
        <f>Hoja1!A738</f>
        <v>C0737</v>
      </c>
      <c r="B738" s="3" t="str">
        <f>Hoja1!B738</f>
        <v>Rafaela Hurtado Reguera</v>
      </c>
      <c r="C738" s="3" t="str">
        <f>IF(COUNTA(Hoja1!A738:I738)=0,"Sí","No")</f>
        <v>No</v>
      </c>
      <c r="D738" s="3" t="str">
        <f>IF(COUNTBLANK(Hoja1!A738:I738)&gt;0,"Sí","No")</f>
        <v>No</v>
      </c>
      <c r="E738" s="3" t="str">
        <f>IF(COUNTIF(Hoja1!$A$2:$A$1000,Hoja1!A738)&gt;1,"Sí","No")</f>
        <v>No</v>
      </c>
      <c r="F738" s="3" t="str">
        <f>IF(COUNTIF(Hoja1!$G$2:$G$1000,Hoja1!G738)&gt;1,"Sí","No")</f>
        <v>No</v>
      </c>
      <c r="G738" s="3" t="str">
        <f>IF(OR(ISERROR(FIND("@",Hoja1!G738)),ISERROR(FIND(".",Hoja1!G738,FIND("@",Hoja1!G738)))),"Sí","No")</f>
        <v>No</v>
      </c>
      <c r="H738" s="3" t="str">
        <f>IF(LEN(Hoja1!F738)&lt;&gt;14,"Sí","No")</f>
        <v>No</v>
      </c>
      <c r="I738" s="3" t="str">
        <f>IF(Hoja1!C738&gt;Hoja1!H738,"Sí","No")</f>
        <v>No</v>
      </c>
      <c r="J738" s="3" t="str">
        <f>IF(SUMPRODUCT(--ISNUMBER(SEARCH({"0";"1";"2";"3";"4";"5";"6";"7";"8";"9"},Hoja1!D738)))=0,"Sí","No")</f>
        <v>No</v>
      </c>
      <c r="K738" s="3" t="str">
        <f t="shared" si="11"/>
        <v>No</v>
      </c>
    </row>
    <row r="739" spans="1:11" ht="15" customHeight="1" x14ac:dyDescent="0.3">
      <c r="A739" s="3" t="str">
        <f>Hoja1!A739</f>
        <v>C0738</v>
      </c>
      <c r="B739" s="3" t="str">
        <f>Hoja1!B739</f>
        <v>Zaira Calderón Ariño</v>
      </c>
      <c r="C739" s="3" t="str">
        <f>IF(COUNTA(Hoja1!A739:I739)=0,"Sí","No")</f>
        <v>No</v>
      </c>
      <c r="D739" s="3" t="str">
        <f>IF(COUNTBLANK(Hoja1!A739:I739)&gt;0,"Sí","No")</f>
        <v>No</v>
      </c>
      <c r="E739" s="3" t="str">
        <f>IF(COUNTIF(Hoja1!$A$2:$A$1000,Hoja1!A739)&gt;1,"Sí","No")</f>
        <v>No</v>
      </c>
      <c r="F739" s="3" t="str">
        <f>IF(COUNTIF(Hoja1!$G$2:$G$1000,Hoja1!G739)&gt;1,"Sí","No")</f>
        <v>No</v>
      </c>
      <c r="G739" s="3" t="str">
        <f>IF(OR(ISERROR(FIND("@",Hoja1!G739)),ISERROR(FIND(".",Hoja1!G739,FIND("@",Hoja1!G739)))),"Sí","No")</f>
        <v>No</v>
      </c>
      <c r="H739" s="3" t="str">
        <f>IF(LEN(Hoja1!F739)&lt;&gt;14,"Sí","No")</f>
        <v>No</v>
      </c>
      <c r="I739" s="3" t="str">
        <f>IF(Hoja1!C739&gt;Hoja1!H739,"Sí","No")</f>
        <v>No</v>
      </c>
      <c r="J739" s="3" t="str">
        <f>IF(SUMPRODUCT(--ISNUMBER(SEARCH({"0";"1";"2";"3";"4";"5";"6";"7";"8";"9"},Hoja1!D739)))=0,"Sí","No")</f>
        <v>No</v>
      </c>
      <c r="K739" s="3" t="str">
        <f t="shared" si="11"/>
        <v>No</v>
      </c>
    </row>
    <row r="740" spans="1:11" ht="15" customHeight="1" x14ac:dyDescent="0.3">
      <c r="A740" s="3" t="str">
        <f>Hoja1!A740</f>
        <v>C0739</v>
      </c>
      <c r="B740" s="3" t="str">
        <f>Hoja1!B740</f>
        <v>Aníbal Acero</v>
      </c>
      <c r="C740" s="3" t="str">
        <f>IF(COUNTA(Hoja1!A740:I740)=0,"Sí","No")</f>
        <v>No</v>
      </c>
      <c r="D740" s="3" t="str">
        <f>IF(COUNTBLANK(Hoja1!A740:I740)&gt;0,"Sí","No")</f>
        <v>No</v>
      </c>
      <c r="E740" s="3" t="str">
        <f>IF(COUNTIF(Hoja1!$A$2:$A$1000,Hoja1!A740)&gt;1,"Sí","No")</f>
        <v>No</v>
      </c>
      <c r="F740" s="3" t="str">
        <f>IF(COUNTIF(Hoja1!$G$2:$G$1000,Hoja1!G740)&gt;1,"Sí","No")</f>
        <v>No</v>
      </c>
      <c r="G740" s="3" t="str">
        <f>IF(OR(ISERROR(FIND("@",Hoja1!G740)),ISERROR(FIND(".",Hoja1!G740,FIND("@",Hoja1!G740)))),"Sí","No")</f>
        <v>No</v>
      </c>
      <c r="H740" s="3" t="str">
        <f>IF(LEN(Hoja1!F740)&lt;&gt;14,"Sí","No")</f>
        <v>No</v>
      </c>
      <c r="I740" s="3" t="str">
        <f>IF(Hoja1!C740&gt;Hoja1!H740,"Sí","No")</f>
        <v>No</v>
      </c>
      <c r="J740" s="3" t="str">
        <f>IF(SUMPRODUCT(--ISNUMBER(SEARCH({"0";"1";"2";"3";"4";"5";"6";"7";"8";"9"},Hoja1!D740)))=0,"Sí","No")</f>
        <v>Sí</v>
      </c>
      <c r="K740" s="3" t="str">
        <f t="shared" si="11"/>
        <v>Sí</v>
      </c>
    </row>
    <row r="741" spans="1:11" ht="15" customHeight="1" x14ac:dyDescent="0.3">
      <c r="A741" s="3" t="str">
        <f>Hoja1!A741</f>
        <v>C0740</v>
      </c>
      <c r="B741" s="3" t="str">
        <f>Hoja1!B741</f>
        <v>Leocadio Palomo Palomares</v>
      </c>
      <c r="C741" s="3" t="str">
        <f>IF(COUNTA(Hoja1!A741:I741)=0,"Sí","No")</f>
        <v>No</v>
      </c>
      <c r="D741" s="3" t="str">
        <f>IF(COUNTBLANK(Hoja1!A741:I741)&gt;0,"Sí","No")</f>
        <v>No</v>
      </c>
      <c r="E741" s="3" t="str">
        <f>IF(COUNTIF(Hoja1!$A$2:$A$1000,Hoja1!A741)&gt;1,"Sí","No")</f>
        <v>No</v>
      </c>
      <c r="F741" s="3" t="str">
        <f>IF(COUNTIF(Hoja1!$G$2:$G$1000,Hoja1!G741)&gt;1,"Sí","No")</f>
        <v>No</v>
      </c>
      <c r="G741" s="3" t="str">
        <f>IF(OR(ISERROR(FIND("@",Hoja1!G741)),ISERROR(FIND(".",Hoja1!G741,FIND("@",Hoja1!G741)))),"Sí","No")</f>
        <v>No</v>
      </c>
      <c r="H741" s="3" t="str">
        <f>IF(LEN(Hoja1!F741)&lt;&gt;14,"Sí","No")</f>
        <v>No</v>
      </c>
      <c r="I741" s="3" t="str">
        <f>IF(Hoja1!C741&gt;Hoja1!H741,"Sí","No")</f>
        <v>No</v>
      </c>
      <c r="J741" s="3" t="str">
        <f>IF(SUMPRODUCT(--ISNUMBER(SEARCH({"0";"1";"2";"3";"4";"5";"6";"7";"8";"9"},Hoja1!D741)))=0,"Sí","No")</f>
        <v>No</v>
      </c>
      <c r="K741" s="3" t="str">
        <f t="shared" si="11"/>
        <v>No</v>
      </c>
    </row>
    <row r="742" spans="1:11" ht="15" customHeight="1" x14ac:dyDescent="0.3">
      <c r="A742" s="3" t="str">
        <f>Hoja1!A742</f>
        <v>C0741</v>
      </c>
      <c r="B742" s="3" t="str">
        <f>Hoja1!B742</f>
        <v>Juan Carlos Delgado Durán</v>
      </c>
      <c r="C742" s="3" t="str">
        <f>IF(COUNTA(Hoja1!A742:I742)=0,"Sí","No")</f>
        <v>No</v>
      </c>
      <c r="D742" s="3" t="str">
        <f>IF(COUNTBLANK(Hoja1!A742:I742)&gt;0,"Sí","No")</f>
        <v>No</v>
      </c>
      <c r="E742" s="3" t="str">
        <f>IF(COUNTIF(Hoja1!$A$2:$A$1000,Hoja1!A742)&gt;1,"Sí","No")</f>
        <v>No</v>
      </c>
      <c r="F742" s="3" t="str">
        <f>IF(COUNTIF(Hoja1!$G$2:$G$1000,Hoja1!G742)&gt;1,"Sí","No")</f>
        <v>No</v>
      </c>
      <c r="G742" s="3" t="str">
        <f>IF(OR(ISERROR(FIND("@",Hoja1!G742)),ISERROR(FIND(".",Hoja1!G742,FIND("@",Hoja1!G742)))),"Sí","No")</f>
        <v>No</v>
      </c>
      <c r="H742" s="3" t="str">
        <f>IF(LEN(Hoja1!F742)&lt;&gt;14,"Sí","No")</f>
        <v>No</v>
      </c>
      <c r="I742" s="3" t="str">
        <f>IF(Hoja1!C742&gt;Hoja1!H742,"Sí","No")</f>
        <v>No</v>
      </c>
      <c r="J742" s="3" t="str">
        <f>IF(SUMPRODUCT(--ISNUMBER(SEARCH({"0";"1";"2";"3";"4";"5";"6";"7";"8";"9"},Hoja1!D742)))=0,"Sí","No")</f>
        <v>No</v>
      </c>
      <c r="K742" s="3" t="str">
        <f t="shared" si="11"/>
        <v>No</v>
      </c>
    </row>
    <row r="743" spans="1:11" ht="15" customHeight="1" x14ac:dyDescent="0.3">
      <c r="A743" s="3" t="str">
        <f>Hoja1!A743</f>
        <v>C0742</v>
      </c>
      <c r="B743" s="3" t="str">
        <f>Hoja1!B743</f>
        <v>Elvira Bravo-Cano</v>
      </c>
      <c r="C743" s="3" t="str">
        <f>IF(COUNTA(Hoja1!A743:I743)=0,"Sí","No")</f>
        <v>No</v>
      </c>
      <c r="D743" s="3" t="str">
        <f>IF(COUNTBLANK(Hoja1!A743:I743)&gt;0,"Sí","No")</f>
        <v>No</v>
      </c>
      <c r="E743" s="3" t="str">
        <f>IF(COUNTIF(Hoja1!$A$2:$A$1000,Hoja1!A743)&gt;1,"Sí","No")</f>
        <v>No</v>
      </c>
      <c r="F743" s="3" t="str">
        <f>IF(COUNTIF(Hoja1!$G$2:$G$1000,Hoja1!G743)&gt;1,"Sí","No")</f>
        <v>No</v>
      </c>
      <c r="G743" s="3" t="str">
        <f>IF(OR(ISERROR(FIND("@",Hoja1!G743)),ISERROR(FIND(".",Hoja1!G743,FIND("@",Hoja1!G743)))),"Sí","No")</f>
        <v>No</v>
      </c>
      <c r="H743" s="3" t="str">
        <f>IF(LEN(Hoja1!F743)&lt;&gt;14,"Sí","No")</f>
        <v>No</v>
      </c>
      <c r="I743" s="3" t="str">
        <f>IF(Hoja1!C743&gt;Hoja1!H743,"Sí","No")</f>
        <v>No</v>
      </c>
      <c r="J743" s="3" t="str">
        <f>IF(SUMPRODUCT(--ISNUMBER(SEARCH({"0";"1";"2";"3";"4";"5";"6";"7";"8";"9"},Hoja1!D743)))=0,"Sí","No")</f>
        <v>Sí</v>
      </c>
      <c r="K743" s="3" t="str">
        <f t="shared" si="11"/>
        <v>Sí</v>
      </c>
    </row>
    <row r="744" spans="1:11" ht="15" customHeight="1" x14ac:dyDescent="0.3">
      <c r="A744" s="3" t="str">
        <f>Hoja1!A744</f>
        <v>C0743</v>
      </c>
      <c r="B744" s="3" t="str">
        <f>Hoja1!B744</f>
        <v>Demetrio de Larrañaga</v>
      </c>
      <c r="C744" s="3" t="str">
        <f>IF(COUNTA(Hoja1!A744:I744)=0,"Sí","No")</f>
        <v>No</v>
      </c>
      <c r="D744" s="3" t="str">
        <f>IF(COUNTBLANK(Hoja1!A744:I744)&gt;0,"Sí","No")</f>
        <v>No</v>
      </c>
      <c r="E744" s="3" t="str">
        <f>IF(COUNTIF(Hoja1!$A$2:$A$1000,Hoja1!A744)&gt;1,"Sí","No")</f>
        <v>No</v>
      </c>
      <c r="F744" s="3" t="str">
        <f>IF(COUNTIF(Hoja1!$G$2:$G$1000,Hoja1!G744)&gt;1,"Sí","No")</f>
        <v>No</v>
      </c>
      <c r="G744" s="3" t="str">
        <f>IF(OR(ISERROR(FIND("@",Hoja1!G744)),ISERROR(FIND(".",Hoja1!G744,FIND("@",Hoja1!G744)))),"Sí","No")</f>
        <v>No</v>
      </c>
      <c r="H744" s="3" t="str">
        <f>IF(LEN(Hoja1!F744)&lt;&gt;14,"Sí","No")</f>
        <v>No</v>
      </c>
      <c r="I744" s="3" t="str">
        <f>IF(Hoja1!C744&gt;Hoja1!H744,"Sí","No")</f>
        <v>No</v>
      </c>
      <c r="J744" s="3" t="str">
        <f>IF(SUMPRODUCT(--ISNUMBER(SEARCH({"0";"1";"2";"3";"4";"5";"6";"7";"8";"9"},Hoja1!D744)))=0,"Sí","No")</f>
        <v>No</v>
      </c>
      <c r="K744" s="3" t="str">
        <f t="shared" si="11"/>
        <v>No</v>
      </c>
    </row>
    <row r="745" spans="1:11" ht="15" customHeight="1" x14ac:dyDescent="0.3">
      <c r="A745" s="3" t="str">
        <f>Hoja1!A745</f>
        <v>C0744</v>
      </c>
      <c r="B745" s="3" t="str">
        <f>Hoja1!B745</f>
        <v>Hernando Garay</v>
      </c>
      <c r="C745" s="3" t="str">
        <f>IF(COUNTA(Hoja1!A745:I745)=0,"Sí","No")</f>
        <v>No</v>
      </c>
      <c r="D745" s="3" t="str">
        <f>IF(COUNTBLANK(Hoja1!A745:I745)&gt;0,"Sí","No")</f>
        <v>No</v>
      </c>
      <c r="E745" s="3" t="str">
        <f>IF(COUNTIF(Hoja1!$A$2:$A$1000,Hoja1!A745)&gt;1,"Sí","No")</f>
        <v>No</v>
      </c>
      <c r="F745" s="3" t="str">
        <f>IF(COUNTIF(Hoja1!$G$2:$G$1000,Hoja1!G745)&gt;1,"Sí","No")</f>
        <v>No</v>
      </c>
      <c r="G745" s="3" t="str">
        <f>IF(OR(ISERROR(FIND("@",Hoja1!G745)),ISERROR(FIND(".",Hoja1!G745,FIND("@",Hoja1!G745)))),"Sí","No")</f>
        <v>No</v>
      </c>
      <c r="H745" s="3" t="str">
        <f>IF(LEN(Hoja1!F745)&lt;&gt;14,"Sí","No")</f>
        <v>No</v>
      </c>
      <c r="I745" s="3" t="str">
        <f>IF(Hoja1!C745&gt;Hoja1!H745,"Sí","No")</f>
        <v>No</v>
      </c>
      <c r="J745" s="3" t="str">
        <f>IF(SUMPRODUCT(--ISNUMBER(SEARCH({"0";"1";"2";"3";"4";"5";"6";"7";"8";"9"},Hoja1!D745)))=0,"Sí","No")</f>
        <v>No</v>
      </c>
      <c r="K745" s="3" t="str">
        <f t="shared" si="11"/>
        <v>No</v>
      </c>
    </row>
    <row r="746" spans="1:11" ht="15" customHeight="1" x14ac:dyDescent="0.3">
      <c r="A746" s="3" t="str">
        <f>Hoja1!A746</f>
        <v>C0745</v>
      </c>
      <c r="B746" s="3" t="str">
        <f>Hoja1!B746</f>
        <v>Isabela Roma Jurado</v>
      </c>
      <c r="C746" s="3" t="str">
        <f>IF(COUNTA(Hoja1!A746:I746)=0,"Sí","No")</f>
        <v>No</v>
      </c>
      <c r="D746" s="3" t="str">
        <f>IF(COUNTBLANK(Hoja1!A746:I746)&gt;0,"Sí","No")</f>
        <v>No</v>
      </c>
      <c r="E746" s="3" t="str">
        <f>IF(COUNTIF(Hoja1!$A$2:$A$1000,Hoja1!A746)&gt;1,"Sí","No")</f>
        <v>No</v>
      </c>
      <c r="F746" s="3" t="str">
        <f>IF(COUNTIF(Hoja1!$G$2:$G$1000,Hoja1!G746)&gt;1,"Sí","No")</f>
        <v>No</v>
      </c>
      <c r="G746" s="3" t="str">
        <f>IF(OR(ISERROR(FIND("@",Hoja1!G746)),ISERROR(FIND(".",Hoja1!G746,FIND("@",Hoja1!G746)))),"Sí","No")</f>
        <v>No</v>
      </c>
      <c r="H746" s="3" t="str">
        <f>IF(LEN(Hoja1!F746)&lt;&gt;14,"Sí","No")</f>
        <v>No</v>
      </c>
      <c r="I746" s="3" t="str">
        <f>IF(Hoja1!C746&gt;Hoja1!H746,"Sí","No")</f>
        <v>No</v>
      </c>
      <c r="J746" s="3" t="str">
        <f>IF(SUMPRODUCT(--ISNUMBER(SEARCH({"0";"1";"2";"3";"4";"5";"6";"7";"8";"9"},Hoja1!D746)))=0,"Sí","No")</f>
        <v>Sí</v>
      </c>
      <c r="K746" s="3" t="str">
        <f t="shared" si="11"/>
        <v>Sí</v>
      </c>
    </row>
    <row r="747" spans="1:11" ht="15" customHeight="1" x14ac:dyDescent="0.3">
      <c r="A747" s="3" t="str">
        <f>Hoja1!A747</f>
        <v>C0746</v>
      </c>
      <c r="B747" s="3" t="str">
        <f>Hoja1!B747</f>
        <v>Roberto Tomás-Bermúdez</v>
      </c>
      <c r="C747" s="3" t="str">
        <f>IF(COUNTA(Hoja1!A747:I747)=0,"Sí","No")</f>
        <v>No</v>
      </c>
      <c r="D747" s="3" t="str">
        <f>IF(COUNTBLANK(Hoja1!A747:I747)&gt;0,"Sí","No")</f>
        <v>No</v>
      </c>
      <c r="E747" s="3" t="str">
        <f>IF(COUNTIF(Hoja1!$A$2:$A$1000,Hoja1!A747)&gt;1,"Sí","No")</f>
        <v>No</v>
      </c>
      <c r="F747" s="3" t="str">
        <f>IF(COUNTIF(Hoja1!$G$2:$G$1000,Hoja1!G747)&gt;1,"Sí","No")</f>
        <v>No</v>
      </c>
      <c r="G747" s="3" t="str">
        <f>IF(OR(ISERROR(FIND("@",Hoja1!G747)),ISERROR(FIND(".",Hoja1!G747,FIND("@",Hoja1!G747)))),"Sí","No")</f>
        <v>No</v>
      </c>
      <c r="H747" s="3" t="str">
        <f>IF(LEN(Hoja1!F747)&lt;&gt;14,"Sí","No")</f>
        <v>No</v>
      </c>
      <c r="I747" s="3" t="str">
        <f>IF(Hoja1!C747&gt;Hoja1!H747,"Sí","No")</f>
        <v>No</v>
      </c>
      <c r="J747" s="3" t="str">
        <f>IF(SUMPRODUCT(--ISNUMBER(SEARCH({"0";"1";"2";"3";"4";"5";"6";"7";"8";"9"},Hoja1!D747)))=0,"Sí","No")</f>
        <v>No</v>
      </c>
      <c r="K747" s="3" t="str">
        <f t="shared" si="11"/>
        <v>No</v>
      </c>
    </row>
    <row r="748" spans="1:11" ht="15" customHeight="1" x14ac:dyDescent="0.3">
      <c r="A748" s="3" t="str">
        <f>Hoja1!A748</f>
        <v>C0747</v>
      </c>
      <c r="B748" s="3" t="str">
        <f>Hoja1!B748</f>
        <v>Yolanda Oliva Polo</v>
      </c>
      <c r="C748" s="3" t="str">
        <f>IF(COUNTA(Hoja1!A748:I748)=0,"Sí","No")</f>
        <v>No</v>
      </c>
      <c r="D748" s="3" t="str">
        <f>IF(COUNTBLANK(Hoja1!A748:I748)&gt;0,"Sí","No")</f>
        <v>No</v>
      </c>
      <c r="E748" s="3" t="str">
        <f>IF(COUNTIF(Hoja1!$A$2:$A$1000,Hoja1!A748)&gt;1,"Sí","No")</f>
        <v>No</v>
      </c>
      <c r="F748" s="3" t="str">
        <f>IF(COUNTIF(Hoja1!$G$2:$G$1000,Hoja1!G748)&gt;1,"Sí","No")</f>
        <v>No</v>
      </c>
      <c r="G748" s="3" t="str">
        <f>IF(OR(ISERROR(FIND("@",Hoja1!G748)),ISERROR(FIND(".",Hoja1!G748,FIND("@",Hoja1!G748)))),"Sí","No")</f>
        <v>No</v>
      </c>
      <c r="H748" s="3" t="str">
        <f>IF(LEN(Hoja1!F748)&lt;&gt;14,"Sí","No")</f>
        <v>No</v>
      </c>
      <c r="I748" s="3" t="str">
        <f>IF(Hoja1!C748&gt;Hoja1!H748,"Sí","No")</f>
        <v>No</v>
      </c>
      <c r="J748" s="3" t="str">
        <f>IF(SUMPRODUCT(--ISNUMBER(SEARCH({"0";"1";"2";"3";"4";"5";"6";"7";"8";"9"},Hoja1!D748)))=0,"Sí","No")</f>
        <v>No</v>
      </c>
      <c r="K748" s="3" t="str">
        <f t="shared" si="11"/>
        <v>No</v>
      </c>
    </row>
    <row r="749" spans="1:11" ht="15" customHeight="1" x14ac:dyDescent="0.3">
      <c r="A749" s="3" t="str">
        <f>Hoja1!A749</f>
        <v>C0748</v>
      </c>
      <c r="B749" s="3" t="str">
        <f>Hoja1!B749</f>
        <v>Rosendo Pinilla Bustamante</v>
      </c>
      <c r="C749" s="3" t="str">
        <f>IF(COUNTA(Hoja1!A749:I749)=0,"Sí","No")</f>
        <v>No</v>
      </c>
      <c r="D749" s="3" t="str">
        <f>IF(COUNTBLANK(Hoja1!A749:I749)&gt;0,"Sí","No")</f>
        <v>No</v>
      </c>
      <c r="E749" s="3" t="str">
        <f>IF(COUNTIF(Hoja1!$A$2:$A$1000,Hoja1!A749)&gt;1,"Sí","No")</f>
        <v>No</v>
      </c>
      <c r="F749" s="3" t="str">
        <f>IF(COUNTIF(Hoja1!$G$2:$G$1000,Hoja1!G749)&gt;1,"Sí","No")</f>
        <v>No</v>
      </c>
      <c r="G749" s="3" t="str">
        <f>IF(OR(ISERROR(FIND("@",Hoja1!G749)),ISERROR(FIND(".",Hoja1!G749,FIND("@",Hoja1!G749)))),"Sí","No")</f>
        <v>No</v>
      </c>
      <c r="H749" s="3" t="str">
        <f>IF(LEN(Hoja1!F749)&lt;&gt;14,"Sí","No")</f>
        <v>No</v>
      </c>
      <c r="I749" s="3" t="str">
        <f>IF(Hoja1!C749&gt;Hoja1!H749,"Sí","No")</f>
        <v>No</v>
      </c>
      <c r="J749" s="3" t="str">
        <f>IF(SUMPRODUCT(--ISNUMBER(SEARCH({"0";"1";"2";"3";"4";"5";"6";"7";"8";"9"},Hoja1!D749)))=0,"Sí","No")</f>
        <v>Sí</v>
      </c>
      <c r="K749" s="3" t="str">
        <f t="shared" si="11"/>
        <v>Sí</v>
      </c>
    </row>
    <row r="750" spans="1:11" ht="15" customHeight="1" x14ac:dyDescent="0.3">
      <c r="A750" s="3" t="str">
        <f>Hoja1!A750</f>
        <v>C0749</v>
      </c>
      <c r="B750" s="3" t="str">
        <f>Hoja1!B750</f>
        <v>Vanesa Celia Ibáñez Ferrer</v>
      </c>
      <c r="C750" s="3" t="str">
        <f>IF(COUNTA(Hoja1!A750:I750)=0,"Sí","No")</f>
        <v>No</v>
      </c>
      <c r="D750" s="3" t="str">
        <f>IF(COUNTBLANK(Hoja1!A750:I750)&gt;0,"Sí","No")</f>
        <v>No</v>
      </c>
      <c r="E750" s="3" t="str">
        <f>IF(COUNTIF(Hoja1!$A$2:$A$1000,Hoja1!A750)&gt;1,"Sí","No")</f>
        <v>No</v>
      </c>
      <c r="F750" s="3" t="str">
        <f>IF(COUNTIF(Hoja1!$G$2:$G$1000,Hoja1!G750)&gt;1,"Sí","No")</f>
        <v>Sí</v>
      </c>
      <c r="G750" s="3" t="str">
        <f>IF(OR(ISERROR(FIND("@",Hoja1!G750)),ISERROR(FIND(".",Hoja1!G750,FIND("@",Hoja1!G750)))),"Sí","No")</f>
        <v>No</v>
      </c>
      <c r="H750" s="3" t="str">
        <f>IF(LEN(Hoja1!F750)&lt;&gt;14,"Sí","No")</f>
        <v>No</v>
      </c>
      <c r="I750" s="3" t="str">
        <f>IF(Hoja1!C750&gt;Hoja1!H750,"Sí","No")</f>
        <v>No</v>
      </c>
      <c r="J750" s="3" t="str">
        <f>IF(SUMPRODUCT(--ISNUMBER(SEARCH({"0";"1";"2";"3";"4";"5";"6";"7";"8";"9"},Hoja1!D750)))=0,"Sí","No")</f>
        <v>No</v>
      </c>
      <c r="K750" s="3" t="str">
        <f t="shared" si="11"/>
        <v>Sí</v>
      </c>
    </row>
    <row r="751" spans="1:11" ht="15" customHeight="1" x14ac:dyDescent="0.3">
      <c r="A751" s="3" t="str">
        <f>Hoja1!A751</f>
        <v>C0750</v>
      </c>
      <c r="B751" s="3" t="str">
        <f>Hoja1!B751</f>
        <v>Albina de Fiol</v>
      </c>
      <c r="C751" s="3" t="str">
        <f>IF(COUNTA(Hoja1!A751:I751)=0,"Sí","No")</f>
        <v>No</v>
      </c>
      <c r="D751" s="3" t="str">
        <f>IF(COUNTBLANK(Hoja1!A751:I751)&gt;0,"Sí","No")</f>
        <v>No</v>
      </c>
      <c r="E751" s="3" t="str">
        <f>IF(COUNTIF(Hoja1!$A$2:$A$1000,Hoja1!A751)&gt;1,"Sí","No")</f>
        <v>No</v>
      </c>
      <c r="F751" s="3" t="str">
        <f>IF(COUNTIF(Hoja1!$G$2:$G$1000,Hoja1!G751)&gt;1,"Sí","No")</f>
        <v>No</v>
      </c>
      <c r="G751" s="3" t="str">
        <f>IF(OR(ISERROR(FIND("@",Hoja1!G751)),ISERROR(FIND(".",Hoja1!G751,FIND("@",Hoja1!G751)))),"Sí","No")</f>
        <v>No</v>
      </c>
      <c r="H751" s="3" t="str">
        <f>IF(LEN(Hoja1!F751)&lt;&gt;14,"Sí","No")</f>
        <v>No</v>
      </c>
      <c r="I751" s="3" t="str">
        <f>IF(Hoja1!C751&gt;Hoja1!H751,"Sí","No")</f>
        <v>No</v>
      </c>
      <c r="J751" s="3" t="str">
        <f>IF(SUMPRODUCT(--ISNUMBER(SEARCH({"0";"1";"2";"3";"4";"5";"6";"7";"8";"9"},Hoja1!D751)))=0,"Sí","No")</f>
        <v>No</v>
      </c>
      <c r="K751" s="3" t="str">
        <f t="shared" si="11"/>
        <v>No</v>
      </c>
    </row>
    <row r="752" spans="1:11" ht="15" customHeight="1" x14ac:dyDescent="0.3">
      <c r="A752" s="3" t="str">
        <f>Hoja1!A752</f>
        <v>C0751</v>
      </c>
      <c r="B752" s="3" t="str">
        <f>Hoja1!B752</f>
        <v>Georgina Arroyo Araujo</v>
      </c>
      <c r="C752" s="3" t="str">
        <f>IF(COUNTA(Hoja1!A752:I752)=0,"Sí","No")</f>
        <v>No</v>
      </c>
      <c r="D752" s="3" t="str">
        <f>IF(COUNTBLANK(Hoja1!A752:I752)&gt;0,"Sí","No")</f>
        <v>No</v>
      </c>
      <c r="E752" s="3" t="str">
        <f>IF(COUNTIF(Hoja1!$A$2:$A$1000,Hoja1!A752)&gt;1,"Sí","No")</f>
        <v>No</v>
      </c>
      <c r="F752" s="3" t="str">
        <f>IF(COUNTIF(Hoja1!$G$2:$G$1000,Hoja1!G752)&gt;1,"Sí","No")</f>
        <v>No</v>
      </c>
      <c r="G752" s="3" t="str">
        <f>IF(OR(ISERROR(FIND("@",Hoja1!G752)),ISERROR(FIND(".",Hoja1!G752,FIND("@",Hoja1!G752)))),"Sí","No")</f>
        <v>No</v>
      </c>
      <c r="H752" s="3" t="str">
        <f>IF(LEN(Hoja1!F752)&lt;&gt;14,"Sí","No")</f>
        <v>No</v>
      </c>
      <c r="I752" s="3" t="str">
        <f>IF(Hoja1!C752&gt;Hoja1!H752,"Sí","No")</f>
        <v>No</v>
      </c>
      <c r="J752" s="3" t="str">
        <f>IF(SUMPRODUCT(--ISNUMBER(SEARCH({"0";"1";"2";"3";"4";"5";"6";"7";"8";"9"},Hoja1!D752)))=0,"Sí","No")</f>
        <v>Sí</v>
      </c>
      <c r="K752" s="3" t="str">
        <f t="shared" si="11"/>
        <v>Sí</v>
      </c>
    </row>
    <row r="753" spans="1:11" ht="15" customHeight="1" x14ac:dyDescent="0.3">
      <c r="A753" s="3" t="str">
        <f>Hoja1!A753</f>
        <v>C0752</v>
      </c>
      <c r="B753" s="3" t="str">
        <f>Hoja1!B753</f>
        <v>Celestina Rodrigo Hidalgo</v>
      </c>
      <c r="C753" s="3" t="str">
        <f>IF(COUNTA(Hoja1!A753:I753)=0,"Sí","No")</f>
        <v>No</v>
      </c>
      <c r="D753" s="3" t="str">
        <f>IF(COUNTBLANK(Hoja1!A753:I753)&gt;0,"Sí","No")</f>
        <v>No</v>
      </c>
      <c r="E753" s="3" t="str">
        <f>IF(COUNTIF(Hoja1!$A$2:$A$1000,Hoja1!A753)&gt;1,"Sí","No")</f>
        <v>No</v>
      </c>
      <c r="F753" s="3" t="str">
        <f>IF(COUNTIF(Hoja1!$G$2:$G$1000,Hoja1!G753)&gt;1,"Sí","No")</f>
        <v>No</v>
      </c>
      <c r="G753" s="3" t="str">
        <f>IF(OR(ISERROR(FIND("@",Hoja1!G753)),ISERROR(FIND(".",Hoja1!G753,FIND("@",Hoja1!G753)))),"Sí","No")</f>
        <v>No</v>
      </c>
      <c r="H753" s="3" t="str">
        <f>IF(LEN(Hoja1!F753)&lt;&gt;14,"Sí","No")</f>
        <v>No</v>
      </c>
      <c r="I753" s="3" t="str">
        <f>IF(Hoja1!C753&gt;Hoja1!H753,"Sí","No")</f>
        <v>No</v>
      </c>
      <c r="J753" s="3" t="str">
        <f>IF(SUMPRODUCT(--ISNUMBER(SEARCH({"0";"1";"2";"3";"4";"5";"6";"7";"8";"9"},Hoja1!D753)))=0,"Sí","No")</f>
        <v>No</v>
      </c>
      <c r="K753" s="3" t="str">
        <f t="shared" si="11"/>
        <v>No</v>
      </c>
    </row>
    <row r="754" spans="1:11" ht="15" customHeight="1" x14ac:dyDescent="0.3">
      <c r="A754" s="3" t="str">
        <f>Hoja1!A754</f>
        <v>C0753</v>
      </c>
      <c r="B754" s="3" t="str">
        <f>Hoja1!B754</f>
        <v>Felicidad de Bernal</v>
      </c>
      <c r="C754" s="3" t="str">
        <f>IF(COUNTA(Hoja1!A754:I754)=0,"Sí","No")</f>
        <v>No</v>
      </c>
      <c r="D754" s="3" t="str">
        <f>IF(COUNTBLANK(Hoja1!A754:I754)&gt;0,"Sí","No")</f>
        <v>No</v>
      </c>
      <c r="E754" s="3" t="str">
        <f>IF(COUNTIF(Hoja1!$A$2:$A$1000,Hoja1!A754)&gt;1,"Sí","No")</f>
        <v>No</v>
      </c>
      <c r="F754" s="3" t="str">
        <f>IF(COUNTIF(Hoja1!$G$2:$G$1000,Hoja1!G754)&gt;1,"Sí","No")</f>
        <v>No</v>
      </c>
      <c r="G754" s="3" t="str">
        <f>IF(OR(ISERROR(FIND("@",Hoja1!G754)),ISERROR(FIND(".",Hoja1!G754,FIND("@",Hoja1!G754)))),"Sí","No")</f>
        <v>No</v>
      </c>
      <c r="H754" s="3" t="str">
        <f>IF(LEN(Hoja1!F754)&lt;&gt;14,"Sí","No")</f>
        <v>No</v>
      </c>
      <c r="I754" s="3" t="str">
        <f>IF(Hoja1!C754&gt;Hoja1!H754,"Sí","No")</f>
        <v>No</v>
      </c>
      <c r="J754" s="3" t="str">
        <f>IF(SUMPRODUCT(--ISNUMBER(SEARCH({"0";"1";"2";"3";"4";"5";"6";"7";"8";"9"},Hoja1!D754)))=0,"Sí","No")</f>
        <v>No</v>
      </c>
      <c r="K754" s="3" t="str">
        <f t="shared" si="11"/>
        <v>No</v>
      </c>
    </row>
    <row r="755" spans="1:11" ht="15" customHeight="1" x14ac:dyDescent="0.3">
      <c r="A755" s="3" t="str">
        <f>Hoja1!A755</f>
        <v>C0754</v>
      </c>
      <c r="B755" s="3" t="str">
        <f>Hoja1!B755</f>
        <v>Valeria Almansa-Bárcena</v>
      </c>
      <c r="C755" s="3" t="str">
        <f>IF(COUNTA(Hoja1!A755:I755)=0,"Sí","No")</f>
        <v>No</v>
      </c>
      <c r="D755" s="3" t="str">
        <f>IF(COUNTBLANK(Hoja1!A755:I755)&gt;0,"Sí","No")</f>
        <v>No</v>
      </c>
      <c r="E755" s="3" t="str">
        <f>IF(COUNTIF(Hoja1!$A$2:$A$1000,Hoja1!A755)&gt;1,"Sí","No")</f>
        <v>No</v>
      </c>
      <c r="F755" s="3" t="str">
        <f>IF(COUNTIF(Hoja1!$G$2:$G$1000,Hoja1!G755)&gt;1,"Sí","No")</f>
        <v>No</v>
      </c>
      <c r="G755" s="3" t="str">
        <f>IF(OR(ISERROR(FIND("@",Hoja1!G755)),ISERROR(FIND(".",Hoja1!G755,FIND("@",Hoja1!G755)))),"Sí","No")</f>
        <v>No</v>
      </c>
      <c r="H755" s="3" t="str">
        <f>IF(LEN(Hoja1!F755)&lt;&gt;14,"Sí","No")</f>
        <v>No</v>
      </c>
      <c r="I755" s="3" t="str">
        <f>IF(Hoja1!C755&gt;Hoja1!H755,"Sí","No")</f>
        <v>No</v>
      </c>
      <c r="J755" s="3" t="str">
        <f>IF(SUMPRODUCT(--ISNUMBER(SEARCH({"0";"1";"2";"3";"4";"5";"6";"7";"8";"9"},Hoja1!D755)))=0,"Sí","No")</f>
        <v>Sí</v>
      </c>
      <c r="K755" s="3" t="str">
        <f t="shared" si="11"/>
        <v>Sí</v>
      </c>
    </row>
    <row r="756" spans="1:11" ht="15" customHeight="1" x14ac:dyDescent="0.3">
      <c r="A756" s="3" t="str">
        <f>Hoja1!A756</f>
        <v>C0755</v>
      </c>
      <c r="B756" s="3" t="str">
        <f>Hoja1!B756</f>
        <v>Javier Cortina Grau</v>
      </c>
      <c r="C756" s="3" t="str">
        <f>IF(COUNTA(Hoja1!A756:I756)=0,"Sí","No")</f>
        <v>No</v>
      </c>
      <c r="D756" s="3" t="str">
        <f>IF(COUNTBLANK(Hoja1!A756:I756)&gt;0,"Sí","No")</f>
        <v>No</v>
      </c>
      <c r="E756" s="3" t="str">
        <f>IF(COUNTIF(Hoja1!$A$2:$A$1000,Hoja1!A756)&gt;1,"Sí","No")</f>
        <v>No</v>
      </c>
      <c r="F756" s="3" t="str">
        <f>IF(COUNTIF(Hoja1!$G$2:$G$1000,Hoja1!G756)&gt;1,"Sí","No")</f>
        <v>No</v>
      </c>
      <c r="G756" s="3" t="str">
        <f>IF(OR(ISERROR(FIND("@",Hoja1!G756)),ISERROR(FIND(".",Hoja1!G756,FIND("@",Hoja1!G756)))),"Sí","No")</f>
        <v>No</v>
      </c>
      <c r="H756" s="3" t="str">
        <f>IF(LEN(Hoja1!F756)&lt;&gt;14,"Sí","No")</f>
        <v>No</v>
      </c>
      <c r="I756" s="3" t="str">
        <f>IF(Hoja1!C756&gt;Hoja1!H756,"Sí","No")</f>
        <v>No</v>
      </c>
      <c r="J756" s="3" t="str">
        <f>IF(SUMPRODUCT(--ISNUMBER(SEARCH({"0";"1";"2";"3";"4";"5";"6";"7";"8";"9"},Hoja1!D756)))=0,"Sí","No")</f>
        <v>No</v>
      </c>
      <c r="K756" s="3" t="str">
        <f t="shared" si="11"/>
        <v>No</v>
      </c>
    </row>
    <row r="757" spans="1:11" ht="15" customHeight="1" x14ac:dyDescent="0.3">
      <c r="A757" s="3" t="str">
        <f>Hoja1!A757</f>
        <v>C0756</v>
      </c>
      <c r="B757" s="3" t="str">
        <f>Hoja1!B757</f>
        <v>Manolo Isidro Ros Salgado</v>
      </c>
      <c r="C757" s="3" t="str">
        <f>IF(COUNTA(Hoja1!A757:I757)=0,"Sí","No")</f>
        <v>No</v>
      </c>
      <c r="D757" s="3" t="str">
        <f>IF(COUNTBLANK(Hoja1!A757:I757)&gt;0,"Sí","No")</f>
        <v>No</v>
      </c>
      <c r="E757" s="3" t="str">
        <f>IF(COUNTIF(Hoja1!$A$2:$A$1000,Hoja1!A757)&gt;1,"Sí","No")</f>
        <v>No</v>
      </c>
      <c r="F757" s="3" t="str">
        <f>IF(COUNTIF(Hoja1!$G$2:$G$1000,Hoja1!G757)&gt;1,"Sí","No")</f>
        <v>No</v>
      </c>
      <c r="G757" s="3" t="str">
        <f>IF(OR(ISERROR(FIND("@",Hoja1!G757)),ISERROR(FIND(".",Hoja1!G757,FIND("@",Hoja1!G757)))),"Sí","No")</f>
        <v>No</v>
      </c>
      <c r="H757" s="3" t="str">
        <f>IF(LEN(Hoja1!F757)&lt;&gt;14,"Sí","No")</f>
        <v>No</v>
      </c>
      <c r="I757" s="3" t="str">
        <f>IF(Hoja1!C757&gt;Hoja1!H757,"Sí","No")</f>
        <v>No</v>
      </c>
      <c r="J757" s="3" t="str">
        <f>IF(SUMPRODUCT(--ISNUMBER(SEARCH({"0";"1";"2";"3";"4";"5";"6";"7";"8";"9"},Hoja1!D757)))=0,"Sí","No")</f>
        <v>No</v>
      </c>
      <c r="K757" s="3" t="str">
        <f t="shared" si="11"/>
        <v>No</v>
      </c>
    </row>
    <row r="758" spans="1:11" ht="15" customHeight="1" x14ac:dyDescent="0.3">
      <c r="A758" s="3" t="str">
        <f>Hoja1!A758</f>
        <v>C0757</v>
      </c>
      <c r="B758" s="3" t="str">
        <f>Hoja1!B758</f>
        <v>Concepción Bustamante</v>
      </c>
      <c r="C758" s="3" t="str">
        <f>IF(COUNTA(Hoja1!A758:I758)=0,"Sí","No")</f>
        <v>No</v>
      </c>
      <c r="D758" s="3" t="str">
        <f>IF(COUNTBLANK(Hoja1!A758:I758)&gt;0,"Sí","No")</f>
        <v>No</v>
      </c>
      <c r="E758" s="3" t="str">
        <f>IF(COUNTIF(Hoja1!$A$2:$A$1000,Hoja1!A758)&gt;1,"Sí","No")</f>
        <v>No</v>
      </c>
      <c r="F758" s="3" t="str">
        <f>IF(COUNTIF(Hoja1!$G$2:$G$1000,Hoja1!G758)&gt;1,"Sí","No")</f>
        <v>No</v>
      </c>
      <c r="G758" s="3" t="str">
        <f>IF(OR(ISERROR(FIND("@",Hoja1!G758)),ISERROR(FIND(".",Hoja1!G758,FIND("@",Hoja1!G758)))),"Sí","No")</f>
        <v>No</v>
      </c>
      <c r="H758" s="3" t="str">
        <f>IF(LEN(Hoja1!F758)&lt;&gt;14,"Sí","No")</f>
        <v>No</v>
      </c>
      <c r="I758" s="3" t="str">
        <f>IF(Hoja1!C758&gt;Hoja1!H758,"Sí","No")</f>
        <v>No</v>
      </c>
      <c r="J758" s="3" t="str">
        <f>IF(SUMPRODUCT(--ISNUMBER(SEARCH({"0";"1";"2";"3";"4";"5";"6";"7";"8";"9"},Hoja1!D758)))=0,"Sí","No")</f>
        <v>Sí</v>
      </c>
      <c r="K758" s="3" t="str">
        <f t="shared" si="11"/>
        <v>Sí</v>
      </c>
    </row>
    <row r="759" spans="1:11" ht="15" customHeight="1" x14ac:dyDescent="0.3">
      <c r="A759" s="3" t="str">
        <f>Hoja1!A759</f>
        <v>C0758</v>
      </c>
      <c r="B759" s="3" t="str">
        <f>Hoja1!B759</f>
        <v>Viviana Tur Asensio</v>
      </c>
      <c r="C759" s="3" t="str">
        <f>IF(COUNTA(Hoja1!A759:I759)=0,"Sí","No")</f>
        <v>No</v>
      </c>
      <c r="D759" s="3" t="str">
        <f>IF(COUNTBLANK(Hoja1!A759:I759)&gt;0,"Sí","No")</f>
        <v>No</v>
      </c>
      <c r="E759" s="3" t="str">
        <f>IF(COUNTIF(Hoja1!$A$2:$A$1000,Hoja1!A759)&gt;1,"Sí","No")</f>
        <v>No</v>
      </c>
      <c r="F759" s="3" t="str">
        <f>IF(COUNTIF(Hoja1!$G$2:$G$1000,Hoja1!G759)&gt;1,"Sí","No")</f>
        <v>No</v>
      </c>
      <c r="G759" s="3" t="str">
        <f>IF(OR(ISERROR(FIND("@",Hoja1!G759)),ISERROR(FIND(".",Hoja1!G759,FIND("@",Hoja1!G759)))),"Sí","No")</f>
        <v>No</v>
      </c>
      <c r="H759" s="3" t="str">
        <f>IF(LEN(Hoja1!F759)&lt;&gt;14,"Sí","No")</f>
        <v>No</v>
      </c>
      <c r="I759" s="3" t="str">
        <f>IF(Hoja1!C759&gt;Hoja1!H759,"Sí","No")</f>
        <v>No</v>
      </c>
      <c r="J759" s="3" t="str">
        <f>IF(SUMPRODUCT(--ISNUMBER(SEARCH({"0";"1";"2";"3";"4";"5";"6";"7";"8";"9"},Hoja1!D759)))=0,"Sí","No")</f>
        <v>No</v>
      </c>
      <c r="K759" s="3" t="str">
        <f t="shared" si="11"/>
        <v>No</v>
      </c>
    </row>
    <row r="760" spans="1:11" ht="15" customHeight="1" x14ac:dyDescent="0.3">
      <c r="A760" s="3" t="str">
        <f>Hoja1!A760</f>
        <v>C0759</v>
      </c>
      <c r="B760" s="3" t="str">
        <f>Hoja1!B760</f>
        <v>Emilia Valentín Coello</v>
      </c>
      <c r="C760" s="3" t="str">
        <f>IF(COUNTA(Hoja1!A760:I760)=0,"Sí","No")</f>
        <v>No</v>
      </c>
      <c r="D760" s="3" t="str">
        <f>IF(COUNTBLANK(Hoja1!A760:I760)&gt;0,"Sí","No")</f>
        <v>No</v>
      </c>
      <c r="E760" s="3" t="str">
        <f>IF(COUNTIF(Hoja1!$A$2:$A$1000,Hoja1!A760)&gt;1,"Sí","No")</f>
        <v>No</v>
      </c>
      <c r="F760" s="3" t="str">
        <f>IF(COUNTIF(Hoja1!$G$2:$G$1000,Hoja1!G760)&gt;1,"Sí","No")</f>
        <v>No</v>
      </c>
      <c r="G760" s="3" t="str">
        <f>IF(OR(ISERROR(FIND("@",Hoja1!G760)),ISERROR(FIND(".",Hoja1!G760,FIND("@",Hoja1!G760)))),"Sí","No")</f>
        <v>No</v>
      </c>
      <c r="H760" s="3" t="str">
        <f>IF(LEN(Hoja1!F760)&lt;&gt;14,"Sí","No")</f>
        <v>No</v>
      </c>
      <c r="I760" s="3" t="str">
        <f>IF(Hoja1!C760&gt;Hoja1!H760,"Sí","No")</f>
        <v>No</v>
      </c>
      <c r="J760" s="3" t="str">
        <f>IF(SUMPRODUCT(--ISNUMBER(SEARCH({"0";"1";"2";"3";"4";"5";"6";"7";"8";"9"},Hoja1!D760)))=0,"Sí","No")</f>
        <v>No</v>
      </c>
      <c r="K760" s="3" t="str">
        <f t="shared" si="11"/>
        <v>No</v>
      </c>
    </row>
    <row r="761" spans="1:11" ht="15" customHeight="1" x14ac:dyDescent="0.3">
      <c r="A761" s="3" t="str">
        <f>Hoja1!A761</f>
        <v>C0760</v>
      </c>
      <c r="B761" s="3" t="str">
        <f>Hoja1!B761</f>
        <v>Bárbara Arcos Cases</v>
      </c>
      <c r="C761" s="3" t="str">
        <f>IF(COUNTA(Hoja1!A761:I761)=0,"Sí","No")</f>
        <v>No</v>
      </c>
      <c r="D761" s="3" t="str">
        <f>IF(COUNTBLANK(Hoja1!A761:I761)&gt;0,"Sí","No")</f>
        <v>No</v>
      </c>
      <c r="E761" s="3" t="str">
        <f>IF(COUNTIF(Hoja1!$A$2:$A$1000,Hoja1!A761)&gt;1,"Sí","No")</f>
        <v>No</v>
      </c>
      <c r="F761" s="3" t="str">
        <f>IF(COUNTIF(Hoja1!$G$2:$G$1000,Hoja1!G761)&gt;1,"Sí","No")</f>
        <v>Sí</v>
      </c>
      <c r="G761" s="3" t="str">
        <f>IF(OR(ISERROR(FIND("@",Hoja1!G761)),ISERROR(FIND(".",Hoja1!G761,FIND("@",Hoja1!G761)))),"Sí","No")</f>
        <v>No</v>
      </c>
      <c r="H761" s="3" t="str">
        <f>IF(LEN(Hoja1!F761)&lt;&gt;14,"Sí","No")</f>
        <v>No</v>
      </c>
      <c r="I761" s="3" t="str">
        <f>IF(Hoja1!C761&gt;Hoja1!H761,"Sí","No")</f>
        <v>No</v>
      </c>
      <c r="J761" s="3" t="str">
        <f>IF(SUMPRODUCT(--ISNUMBER(SEARCH({"0";"1";"2";"3";"4";"5";"6";"7";"8";"9"},Hoja1!D761)))=0,"Sí","No")</f>
        <v>Sí</v>
      </c>
      <c r="K761" s="3" t="str">
        <f t="shared" si="11"/>
        <v>Sí</v>
      </c>
    </row>
    <row r="762" spans="1:11" ht="15" customHeight="1" x14ac:dyDescent="0.3">
      <c r="A762" s="3" t="str">
        <f>Hoja1!A762</f>
        <v>C0761</v>
      </c>
      <c r="B762" s="3" t="str">
        <f>Hoja1!B762</f>
        <v>Martín Giménez Herrera</v>
      </c>
      <c r="C762" s="3" t="str">
        <f>IF(COUNTA(Hoja1!A762:I762)=0,"Sí","No")</f>
        <v>No</v>
      </c>
      <c r="D762" s="3" t="str">
        <f>IF(COUNTBLANK(Hoja1!A762:I762)&gt;0,"Sí","No")</f>
        <v>No</v>
      </c>
      <c r="E762" s="3" t="str">
        <f>IF(COUNTIF(Hoja1!$A$2:$A$1000,Hoja1!A762)&gt;1,"Sí","No")</f>
        <v>No</v>
      </c>
      <c r="F762" s="3" t="str">
        <f>IF(COUNTIF(Hoja1!$G$2:$G$1000,Hoja1!G762)&gt;1,"Sí","No")</f>
        <v>No</v>
      </c>
      <c r="G762" s="3" t="str">
        <f>IF(OR(ISERROR(FIND("@",Hoja1!G762)),ISERROR(FIND(".",Hoja1!G762,FIND("@",Hoja1!G762)))),"Sí","No")</f>
        <v>No</v>
      </c>
      <c r="H762" s="3" t="str">
        <f>IF(LEN(Hoja1!F762)&lt;&gt;14,"Sí","No")</f>
        <v>No</v>
      </c>
      <c r="I762" s="3" t="str">
        <f>IF(Hoja1!C762&gt;Hoja1!H762,"Sí","No")</f>
        <v>No</v>
      </c>
      <c r="J762" s="3" t="str">
        <f>IF(SUMPRODUCT(--ISNUMBER(SEARCH({"0";"1";"2";"3";"4";"5";"6";"7";"8";"9"},Hoja1!D762)))=0,"Sí","No")</f>
        <v>No</v>
      </c>
      <c r="K762" s="3" t="str">
        <f t="shared" si="11"/>
        <v>No</v>
      </c>
    </row>
    <row r="763" spans="1:11" ht="15" customHeight="1" x14ac:dyDescent="0.3">
      <c r="A763" s="3" t="str">
        <f>Hoja1!A763</f>
        <v>C0762</v>
      </c>
      <c r="B763" s="3" t="str">
        <f>Hoja1!B763</f>
        <v>Gastón Real Barriga</v>
      </c>
      <c r="C763" s="3" t="str">
        <f>IF(COUNTA(Hoja1!A763:I763)=0,"Sí","No")</f>
        <v>No</v>
      </c>
      <c r="D763" s="3" t="str">
        <f>IF(COUNTBLANK(Hoja1!A763:I763)&gt;0,"Sí","No")</f>
        <v>No</v>
      </c>
      <c r="E763" s="3" t="str">
        <f>IF(COUNTIF(Hoja1!$A$2:$A$1000,Hoja1!A763)&gt;1,"Sí","No")</f>
        <v>No</v>
      </c>
      <c r="F763" s="3" t="str">
        <f>IF(COUNTIF(Hoja1!$G$2:$G$1000,Hoja1!G763)&gt;1,"Sí","No")</f>
        <v>No</v>
      </c>
      <c r="G763" s="3" t="str">
        <f>IF(OR(ISERROR(FIND("@",Hoja1!G763)),ISERROR(FIND(".",Hoja1!G763,FIND("@",Hoja1!G763)))),"Sí","No")</f>
        <v>No</v>
      </c>
      <c r="H763" s="3" t="str">
        <f>IF(LEN(Hoja1!F763)&lt;&gt;14,"Sí","No")</f>
        <v>No</v>
      </c>
      <c r="I763" s="3" t="str">
        <f>IF(Hoja1!C763&gt;Hoja1!H763,"Sí","No")</f>
        <v>No</v>
      </c>
      <c r="J763" s="3" t="str">
        <f>IF(SUMPRODUCT(--ISNUMBER(SEARCH({"0";"1";"2";"3";"4";"5";"6";"7";"8";"9"},Hoja1!D763)))=0,"Sí","No")</f>
        <v>No</v>
      </c>
      <c r="K763" s="3" t="str">
        <f t="shared" si="11"/>
        <v>No</v>
      </c>
    </row>
    <row r="764" spans="1:11" ht="15" customHeight="1" x14ac:dyDescent="0.3">
      <c r="A764" s="3" t="str">
        <f>Hoja1!A764</f>
        <v>C0763</v>
      </c>
      <c r="B764" s="3" t="str">
        <f>Hoja1!B764</f>
        <v>Estefanía Peñas</v>
      </c>
      <c r="C764" s="3" t="str">
        <f>IF(COUNTA(Hoja1!A764:I764)=0,"Sí","No")</f>
        <v>No</v>
      </c>
      <c r="D764" s="3" t="str">
        <f>IF(COUNTBLANK(Hoja1!A764:I764)&gt;0,"Sí","No")</f>
        <v>No</v>
      </c>
      <c r="E764" s="3" t="str">
        <f>IF(COUNTIF(Hoja1!$A$2:$A$1000,Hoja1!A764)&gt;1,"Sí","No")</f>
        <v>No</v>
      </c>
      <c r="F764" s="3" t="str">
        <f>IF(COUNTIF(Hoja1!$G$2:$G$1000,Hoja1!G764)&gt;1,"Sí","No")</f>
        <v>No</v>
      </c>
      <c r="G764" s="3" t="str">
        <f>IF(OR(ISERROR(FIND("@",Hoja1!G764)),ISERROR(FIND(".",Hoja1!G764,FIND("@",Hoja1!G764)))),"Sí","No")</f>
        <v>No</v>
      </c>
      <c r="H764" s="3" t="str">
        <f>IF(LEN(Hoja1!F764)&lt;&gt;14,"Sí","No")</f>
        <v>No</v>
      </c>
      <c r="I764" s="3" t="str">
        <f>IF(Hoja1!C764&gt;Hoja1!H764,"Sí","No")</f>
        <v>No</v>
      </c>
      <c r="J764" s="3" t="str">
        <f>IF(SUMPRODUCT(--ISNUMBER(SEARCH({"0";"1";"2";"3";"4";"5";"6";"7";"8";"9"},Hoja1!D764)))=0,"Sí","No")</f>
        <v>No</v>
      </c>
      <c r="K764" s="3" t="str">
        <f t="shared" si="11"/>
        <v>No</v>
      </c>
    </row>
    <row r="765" spans="1:11" ht="15" customHeight="1" x14ac:dyDescent="0.3">
      <c r="A765" s="3" t="str">
        <f>Hoja1!A765</f>
        <v>C0764</v>
      </c>
      <c r="B765" s="3" t="str">
        <f>Hoja1!B765</f>
        <v>Loreto Estrella Viñas Juan</v>
      </c>
      <c r="C765" s="3" t="str">
        <f>IF(COUNTA(Hoja1!A765:I765)=0,"Sí","No")</f>
        <v>No</v>
      </c>
      <c r="D765" s="3" t="str">
        <f>IF(COUNTBLANK(Hoja1!A765:I765)&gt;0,"Sí","No")</f>
        <v>No</v>
      </c>
      <c r="E765" s="3" t="str">
        <f>IF(COUNTIF(Hoja1!$A$2:$A$1000,Hoja1!A765)&gt;1,"Sí","No")</f>
        <v>No</v>
      </c>
      <c r="F765" s="3" t="str">
        <f>IF(COUNTIF(Hoja1!$G$2:$G$1000,Hoja1!G765)&gt;1,"Sí","No")</f>
        <v>No</v>
      </c>
      <c r="G765" s="3" t="str">
        <f>IF(OR(ISERROR(FIND("@",Hoja1!G765)),ISERROR(FIND(".",Hoja1!G765,FIND("@",Hoja1!G765)))),"Sí","No")</f>
        <v>No</v>
      </c>
      <c r="H765" s="3" t="str">
        <f>IF(LEN(Hoja1!F765)&lt;&gt;14,"Sí","No")</f>
        <v>No</v>
      </c>
      <c r="I765" s="3" t="str">
        <f>IF(Hoja1!C765&gt;Hoja1!H765,"Sí","No")</f>
        <v>No</v>
      </c>
      <c r="J765" s="3" t="str">
        <f>IF(SUMPRODUCT(--ISNUMBER(SEARCH({"0";"1";"2";"3";"4";"5";"6";"7";"8";"9"},Hoja1!D765)))=0,"Sí","No")</f>
        <v>No</v>
      </c>
      <c r="K765" s="3" t="str">
        <f t="shared" si="11"/>
        <v>No</v>
      </c>
    </row>
    <row r="766" spans="1:11" ht="15" customHeight="1" x14ac:dyDescent="0.3">
      <c r="A766" s="3" t="str">
        <f>Hoja1!A766</f>
        <v>C0765</v>
      </c>
      <c r="B766" s="3" t="str">
        <f>Hoja1!B766</f>
        <v>Emperatriz Quirós Aguirre</v>
      </c>
      <c r="C766" s="3" t="str">
        <f>IF(COUNTA(Hoja1!A766:I766)=0,"Sí","No")</f>
        <v>No</v>
      </c>
      <c r="D766" s="3" t="str">
        <f>IF(COUNTBLANK(Hoja1!A766:I766)&gt;0,"Sí","No")</f>
        <v>No</v>
      </c>
      <c r="E766" s="3" t="str">
        <f>IF(COUNTIF(Hoja1!$A$2:$A$1000,Hoja1!A766)&gt;1,"Sí","No")</f>
        <v>No</v>
      </c>
      <c r="F766" s="3" t="str">
        <f>IF(COUNTIF(Hoja1!$G$2:$G$1000,Hoja1!G766)&gt;1,"Sí","No")</f>
        <v>No</v>
      </c>
      <c r="G766" s="3" t="str">
        <f>IF(OR(ISERROR(FIND("@",Hoja1!G766)),ISERROR(FIND(".",Hoja1!G766,FIND("@",Hoja1!G766)))),"Sí","No")</f>
        <v>No</v>
      </c>
      <c r="H766" s="3" t="str">
        <f>IF(LEN(Hoja1!F766)&lt;&gt;14,"Sí","No")</f>
        <v>No</v>
      </c>
      <c r="I766" s="3" t="str">
        <f>IF(Hoja1!C766&gt;Hoja1!H766,"Sí","No")</f>
        <v>No</v>
      </c>
      <c r="J766" s="3" t="str">
        <f>IF(SUMPRODUCT(--ISNUMBER(SEARCH({"0";"1";"2";"3";"4";"5";"6";"7";"8";"9"},Hoja1!D766)))=0,"Sí","No")</f>
        <v>No</v>
      </c>
      <c r="K766" s="3" t="str">
        <f t="shared" si="11"/>
        <v>No</v>
      </c>
    </row>
    <row r="767" spans="1:11" ht="15" customHeight="1" x14ac:dyDescent="0.3">
      <c r="A767" s="3" t="str">
        <f>Hoja1!A767</f>
        <v>C0766</v>
      </c>
      <c r="B767" s="3" t="str">
        <f>Hoja1!B767</f>
        <v>Leocadio Escalona</v>
      </c>
      <c r="C767" s="3" t="str">
        <f>IF(COUNTA(Hoja1!A767:I767)=0,"Sí","No")</f>
        <v>No</v>
      </c>
      <c r="D767" s="3" t="str">
        <f>IF(COUNTBLANK(Hoja1!A767:I767)&gt;0,"Sí","No")</f>
        <v>No</v>
      </c>
      <c r="E767" s="3" t="str">
        <f>IF(COUNTIF(Hoja1!$A$2:$A$1000,Hoja1!A767)&gt;1,"Sí","No")</f>
        <v>No</v>
      </c>
      <c r="F767" s="3" t="str">
        <f>IF(COUNTIF(Hoja1!$G$2:$G$1000,Hoja1!G767)&gt;1,"Sí","No")</f>
        <v>No</v>
      </c>
      <c r="G767" s="3" t="str">
        <f>IF(OR(ISERROR(FIND("@",Hoja1!G767)),ISERROR(FIND(".",Hoja1!G767,FIND("@",Hoja1!G767)))),"Sí","No")</f>
        <v>No</v>
      </c>
      <c r="H767" s="3" t="str">
        <f>IF(LEN(Hoja1!F767)&lt;&gt;14,"Sí","No")</f>
        <v>No</v>
      </c>
      <c r="I767" s="3" t="str">
        <f>IF(Hoja1!C767&gt;Hoja1!H767,"Sí","No")</f>
        <v>No</v>
      </c>
      <c r="J767" s="3" t="str">
        <f>IF(SUMPRODUCT(--ISNUMBER(SEARCH({"0";"1";"2";"3";"4";"5";"6";"7";"8";"9"},Hoja1!D767)))=0,"Sí","No")</f>
        <v>No</v>
      </c>
      <c r="K767" s="3" t="str">
        <f t="shared" si="11"/>
        <v>No</v>
      </c>
    </row>
    <row r="768" spans="1:11" ht="15" customHeight="1" x14ac:dyDescent="0.3">
      <c r="A768" s="3" t="str">
        <f>Hoja1!A768</f>
        <v>C0767</v>
      </c>
      <c r="B768" s="3" t="str">
        <f>Hoja1!B768</f>
        <v>Carina Barroso Lopez</v>
      </c>
      <c r="C768" s="3" t="str">
        <f>IF(COUNTA(Hoja1!A768:I768)=0,"Sí","No")</f>
        <v>No</v>
      </c>
      <c r="D768" s="3" t="str">
        <f>IF(COUNTBLANK(Hoja1!A768:I768)&gt;0,"Sí","No")</f>
        <v>No</v>
      </c>
      <c r="E768" s="3" t="str">
        <f>IF(COUNTIF(Hoja1!$A$2:$A$1000,Hoja1!A768)&gt;1,"Sí","No")</f>
        <v>No</v>
      </c>
      <c r="F768" s="3" t="str">
        <f>IF(COUNTIF(Hoja1!$G$2:$G$1000,Hoja1!G768)&gt;1,"Sí","No")</f>
        <v>No</v>
      </c>
      <c r="G768" s="3" t="str">
        <f>IF(OR(ISERROR(FIND("@",Hoja1!G768)),ISERROR(FIND(".",Hoja1!G768,FIND("@",Hoja1!G768)))),"Sí","No")</f>
        <v>No</v>
      </c>
      <c r="H768" s="3" t="str">
        <f>IF(LEN(Hoja1!F768)&lt;&gt;14,"Sí","No")</f>
        <v>No</v>
      </c>
      <c r="I768" s="3" t="str">
        <f>IF(Hoja1!C768&gt;Hoja1!H768,"Sí","No")</f>
        <v>No</v>
      </c>
      <c r="J768" s="3" t="str">
        <f>IF(SUMPRODUCT(--ISNUMBER(SEARCH({"0";"1";"2";"3";"4";"5";"6";"7";"8";"9"},Hoja1!D768)))=0,"Sí","No")</f>
        <v>No</v>
      </c>
      <c r="K768" s="3" t="str">
        <f t="shared" si="11"/>
        <v>No</v>
      </c>
    </row>
    <row r="769" spans="1:11" ht="15" customHeight="1" x14ac:dyDescent="0.3">
      <c r="A769" s="3" t="str">
        <f>Hoja1!A769</f>
        <v>C0768</v>
      </c>
      <c r="B769" s="3" t="str">
        <f>Hoja1!B769</f>
        <v>Damián Tomas Solís</v>
      </c>
      <c r="C769" s="3" t="str">
        <f>IF(COUNTA(Hoja1!A769:I769)=0,"Sí","No")</f>
        <v>No</v>
      </c>
      <c r="D769" s="3" t="str">
        <f>IF(COUNTBLANK(Hoja1!A769:I769)&gt;0,"Sí","No")</f>
        <v>No</v>
      </c>
      <c r="E769" s="3" t="str">
        <f>IF(COUNTIF(Hoja1!$A$2:$A$1000,Hoja1!A769)&gt;1,"Sí","No")</f>
        <v>No</v>
      </c>
      <c r="F769" s="3" t="str">
        <f>IF(COUNTIF(Hoja1!$G$2:$G$1000,Hoja1!G769)&gt;1,"Sí","No")</f>
        <v>No</v>
      </c>
      <c r="G769" s="3" t="str">
        <f>IF(OR(ISERROR(FIND("@",Hoja1!G769)),ISERROR(FIND(".",Hoja1!G769,FIND("@",Hoja1!G769)))),"Sí","No")</f>
        <v>No</v>
      </c>
      <c r="H769" s="3" t="str">
        <f>IF(LEN(Hoja1!F769)&lt;&gt;14,"Sí","No")</f>
        <v>No</v>
      </c>
      <c r="I769" s="3" t="str">
        <f>IF(Hoja1!C769&gt;Hoja1!H769,"Sí","No")</f>
        <v>No</v>
      </c>
      <c r="J769" s="3" t="str">
        <f>IF(SUMPRODUCT(--ISNUMBER(SEARCH({"0";"1";"2";"3";"4";"5";"6";"7";"8";"9"},Hoja1!D769)))=0,"Sí","No")</f>
        <v>No</v>
      </c>
      <c r="K769" s="3" t="str">
        <f t="shared" si="11"/>
        <v>No</v>
      </c>
    </row>
    <row r="770" spans="1:11" ht="15" customHeight="1" x14ac:dyDescent="0.3">
      <c r="A770" s="3" t="str">
        <f>Hoja1!A770</f>
        <v>C0769</v>
      </c>
      <c r="B770" s="3" t="str">
        <f>Hoja1!B770</f>
        <v>Isaac Vallejo-Coll</v>
      </c>
      <c r="C770" s="3" t="str">
        <f>IF(COUNTA(Hoja1!A770:I770)=0,"Sí","No")</f>
        <v>No</v>
      </c>
      <c r="D770" s="3" t="str">
        <f>IF(COUNTBLANK(Hoja1!A770:I770)&gt;0,"Sí","No")</f>
        <v>No</v>
      </c>
      <c r="E770" s="3" t="str">
        <f>IF(COUNTIF(Hoja1!$A$2:$A$1000,Hoja1!A770)&gt;1,"Sí","No")</f>
        <v>No</v>
      </c>
      <c r="F770" s="3" t="str">
        <f>IF(COUNTIF(Hoja1!$G$2:$G$1000,Hoja1!G770)&gt;1,"Sí","No")</f>
        <v>No</v>
      </c>
      <c r="G770" s="3" t="str">
        <f>IF(OR(ISERROR(FIND("@",Hoja1!G770)),ISERROR(FIND(".",Hoja1!G770,FIND("@",Hoja1!G770)))),"Sí","No")</f>
        <v>No</v>
      </c>
      <c r="H770" s="3" t="str">
        <f>IF(LEN(Hoja1!F770)&lt;&gt;14,"Sí","No")</f>
        <v>No</v>
      </c>
      <c r="I770" s="3" t="str">
        <f>IF(Hoja1!C770&gt;Hoja1!H770,"Sí","No")</f>
        <v>No</v>
      </c>
      <c r="J770" s="3" t="str">
        <f>IF(SUMPRODUCT(--ISNUMBER(SEARCH({"0";"1";"2";"3";"4";"5";"6";"7";"8";"9"},Hoja1!D770)))=0,"Sí","No")</f>
        <v>No</v>
      </c>
      <c r="K770" s="3" t="str">
        <f t="shared" ref="K770:K833" si="12">IF(COUNTIF(C770:J770,"Sí")&gt;0,"Sí","No")</f>
        <v>No</v>
      </c>
    </row>
    <row r="771" spans="1:11" ht="15" customHeight="1" x14ac:dyDescent="0.3">
      <c r="A771" s="3" t="str">
        <f>Hoja1!A771</f>
        <v>C0770</v>
      </c>
      <c r="B771" s="3" t="str">
        <f>Hoja1!B771</f>
        <v>Fernanda Lozano Bastida</v>
      </c>
      <c r="C771" s="3" t="str">
        <f>IF(COUNTA(Hoja1!A771:I771)=0,"Sí","No")</f>
        <v>No</v>
      </c>
      <c r="D771" s="3" t="str">
        <f>IF(COUNTBLANK(Hoja1!A771:I771)&gt;0,"Sí","No")</f>
        <v>No</v>
      </c>
      <c r="E771" s="3" t="str">
        <f>IF(COUNTIF(Hoja1!$A$2:$A$1000,Hoja1!A771)&gt;1,"Sí","No")</f>
        <v>No</v>
      </c>
      <c r="F771" s="3" t="str">
        <f>IF(COUNTIF(Hoja1!$G$2:$G$1000,Hoja1!G771)&gt;1,"Sí","No")</f>
        <v>No</v>
      </c>
      <c r="G771" s="3" t="str">
        <f>IF(OR(ISERROR(FIND("@",Hoja1!G771)),ISERROR(FIND(".",Hoja1!G771,FIND("@",Hoja1!G771)))),"Sí","No")</f>
        <v>No</v>
      </c>
      <c r="H771" s="3" t="str">
        <f>IF(LEN(Hoja1!F771)&lt;&gt;14,"Sí","No")</f>
        <v>No</v>
      </c>
      <c r="I771" s="3" t="str">
        <f>IF(Hoja1!C771&gt;Hoja1!H771,"Sí","No")</f>
        <v>No</v>
      </c>
      <c r="J771" s="3" t="str">
        <f>IF(SUMPRODUCT(--ISNUMBER(SEARCH({"0";"1";"2";"3";"4";"5";"6";"7";"8";"9"},Hoja1!D771)))=0,"Sí","No")</f>
        <v>No</v>
      </c>
      <c r="K771" s="3" t="str">
        <f t="shared" si="12"/>
        <v>No</v>
      </c>
    </row>
    <row r="772" spans="1:11" ht="15" customHeight="1" x14ac:dyDescent="0.3">
      <c r="A772" s="3" t="str">
        <f>Hoja1!A772</f>
        <v>C0771</v>
      </c>
      <c r="B772" s="3" t="str">
        <f>Hoja1!B772</f>
        <v>Angélica Diego Cuéllar</v>
      </c>
      <c r="C772" s="3" t="str">
        <f>IF(COUNTA(Hoja1!A772:I772)=0,"Sí","No")</f>
        <v>No</v>
      </c>
      <c r="D772" s="3" t="str">
        <f>IF(COUNTBLANK(Hoja1!A772:I772)&gt;0,"Sí","No")</f>
        <v>No</v>
      </c>
      <c r="E772" s="3" t="str">
        <f>IF(COUNTIF(Hoja1!$A$2:$A$1000,Hoja1!A772)&gt;1,"Sí","No")</f>
        <v>No</v>
      </c>
      <c r="F772" s="3" t="str">
        <f>IF(COUNTIF(Hoja1!$G$2:$G$1000,Hoja1!G772)&gt;1,"Sí","No")</f>
        <v>Sí</v>
      </c>
      <c r="G772" s="3" t="str">
        <f>IF(OR(ISERROR(FIND("@",Hoja1!G772)),ISERROR(FIND(".",Hoja1!G772,FIND("@",Hoja1!G772)))),"Sí","No")</f>
        <v>No</v>
      </c>
      <c r="H772" s="3" t="str">
        <f>IF(LEN(Hoja1!F772)&lt;&gt;14,"Sí","No")</f>
        <v>No</v>
      </c>
      <c r="I772" s="3" t="str">
        <f>IF(Hoja1!C772&gt;Hoja1!H772,"Sí","No")</f>
        <v>No</v>
      </c>
      <c r="J772" s="3" t="str">
        <f>IF(SUMPRODUCT(--ISNUMBER(SEARCH({"0";"1";"2";"3";"4";"5";"6";"7";"8";"9"},Hoja1!D772)))=0,"Sí","No")</f>
        <v>No</v>
      </c>
      <c r="K772" s="3" t="str">
        <f t="shared" si="12"/>
        <v>Sí</v>
      </c>
    </row>
    <row r="773" spans="1:11" ht="15" customHeight="1" x14ac:dyDescent="0.3">
      <c r="A773" s="3" t="str">
        <f>Hoja1!A773</f>
        <v>C0772</v>
      </c>
      <c r="B773" s="3" t="str">
        <f>Hoja1!B773</f>
        <v>José Luis Lorenzo Losada</v>
      </c>
      <c r="C773" s="3" t="str">
        <f>IF(COUNTA(Hoja1!A773:I773)=0,"Sí","No")</f>
        <v>No</v>
      </c>
      <c r="D773" s="3" t="str">
        <f>IF(COUNTBLANK(Hoja1!A773:I773)&gt;0,"Sí","No")</f>
        <v>No</v>
      </c>
      <c r="E773" s="3" t="str">
        <f>IF(COUNTIF(Hoja1!$A$2:$A$1000,Hoja1!A773)&gt;1,"Sí","No")</f>
        <v>No</v>
      </c>
      <c r="F773" s="3" t="str">
        <f>IF(COUNTIF(Hoja1!$G$2:$G$1000,Hoja1!G773)&gt;1,"Sí","No")</f>
        <v>No</v>
      </c>
      <c r="G773" s="3" t="str">
        <f>IF(OR(ISERROR(FIND("@",Hoja1!G773)),ISERROR(FIND(".",Hoja1!G773,FIND("@",Hoja1!G773)))),"Sí","No")</f>
        <v>No</v>
      </c>
      <c r="H773" s="3" t="str">
        <f>IF(LEN(Hoja1!F773)&lt;&gt;14,"Sí","No")</f>
        <v>No</v>
      </c>
      <c r="I773" s="3" t="str">
        <f>IF(Hoja1!C773&gt;Hoja1!H773,"Sí","No")</f>
        <v>No</v>
      </c>
      <c r="J773" s="3" t="str">
        <f>IF(SUMPRODUCT(--ISNUMBER(SEARCH({"0";"1";"2";"3";"4";"5";"6";"7";"8";"9"},Hoja1!D773)))=0,"Sí","No")</f>
        <v>No</v>
      </c>
      <c r="K773" s="3" t="str">
        <f t="shared" si="12"/>
        <v>No</v>
      </c>
    </row>
    <row r="774" spans="1:11" ht="15" customHeight="1" x14ac:dyDescent="0.3">
      <c r="A774" s="3" t="str">
        <f>Hoja1!A774</f>
        <v>C0773</v>
      </c>
      <c r="B774" s="3" t="str">
        <f>Hoja1!B774</f>
        <v>María Sáenz Azorin</v>
      </c>
      <c r="C774" s="3" t="str">
        <f>IF(COUNTA(Hoja1!A774:I774)=0,"Sí","No")</f>
        <v>No</v>
      </c>
      <c r="D774" s="3" t="str">
        <f>IF(COUNTBLANK(Hoja1!A774:I774)&gt;0,"Sí","No")</f>
        <v>No</v>
      </c>
      <c r="E774" s="3" t="str">
        <f>IF(COUNTIF(Hoja1!$A$2:$A$1000,Hoja1!A774)&gt;1,"Sí","No")</f>
        <v>No</v>
      </c>
      <c r="F774" s="3" t="str">
        <f>IF(COUNTIF(Hoja1!$G$2:$G$1000,Hoja1!G774)&gt;1,"Sí","No")</f>
        <v>No</v>
      </c>
      <c r="G774" s="3" t="str">
        <f>IF(OR(ISERROR(FIND("@",Hoja1!G774)),ISERROR(FIND(".",Hoja1!G774,FIND("@",Hoja1!G774)))),"Sí","No")</f>
        <v>No</v>
      </c>
      <c r="H774" s="3" t="str">
        <f>IF(LEN(Hoja1!F774)&lt;&gt;14,"Sí","No")</f>
        <v>No</v>
      </c>
      <c r="I774" s="3" t="str">
        <f>IF(Hoja1!C774&gt;Hoja1!H774,"Sí","No")</f>
        <v>No</v>
      </c>
      <c r="J774" s="3" t="str">
        <f>IF(SUMPRODUCT(--ISNUMBER(SEARCH({"0";"1";"2";"3";"4";"5";"6";"7";"8";"9"},Hoja1!D774)))=0,"Sí","No")</f>
        <v>No</v>
      </c>
      <c r="K774" s="3" t="str">
        <f t="shared" si="12"/>
        <v>No</v>
      </c>
    </row>
    <row r="775" spans="1:11" ht="15" customHeight="1" x14ac:dyDescent="0.3">
      <c r="A775" s="3" t="str">
        <f>Hoja1!A775</f>
        <v>C0774</v>
      </c>
      <c r="B775" s="3" t="str">
        <f>Hoja1!B775</f>
        <v>Hernando Olmedo Seguí</v>
      </c>
      <c r="C775" s="3" t="str">
        <f>IF(COUNTA(Hoja1!A775:I775)=0,"Sí","No")</f>
        <v>No</v>
      </c>
      <c r="D775" s="3" t="str">
        <f>IF(COUNTBLANK(Hoja1!A775:I775)&gt;0,"Sí","No")</f>
        <v>No</v>
      </c>
      <c r="E775" s="3" t="str">
        <f>IF(COUNTIF(Hoja1!$A$2:$A$1000,Hoja1!A775)&gt;1,"Sí","No")</f>
        <v>No</v>
      </c>
      <c r="F775" s="3" t="str">
        <f>IF(COUNTIF(Hoja1!$G$2:$G$1000,Hoja1!G775)&gt;1,"Sí","No")</f>
        <v>No</v>
      </c>
      <c r="G775" s="3" t="str">
        <f>IF(OR(ISERROR(FIND("@",Hoja1!G775)),ISERROR(FIND(".",Hoja1!G775,FIND("@",Hoja1!G775)))),"Sí","No")</f>
        <v>No</v>
      </c>
      <c r="H775" s="3" t="str">
        <f>IF(LEN(Hoja1!F775)&lt;&gt;14,"Sí","No")</f>
        <v>No</v>
      </c>
      <c r="I775" s="3" t="str">
        <f>IF(Hoja1!C775&gt;Hoja1!H775,"Sí","No")</f>
        <v>No</v>
      </c>
      <c r="J775" s="3" t="str">
        <f>IF(SUMPRODUCT(--ISNUMBER(SEARCH({"0";"1";"2";"3";"4";"5";"6";"7";"8";"9"},Hoja1!D775)))=0,"Sí","No")</f>
        <v>No</v>
      </c>
      <c r="K775" s="3" t="str">
        <f t="shared" si="12"/>
        <v>No</v>
      </c>
    </row>
    <row r="776" spans="1:11" ht="15" customHeight="1" x14ac:dyDescent="0.3">
      <c r="A776" s="3" t="str">
        <f>Hoja1!A776</f>
        <v>C0775</v>
      </c>
      <c r="B776" s="3" t="str">
        <f>Hoja1!B776</f>
        <v>Mamen Chacón Crespo</v>
      </c>
      <c r="C776" s="3" t="str">
        <f>IF(COUNTA(Hoja1!A776:I776)=0,"Sí","No")</f>
        <v>No</v>
      </c>
      <c r="D776" s="3" t="str">
        <f>IF(COUNTBLANK(Hoja1!A776:I776)&gt;0,"Sí","No")</f>
        <v>No</v>
      </c>
      <c r="E776" s="3" t="str">
        <f>IF(COUNTIF(Hoja1!$A$2:$A$1000,Hoja1!A776)&gt;1,"Sí","No")</f>
        <v>No</v>
      </c>
      <c r="F776" s="3" t="str">
        <f>IF(COUNTIF(Hoja1!$G$2:$G$1000,Hoja1!G776)&gt;1,"Sí","No")</f>
        <v>No</v>
      </c>
      <c r="G776" s="3" t="str">
        <f>IF(OR(ISERROR(FIND("@",Hoja1!G776)),ISERROR(FIND(".",Hoja1!G776,FIND("@",Hoja1!G776)))),"Sí","No")</f>
        <v>No</v>
      </c>
      <c r="H776" s="3" t="str">
        <f>IF(LEN(Hoja1!F776)&lt;&gt;14,"Sí","No")</f>
        <v>No</v>
      </c>
      <c r="I776" s="3" t="str">
        <f>IF(Hoja1!C776&gt;Hoja1!H776,"Sí","No")</f>
        <v>No</v>
      </c>
      <c r="J776" s="3" t="str">
        <f>IF(SUMPRODUCT(--ISNUMBER(SEARCH({"0";"1";"2";"3";"4";"5";"6";"7";"8";"9"},Hoja1!D776)))=0,"Sí","No")</f>
        <v>No</v>
      </c>
      <c r="K776" s="3" t="str">
        <f t="shared" si="12"/>
        <v>No</v>
      </c>
    </row>
    <row r="777" spans="1:11" ht="15" customHeight="1" x14ac:dyDescent="0.3">
      <c r="A777" s="3" t="str">
        <f>Hoja1!A777</f>
        <v>C0776</v>
      </c>
      <c r="B777" s="3" t="str">
        <f>Hoja1!B777</f>
        <v>Morena Ros Estrada</v>
      </c>
      <c r="C777" s="3" t="str">
        <f>IF(COUNTA(Hoja1!A777:I777)=0,"Sí","No")</f>
        <v>No</v>
      </c>
      <c r="D777" s="3" t="str">
        <f>IF(COUNTBLANK(Hoja1!A777:I777)&gt;0,"Sí","No")</f>
        <v>No</v>
      </c>
      <c r="E777" s="3" t="str">
        <f>IF(COUNTIF(Hoja1!$A$2:$A$1000,Hoja1!A777)&gt;1,"Sí","No")</f>
        <v>No</v>
      </c>
      <c r="F777" s="3" t="str">
        <f>IF(COUNTIF(Hoja1!$G$2:$G$1000,Hoja1!G777)&gt;1,"Sí","No")</f>
        <v>No</v>
      </c>
      <c r="G777" s="3" t="str">
        <f>IF(OR(ISERROR(FIND("@",Hoja1!G777)),ISERROR(FIND(".",Hoja1!G777,FIND("@",Hoja1!G777)))),"Sí","No")</f>
        <v>No</v>
      </c>
      <c r="H777" s="3" t="str">
        <f>IF(LEN(Hoja1!F777)&lt;&gt;14,"Sí","No")</f>
        <v>No</v>
      </c>
      <c r="I777" s="3" t="str">
        <f>IF(Hoja1!C777&gt;Hoja1!H777,"Sí","No")</f>
        <v>No</v>
      </c>
      <c r="J777" s="3" t="str">
        <f>IF(SUMPRODUCT(--ISNUMBER(SEARCH({"0";"1";"2";"3";"4";"5";"6";"7";"8";"9"},Hoja1!D777)))=0,"Sí","No")</f>
        <v>No</v>
      </c>
      <c r="K777" s="3" t="str">
        <f t="shared" si="12"/>
        <v>No</v>
      </c>
    </row>
    <row r="778" spans="1:11" ht="15" customHeight="1" x14ac:dyDescent="0.3">
      <c r="A778" s="3" t="str">
        <f>Hoja1!A778</f>
        <v>C0777</v>
      </c>
      <c r="B778" s="3" t="str">
        <f>Hoja1!B778</f>
        <v>Berta Mena Rivas</v>
      </c>
      <c r="C778" s="3" t="str">
        <f>IF(COUNTA(Hoja1!A778:I778)=0,"Sí","No")</f>
        <v>No</v>
      </c>
      <c r="D778" s="3" t="str">
        <f>IF(COUNTBLANK(Hoja1!A778:I778)&gt;0,"Sí","No")</f>
        <v>No</v>
      </c>
      <c r="E778" s="3" t="str">
        <f>IF(COUNTIF(Hoja1!$A$2:$A$1000,Hoja1!A778)&gt;1,"Sí","No")</f>
        <v>No</v>
      </c>
      <c r="F778" s="3" t="str">
        <f>IF(COUNTIF(Hoja1!$G$2:$G$1000,Hoja1!G778)&gt;1,"Sí","No")</f>
        <v>No</v>
      </c>
      <c r="G778" s="3" t="str">
        <f>IF(OR(ISERROR(FIND("@",Hoja1!G778)),ISERROR(FIND(".",Hoja1!G778,FIND("@",Hoja1!G778)))),"Sí","No")</f>
        <v>No</v>
      </c>
      <c r="H778" s="3" t="str">
        <f>IF(LEN(Hoja1!F778)&lt;&gt;14,"Sí","No")</f>
        <v>No</v>
      </c>
      <c r="I778" s="3" t="str">
        <f>IF(Hoja1!C778&gt;Hoja1!H778,"Sí","No")</f>
        <v>No</v>
      </c>
      <c r="J778" s="3" t="str">
        <f>IF(SUMPRODUCT(--ISNUMBER(SEARCH({"0";"1";"2";"3";"4";"5";"6";"7";"8";"9"},Hoja1!D778)))=0,"Sí","No")</f>
        <v>No</v>
      </c>
      <c r="K778" s="3" t="str">
        <f t="shared" si="12"/>
        <v>No</v>
      </c>
    </row>
    <row r="779" spans="1:11" ht="15" customHeight="1" x14ac:dyDescent="0.3">
      <c r="A779" s="3" t="str">
        <f>Hoja1!A779</f>
        <v>C0778</v>
      </c>
      <c r="B779" s="3" t="str">
        <f>Hoja1!B779</f>
        <v>Carmen Alemany Bertrán</v>
      </c>
      <c r="C779" s="3" t="str">
        <f>IF(COUNTA(Hoja1!A779:I779)=0,"Sí","No")</f>
        <v>No</v>
      </c>
      <c r="D779" s="3" t="str">
        <f>IF(COUNTBLANK(Hoja1!A779:I779)&gt;0,"Sí","No")</f>
        <v>No</v>
      </c>
      <c r="E779" s="3" t="str">
        <f>IF(COUNTIF(Hoja1!$A$2:$A$1000,Hoja1!A779)&gt;1,"Sí","No")</f>
        <v>No</v>
      </c>
      <c r="F779" s="3" t="str">
        <f>IF(COUNTIF(Hoja1!$G$2:$G$1000,Hoja1!G779)&gt;1,"Sí","No")</f>
        <v>No</v>
      </c>
      <c r="G779" s="3" t="str">
        <f>IF(OR(ISERROR(FIND("@",Hoja1!G779)),ISERROR(FIND(".",Hoja1!G779,FIND("@",Hoja1!G779)))),"Sí","No")</f>
        <v>No</v>
      </c>
      <c r="H779" s="3" t="str">
        <f>IF(LEN(Hoja1!F779)&lt;&gt;14,"Sí","No")</f>
        <v>No</v>
      </c>
      <c r="I779" s="3" t="str">
        <f>IF(Hoja1!C779&gt;Hoja1!H779,"Sí","No")</f>
        <v>No</v>
      </c>
      <c r="J779" s="3" t="str">
        <f>IF(SUMPRODUCT(--ISNUMBER(SEARCH({"0";"1";"2";"3";"4";"5";"6";"7";"8";"9"},Hoja1!D779)))=0,"Sí","No")</f>
        <v>No</v>
      </c>
      <c r="K779" s="3" t="str">
        <f t="shared" si="12"/>
        <v>No</v>
      </c>
    </row>
    <row r="780" spans="1:11" ht="15" customHeight="1" x14ac:dyDescent="0.3">
      <c r="A780" s="3" t="str">
        <f>Hoja1!A780</f>
        <v>C0779</v>
      </c>
      <c r="B780" s="3" t="str">
        <f>Hoja1!B780</f>
        <v>Emilia Oliveras Granados</v>
      </c>
      <c r="C780" s="3" t="str">
        <f>IF(COUNTA(Hoja1!A780:I780)=0,"Sí","No")</f>
        <v>No</v>
      </c>
      <c r="D780" s="3" t="str">
        <f>IF(COUNTBLANK(Hoja1!A780:I780)&gt;0,"Sí","No")</f>
        <v>No</v>
      </c>
      <c r="E780" s="3" t="str">
        <f>IF(COUNTIF(Hoja1!$A$2:$A$1000,Hoja1!A780)&gt;1,"Sí","No")</f>
        <v>No</v>
      </c>
      <c r="F780" s="3" t="str">
        <f>IF(COUNTIF(Hoja1!$G$2:$G$1000,Hoja1!G780)&gt;1,"Sí","No")</f>
        <v>No</v>
      </c>
      <c r="G780" s="3" t="str">
        <f>IF(OR(ISERROR(FIND("@",Hoja1!G780)),ISERROR(FIND(".",Hoja1!G780,FIND("@",Hoja1!G780)))),"Sí","No")</f>
        <v>No</v>
      </c>
      <c r="H780" s="3" t="str">
        <f>IF(LEN(Hoja1!F780)&lt;&gt;14,"Sí","No")</f>
        <v>No</v>
      </c>
      <c r="I780" s="3" t="str">
        <f>IF(Hoja1!C780&gt;Hoja1!H780,"Sí","No")</f>
        <v>No</v>
      </c>
      <c r="J780" s="3" t="str">
        <f>IF(SUMPRODUCT(--ISNUMBER(SEARCH({"0";"1";"2";"3";"4";"5";"6";"7";"8";"9"},Hoja1!D780)))=0,"Sí","No")</f>
        <v>No</v>
      </c>
      <c r="K780" s="3" t="str">
        <f t="shared" si="12"/>
        <v>No</v>
      </c>
    </row>
    <row r="781" spans="1:11" ht="15" customHeight="1" x14ac:dyDescent="0.3">
      <c r="A781" s="3" t="str">
        <f>Hoja1!A781</f>
        <v>C0780</v>
      </c>
      <c r="B781" s="3" t="str">
        <f>Hoja1!B781</f>
        <v>Jaime Santiago Vazquez</v>
      </c>
      <c r="C781" s="3" t="str">
        <f>IF(COUNTA(Hoja1!A781:I781)=0,"Sí","No")</f>
        <v>No</v>
      </c>
      <c r="D781" s="3" t="str">
        <f>IF(COUNTBLANK(Hoja1!A781:I781)&gt;0,"Sí","No")</f>
        <v>No</v>
      </c>
      <c r="E781" s="3" t="str">
        <f>IF(COUNTIF(Hoja1!$A$2:$A$1000,Hoja1!A781)&gt;1,"Sí","No")</f>
        <v>No</v>
      </c>
      <c r="F781" s="3" t="str">
        <f>IF(COUNTIF(Hoja1!$G$2:$G$1000,Hoja1!G781)&gt;1,"Sí","No")</f>
        <v>No</v>
      </c>
      <c r="G781" s="3" t="str">
        <f>IF(OR(ISERROR(FIND("@",Hoja1!G781)),ISERROR(FIND(".",Hoja1!G781,FIND("@",Hoja1!G781)))),"Sí","No")</f>
        <v>No</v>
      </c>
      <c r="H781" s="3" t="str">
        <f>IF(LEN(Hoja1!F781)&lt;&gt;14,"Sí","No")</f>
        <v>No</v>
      </c>
      <c r="I781" s="3" t="str">
        <f>IF(Hoja1!C781&gt;Hoja1!H781,"Sí","No")</f>
        <v>No</v>
      </c>
      <c r="J781" s="3" t="str">
        <f>IF(SUMPRODUCT(--ISNUMBER(SEARCH({"0";"1";"2";"3";"4";"5";"6";"7";"8";"9"},Hoja1!D781)))=0,"Sí","No")</f>
        <v>No</v>
      </c>
      <c r="K781" s="3" t="str">
        <f t="shared" si="12"/>
        <v>No</v>
      </c>
    </row>
    <row r="782" spans="1:11" ht="15" customHeight="1" x14ac:dyDescent="0.3">
      <c r="A782" s="3" t="str">
        <f>Hoja1!A782</f>
        <v>C0781</v>
      </c>
      <c r="B782" s="3" t="str">
        <f>Hoja1!B782</f>
        <v>Clemente de Coloma</v>
      </c>
      <c r="C782" s="3" t="str">
        <f>IF(COUNTA(Hoja1!A782:I782)=0,"Sí","No")</f>
        <v>No</v>
      </c>
      <c r="D782" s="3" t="str">
        <f>IF(COUNTBLANK(Hoja1!A782:I782)&gt;0,"Sí","No")</f>
        <v>No</v>
      </c>
      <c r="E782" s="3" t="str">
        <f>IF(COUNTIF(Hoja1!$A$2:$A$1000,Hoja1!A782)&gt;1,"Sí","No")</f>
        <v>No</v>
      </c>
      <c r="F782" s="3" t="str">
        <f>IF(COUNTIF(Hoja1!$G$2:$G$1000,Hoja1!G782)&gt;1,"Sí","No")</f>
        <v>No</v>
      </c>
      <c r="G782" s="3" t="str">
        <f>IF(OR(ISERROR(FIND("@",Hoja1!G782)),ISERROR(FIND(".",Hoja1!G782,FIND("@",Hoja1!G782)))),"Sí","No")</f>
        <v>No</v>
      </c>
      <c r="H782" s="3" t="str">
        <f>IF(LEN(Hoja1!F782)&lt;&gt;14,"Sí","No")</f>
        <v>No</v>
      </c>
      <c r="I782" s="3" t="str">
        <f>IF(Hoja1!C782&gt;Hoja1!H782,"Sí","No")</f>
        <v>No</v>
      </c>
      <c r="J782" s="3" t="str">
        <f>IF(SUMPRODUCT(--ISNUMBER(SEARCH({"0";"1";"2";"3";"4";"5";"6";"7";"8";"9"},Hoja1!D782)))=0,"Sí","No")</f>
        <v>No</v>
      </c>
      <c r="K782" s="3" t="str">
        <f t="shared" si="12"/>
        <v>No</v>
      </c>
    </row>
    <row r="783" spans="1:11" ht="15" customHeight="1" x14ac:dyDescent="0.3">
      <c r="A783" s="3" t="str">
        <f>Hoja1!A783</f>
        <v>C0782</v>
      </c>
      <c r="B783" s="3" t="str">
        <f>Hoja1!B783</f>
        <v>Hilda del Tapia</v>
      </c>
      <c r="C783" s="3" t="str">
        <f>IF(COUNTA(Hoja1!A783:I783)=0,"Sí","No")</f>
        <v>No</v>
      </c>
      <c r="D783" s="3" t="str">
        <f>IF(COUNTBLANK(Hoja1!A783:I783)&gt;0,"Sí","No")</f>
        <v>No</v>
      </c>
      <c r="E783" s="3" t="str">
        <f>IF(COUNTIF(Hoja1!$A$2:$A$1000,Hoja1!A783)&gt;1,"Sí","No")</f>
        <v>No</v>
      </c>
      <c r="F783" s="3" t="str">
        <f>IF(COUNTIF(Hoja1!$G$2:$G$1000,Hoja1!G783)&gt;1,"Sí","No")</f>
        <v>No</v>
      </c>
      <c r="G783" s="3" t="str">
        <f>IF(OR(ISERROR(FIND("@",Hoja1!G783)),ISERROR(FIND(".",Hoja1!G783,FIND("@",Hoja1!G783)))),"Sí","No")</f>
        <v>No</v>
      </c>
      <c r="H783" s="3" t="str">
        <f>IF(LEN(Hoja1!F783)&lt;&gt;14,"Sí","No")</f>
        <v>No</v>
      </c>
      <c r="I783" s="3" t="str">
        <f>IF(Hoja1!C783&gt;Hoja1!H783,"Sí","No")</f>
        <v>No</v>
      </c>
      <c r="J783" s="3" t="str">
        <f>IF(SUMPRODUCT(--ISNUMBER(SEARCH({"0";"1";"2";"3";"4";"5";"6";"7";"8";"9"},Hoja1!D783)))=0,"Sí","No")</f>
        <v>No</v>
      </c>
      <c r="K783" s="3" t="str">
        <f t="shared" si="12"/>
        <v>No</v>
      </c>
    </row>
    <row r="784" spans="1:11" ht="15" customHeight="1" x14ac:dyDescent="0.3">
      <c r="A784" s="3" t="str">
        <f>Hoja1!A784</f>
        <v>C0783</v>
      </c>
      <c r="B784" s="3" t="str">
        <f>Hoja1!B784</f>
        <v>Espiridión Abril Marti</v>
      </c>
      <c r="C784" s="3" t="str">
        <f>IF(COUNTA(Hoja1!A784:I784)=0,"Sí","No")</f>
        <v>No</v>
      </c>
      <c r="D784" s="3" t="str">
        <f>IF(COUNTBLANK(Hoja1!A784:I784)&gt;0,"Sí","No")</f>
        <v>No</v>
      </c>
      <c r="E784" s="3" t="str">
        <f>IF(COUNTIF(Hoja1!$A$2:$A$1000,Hoja1!A784)&gt;1,"Sí","No")</f>
        <v>No</v>
      </c>
      <c r="F784" s="3" t="str">
        <f>IF(COUNTIF(Hoja1!$G$2:$G$1000,Hoja1!G784)&gt;1,"Sí","No")</f>
        <v>No</v>
      </c>
      <c r="G784" s="3" t="str">
        <f>IF(OR(ISERROR(FIND("@",Hoja1!G784)),ISERROR(FIND(".",Hoja1!G784,FIND("@",Hoja1!G784)))),"Sí","No")</f>
        <v>No</v>
      </c>
      <c r="H784" s="3" t="str">
        <f>IF(LEN(Hoja1!F784)&lt;&gt;14,"Sí","No")</f>
        <v>No</v>
      </c>
      <c r="I784" s="3" t="str">
        <f>IF(Hoja1!C784&gt;Hoja1!H784,"Sí","No")</f>
        <v>No</v>
      </c>
      <c r="J784" s="3" t="str">
        <f>IF(SUMPRODUCT(--ISNUMBER(SEARCH({"0";"1";"2";"3";"4";"5";"6";"7";"8";"9"},Hoja1!D784)))=0,"Sí","No")</f>
        <v>No</v>
      </c>
      <c r="K784" s="3" t="str">
        <f t="shared" si="12"/>
        <v>No</v>
      </c>
    </row>
    <row r="785" spans="1:11" ht="15" customHeight="1" x14ac:dyDescent="0.3">
      <c r="A785" s="3" t="str">
        <f>Hoja1!A785</f>
        <v>C0784</v>
      </c>
      <c r="B785" s="3" t="str">
        <f>Hoja1!B785</f>
        <v>Porfirio Cal Bru</v>
      </c>
      <c r="C785" s="3" t="str">
        <f>IF(COUNTA(Hoja1!A785:I785)=0,"Sí","No")</f>
        <v>No</v>
      </c>
      <c r="D785" s="3" t="str">
        <f>IF(COUNTBLANK(Hoja1!A785:I785)&gt;0,"Sí","No")</f>
        <v>No</v>
      </c>
      <c r="E785" s="3" t="str">
        <f>IF(COUNTIF(Hoja1!$A$2:$A$1000,Hoja1!A785)&gt;1,"Sí","No")</f>
        <v>No</v>
      </c>
      <c r="F785" s="3" t="str">
        <f>IF(COUNTIF(Hoja1!$G$2:$G$1000,Hoja1!G785)&gt;1,"Sí","No")</f>
        <v>No</v>
      </c>
      <c r="G785" s="3" t="str">
        <f>IF(OR(ISERROR(FIND("@",Hoja1!G785)),ISERROR(FIND(".",Hoja1!G785,FIND("@",Hoja1!G785)))),"Sí","No")</f>
        <v>No</v>
      </c>
      <c r="H785" s="3" t="str">
        <f>IF(LEN(Hoja1!F785)&lt;&gt;14,"Sí","No")</f>
        <v>No</v>
      </c>
      <c r="I785" s="3" t="str">
        <f>IF(Hoja1!C785&gt;Hoja1!H785,"Sí","No")</f>
        <v>No</v>
      </c>
      <c r="J785" s="3" t="str">
        <f>IF(SUMPRODUCT(--ISNUMBER(SEARCH({"0";"1";"2";"3";"4";"5";"6";"7";"8";"9"},Hoja1!D785)))=0,"Sí","No")</f>
        <v>No</v>
      </c>
      <c r="K785" s="3" t="str">
        <f t="shared" si="12"/>
        <v>No</v>
      </c>
    </row>
    <row r="786" spans="1:11" ht="15" customHeight="1" x14ac:dyDescent="0.3">
      <c r="A786" s="3" t="str">
        <f>Hoja1!A786</f>
        <v>C0785</v>
      </c>
      <c r="B786" s="3" t="str">
        <f>Hoja1!B786</f>
        <v>María Ángeles de Valbuena</v>
      </c>
      <c r="C786" s="3" t="str">
        <f>IF(COUNTA(Hoja1!A786:I786)=0,"Sí","No")</f>
        <v>No</v>
      </c>
      <c r="D786" s="3" t="str">
        <f>IF(COUNTBLANK(Hoja1!A786:I786)&gt;0,"Sí","No")</f>
        <v>No</v>
      </c>
      <c r="E786" s="3" t="str">
        <f>IF(COUNTIF(Hoja1!$A$2:$A$1000,Hoja1!A786)&gt;1,"Sí","No")</f>
        <v>No</v>
      </c>
      <c r="F786" s="3" t="str">
        <f>IF(COUNTIF(Hoja1!$G$2:$G$1000,Hoja1!G786)&gt;1,"Sí","No")</f>
        <v>No</v>
      </c>
      <c r="G786" s="3" t="str">
        <f>IF(OR(ISERROR(FIND("@",Hoja1!G786)),ISERROR(FIND(".",Hoja1!G786,FIND("@",Hoja1!G786)))),"Sí","No")</f>
        <v>No</v>
      </c>
      <c r="H786" s="3" t="str">
        <f>IF(LEN(Hoja1!F786)&lt;&gt;14,"Sí","No")</f>
        <v>No</v>
      </c>
      <c r="I786" s="3" t="str">
        <f>IF(Hoja1!C786&gt;Hoja1!H786,"Sí","No")</f>
        <v>No</v>
      </c>
      <c r="J786" s="3" t="str">
        <f>IF(SUMPRODUCT(--ISNUMBER(SEARCH({"0";"1";"2";"3";"4";"5";"6";"7";"8";"9"},Hoja1!D786)))=0,"Sí","No")</f>
        <v>No</v>
      </c>
      <c r="K786" s="3" t="str">
        <f t="shared" si="12"/>
        <v>No</v>
      </c>
    </row>
    <row r="787" spans="1:11" ht="15" customHeight="1" x14ac:dyDescent="0.3">
      <c r="A787" s="3" t="str">
        <f>Hoja1!A787</f>
        <v>C0786</v>
      </c>
      <c r="B787" s="3" t="str">
        <f>Hoja1!B787</f>
        <v>Darío Dávila</v>
      </c>
      <c r="C787" s="3" t="str">
        <f>IF(COUNTA(Hoja1!A787:I787)=0,"Sí","No")</f>
        <v>No</v>
      </c>
      <c r="D787" s="3" t="str">
        <f>IF(COUNTBLANK(Hoja1!A787:I787)&gt;0,"Sí","No")</f>
        <v>No</v>
      </c>
      <c r="E787" s="3" t="str">
        <f>IF(COUNTIF(Hoja1!$A$2:$A$1000,Hoja1!A787)&gt;1,"Sí","No")</f>
        <v>No</v>
      </c>
      <c r="F787" s="3" t="str">
        <f>IF(COUNTIF(Hoja1!$G$2:$G$1000,Hoja1!G787)&gt;1,"Sí","No")</f>
        <v>No</v>
      </c>
      <c r="G787" s="3" t="str">
        <f>IF(OR(ISERROR(FIND("@",Hoja1!G787)),ISERROR(FIND(".",Hoja1!G787,FIND("@",Hoja1!G787)))),"Sí","No")</f>
        <v>No</v>
      </c>
      <c r="H787" s="3" t="str">
        <f>IF(LEN(Hoja1!F787)&lt;&gt;14,"Sí","No")</f>
        <v>No</v>
      </c>
      <c r="I787" s="3" t="str">
        <f>IF(Hoja1!C787&gt;Hoja1!H787,"Sí","No")</f>
        <v>No</v>
      </c>
      <c r="J787" s="3" t="str">
        <f>IF(SUMPRODUCT(--ISNUMBER(SEARCH({"0";"1";"2";"3";"4";"5";"6";"7";"8";"9"},Hoja1!D787)))=0,"Sí","No")</f>
        <v>No</v>
      </c>
      <c r="K787" s="3" t="str">
        <f t="shared" si="12"/>
        <v>No</v>
      </c>
    </row>
    <row r="788" spans="1:11" ht="15" customHeight="1" x14ac:dyDescent="0.3">
      <c r="A788" s="3" t="str">
        <f>Hoja1!A788</f>
        <v>C0787</v>
      </c>
      <c r="B788" s="3" t="str">
        <f>Hoja1!B788</f>
        <v>Victor Manuel Sedano-Domingo</v>
      </c>
      <c r="C788" s="3" t="str">
        <f>IF(COUNTA(Hoja1!A788:I788)=0,"Sí","No")</f>
        <v>No</v>
      </c>
      <c r="D788" s="3" t="str">
        <f>IF(COUNTBLANK(Hoja1!A788:I788)&gt;0,"Sí","No")</f>
        <v>No</v>
      </c>
      <c r="E788" s="3" t="str">
        <f>IF(COUNTIF(Hoja1!$A$2:$A$1000,Hoja1!A788)&gt;1,"Sí","No")</f>
        <v>No</v>
      </c>
      <c r="F788" s="3" t="str">
        <f>IF(COUNTIF(Hoja1!$G$2:$G$1000,Hoja1!G788)&gt;1,"Sí","No")</f>
        <v>No</v>
      </c>
      <c r="G788" s="3" t="str">
        <f>IF(OR(ISERROR(FIND("@",Hoja1!G788)),ISERROR(FIND(".",Hoja1!G788,FIND("@",Hoja1!G788)))),"Sí","No")</f>
        <v>No</v>
      </c>
      <c r="H788" s="3" t="str">
        <f>IF(LEN(Hoja1!F788)&lt;&gt;14,"Sí","No")</f>
        <v>No</v>
      </c>
      <c r="I788" s="3" t="str">
        <f>IF(Hoja1!C788&gt;Hoja1!H788,"Sí","No")</f>
        <v>No</v>
      </c>
      <c r="J788" s="3" t="str">
        <f>IF(SUMPRODUCT(--ISNUMBER(SEARCH({"0";"1";"2";"3";"4";"5";"6";"7";"8";"9"},Hoja1!D788)))=0,"Sí","No")</f>
        <v>No</v>
      </c>
      <c r="K788" s="3" t="str">
        <f t="shared" si="12"/>
        <v>No</v>
      </c>
    </row>
    <row r="789" spans="1:11" ht="15" customHeight="1" x14ac:dyDescent="0.3">
      <c r="A789" s="3" t="str">
        <f>Hoja1!A789</f>
        <v>C0788</v>
      </c>
      <c r="B789" s="3" t="str">
        <f>Hoja1!B789</f>
        <v>Marcela Saura</v>
      </c>
      <c r="C789" s="3" t="str">
        <f>IF(COUNTA(Hoja1!A789:I789)=0,"Sí","No")</f>
        <v>No</v>
      </c>
      <c r="D789" s="3" t="str">
        <f>IF(COUNTBLANK(Hoja1!A789:I789)&gt;0,"Sí","No")</f>
        <v>No</v>
      </c>
      <c r="E789" s="3" t="str">
        <f>IF(COUNTIF(Hoja1!$A$2:$A$1000,Hoja1!A789)&gt;1,"Sí","No")</f>
        <v>No</v>
      </c>
      <c r="F789" s="3" t="str">
        <f>IF(COUNTIF(Hoja1!$G$2:$G$1000,Hoja1!G789)&gt;1,"Sí","No")</f>
        <v>No</v>
      </c>
      <c r="G789" s="3" t="str">
        <f>IF(OR(ISERROR(FIND("@",Hoja1!G789)),ISERROR(FIND(".",Hoja1!G789,FIND("@",Hoja1!G789)))),"Sí","No")</f>
        <v>No</v>
      </c>
      <c r="H789" s="3" t="str">
        <f>IF(LEN(Hoja1!F789)&lt;&gt;14,"Sí","No")</f>
        <v>No</v>
      </c>
      <c r="I789" s="3" t="str">
        <f>IF(Hoja1!C789&gt;Hoja1!H789,"Sí","No")</f>
        <v>No</v>
      </c>
      <c r="J789" s="3" t="str">
        <f>IF(SUMPRODUCT(--ISNUMBER(SEARCH({"0";"1";"2";"3";"4";"5";"6";"7";"8";"9"},Hoja1!D789)))=0,"Sí","No")</f>
        <v>No</v>
      </c>
      <c r="K789" s="3" t="str">
        <f t="shared" si="12"/>
        <v>No</v>
      </c>
    </row>
    <row r="790" spans="1:11" ht="15" customHeight="1" x14ac:dyDescent="0.3">
      <c r="A790" s="3" t="str">
        <f>Hoja1!A790</f>
        <v>C0789</v>
      </c>
      <c r="B790" s="3" t="str">
        <f>Hoja1!B790</f>
        <v>Rosalva Carreras Calatayud</v>
      </c>
      <c r="C790" s="3" t="str">
        <f>IF(COUNTA(Hoja1!A790:I790)=0,"Sí","No")</f>
        <v>No</v>
      </c>
      <c r="D790" s="3" t="str">
        <f>IF(COUNTBLANK(Hoja1!A790:I790)&gt;0,"Sí","No")</f>
        <v>No</v>
      </c>
      <c r="E790" s="3" t="str">
        <f>IF(COUNTIF(Hoja1!$A$2:$A$1000,Hoja1!A790)&gt;1,"Sí","No")</f>
        <v>No</v>
      </c>
      <c r="F790" s="3" t="str">
        <f>IF(COUNTIF(Hoja1!$G$2:$G$1000,Hoja1!G790)&gt;1,"Sí","No")</f>
        <v>No</v>
      </c>
      <c r="G790" s="3" t="str">
        <f>IF(OR(ISERROR(FIND("@",Hoja1!G790)),ISERROR(FIND(".",Hoja1!G790,FIND("@",Hoja1!G790)))),"Sí","No")</f>
        <v>No</v>
      </c>
      <c r="H790" s="3" t="str">
        <f>IF(LEN(Hoja1!F790)&lt;&gt;14,"Sí","No")</f>
        <v>No</v>
      </c>
      <c r="I790" s="3" t="str">
        <f>IF(Hoja1!C790&gt;Hoja1!H790,"Sí","No")</f>
        <v>No</v>
      </c>
      <c r="J790" s="3" t="str">
        <f>IF(SUMPRODUCT(--ISNUMBER(SEARCH({"0";"1";"2";"3";"4";"5";"6";"7";"8";"9"},Hoja1!D790)))=0,"Sí","No")</f>
        <v>No</v>
      </c>
      <c r="K790" s="3" t="str">
        <f t="shared" si="12"/>
        <v>No</v>
      </c>
    </row>
    <row r="791" spans="1:11" ht="15" customHeight="1" x14ac:dyDescent="0.3">
      <c r="A791" s="3" t="str">
        <f>Hoja1!A791</f>
        <v>C0790</v>
      </c>
      <c r="B791" s="3" t="str">
        <f>Hoja1!B791</f>
        <v>Ágata Bermúdez-Espejo</v>
      </c>
      <c r="C791" s="3" t="str">
        <f>IF(COUNTA(Hoja1!A791:I791)=0,"Sí","No")</f>
        <v>No</v>
      </c>
      <c r="D791" s="3" t="str">
        <f>IF(COUNTBLANK(Hoja1!A791:I791)&gt;0,"Sí","No")</f>
        <v>No</v>
      </c>
      <c r="E791" s="3" t="str">
        <f>IF(COUNTIF(Hoja1!$A$2:$A$1000,Hoja1!A791)&gt;1,"Sí","No")</f>
        <v>No</v>
      </c>
      <c r="F791" s="3" t="str">
        <f>IF(COUNTIF(Hoja1!$G$2:$G$1000,Hoja1!G791)&gt;1,"Sí","No")</f>
        <v>No</v>
      </c>
      <c r="G791" s="3" t="str">
        <f>IF(OR(ISERROR(FIND("@",Hoja1!G791)),ISERROR(FIND(".",Hoja1!G791,FIND("@",Hoja1!G791)))),"Sí","No")</f>
        <v>No</v>
      </c>
      <c r="H791" s="3" t="str">
        <f>IF(LEN(Hoja1!F791)&lt;&gt;14,"Sí","No")</f>
        <v>No</v>
      </c>
      <c r="I791" s="3" t="str">
        <f>IF(Hoja1!C791&gt;Hoja1!H791,"Sí","No")</f>
        <v>No</v>
      </c>
      <c r="J791" s="3" t="str">
        <f>IF(SUMPRODUCT(--ISNUMBER(SEARCH({"0";"1";"2";"3";"4";"5";"6";"7";"8";"9"},Hoja1!D791)))=0,"Sí","No")</f>
        <v>No</v>
      </c>
      <c r="K791" s="3" t="str">
        <f t="shared" si="12"/>
        <v>No</v>
      </c>
    </row>
    <row r="792" spans="1:11" ht="15" customHeight="1" x14ac:dyDescent="0.3">
      <c r="A792" s="3" t="str">
        <f>Hoja1!A792</f>
        <v>C0791</v>
      </c>
      <c r="B792" s="3" t="str">
        <f>Hoja1!B792</f>
        <v>Leire Bellido Carmona</v>
      </c>
      <c r="C792" s="3" t="str">
        <f>IF(COUNTA(Hoja1!A792:I792)=0,"Sí","No")</f>
        <v>No</v>
      </c>
      <c r="D792" s="3" t="str">
        <f>IF(COUNTBLANK(Hoja1!A792:I792)&gt;0,"Sí","No")</f>
        <v>No</v>
      </c>
      <c r="E792" s="3" t="str">
        <f>IF(COUNTIF(Hoja1!$A$2:$A$1000,Hoja1!A792)&gt;1,"Sí","No")</f>
        <v>No</v>
      </c>
      <c r="F792" s="3" t="str">
        <f>IF(COUNTIF(Hoja1!$G$2:$G$1000,Hoja1!G792)&gt;1,"Sí","No")</f>
        <v>No</v>
      </c>
      <c r="G792" s="3" t="str">
        <f>IF(OR(ISERROR(FIND("@",Hoja1!G792)),ISERROR(FIND(".",Hoja1!G792,FIND("@",Hoja1!G792)))),"Sí","No")</f>
        <v>No</v>
      </c>
      <c r="H792" s="3" t="str">
        <f>IF(LEN(Hoja1!F792)&lt;&gt;14,"Sí","No")</f>
        <v>No</v>
      </c>
      <c r="I792" s="3" t="str">
        <f>IF(Hoja1!C792&gt;Hoja1!H792,"Sí","No")</f>
        <v>No</v>
      </c>
      <c r="J792" s="3" t="str">
        <f>IF(SUMPRODUCT(--ISNUMBER(SEARCH({"0";"1";"2";"3";"4";"5";"6";"7";"8";"9"},Hoja1!D792)))=0,"Sí","No")</f>
        <v>No</v>
      </c>
      <c r="K792" s="3" t="str">
        <f t="shared" si="12"/>
        <v>No</v>
      </c>
    </row>
    <row r="793" spans="1:11" ht="15" customHeight="1" x14ac:dyDescent="0.3">
      <c r="A793" s="3" t="str">
        <f>Hoja1!A793</f>
        <v>C0792</v>
      </c>
      <c r="B793" s="3" t="str">
        <f>Hoja1!B793</f>
        <v>Consuela Emilia Cuenca Cerdán</v>
      </c>
      <c r="C793" s="3" t="str">
        <f>IF(COUNTA(Hoja1!A793:I793)=0,"Sí","No")</f>
        <v>No</v>
      </c>
      <c r="D793" s="3" t="str">
        <f>IF(COUNTBLANK(Hoja1!A793:I793)&gt;0,"Sí","No")</f>
        <v>No</v>
      </c>
      <c r="E793" s="3" t="str">
        <f>IF(COUNTIF(Hoja1!$A$2:$A$1000,Hoja1!A793)&gt;1,"Sí","No")</f>
        <v>No</v>
      </c>
      <c r="F793" s="3" t="str">
        <f>IF(COUNTIF(Hoja1!$G$2:$G$1000,Hoja1!G793)&gt;1,"Sí","No")</f>
        <v>No</v>
      </c>
      <c r="G793" s="3" t="str">
        <f>IF(OR(ISERROR(FIND("@",Hoja1!G793)),ISERROR(FIND(".",Hoja1!G793,FIND("@",Hoja1!G793)))),"Sí","No")</f>
        <v>No</v>
      </c>
      <c r="H793" s="3" t="str">
        <f>IF(LEN(Hoja1!F793)&lt;&gt;14,"Sí","No")</f>
        <v>No</v>
      </c>
      <c r="I793" s="3" t="str">
        <f>IF(Hoja1!C793&gt;Hoja1!H793,"Sí","No")</f>
        <v>No</v>
      </c>
      <c r="J793" s="3" t="str">
        <f>IF(SUMPRODUCT(--ISNUMBER(SEARCH({"0";"1";"2";"3";"4";"5";"6";"7";"8";"9"},Hoja1!D793)))=0,"Sí","No")</f>
        <v>No</v>
      </c>
      <c r="K793" s="3" t="str">
        <f t="shared" si="12"/>
        <v>No</v>
      </c>
    </row>
    <row r="794" spans="1:11" ht="15" customHeight="1" x14ac:dyDescent="0.3">
      <c r="A794" s="3" t="str">
        <f>Hoja1!A794</f>
        <v>C0793</v>
      </c>
      <c r="B794" s="3" t="str">
        <f>Hoja1!B794</f>
        <v>Juan Luis Ángel Alemany</v>
      </c>
      <c r="C794" s="3" t="str">
        <f>IF(COUNTA(Hoja1!A794:I794)=0,"Sí","No")</f>
        <v>No</v>
      </c>
      <c r="D794" s="3" t="str">
        <f>IF(COUNTBLANK(Hoja1!A794:I794)&gt;0,"Sí","No")</f>
        <v>No</v>
      </c>
      <c r="E794" s="3" t="str">
        <f>IF(COUNTIF(Hoja1!$A$2:$A$1000,Hoja1!A794)&gt;1,"Sí","No")</f>
        <v>No</v>
      </c>
      <c r="F794" s="3" t="str">
        <f>IF(COUNTIF(Hoja1!$G$2:$G$1000,Hoja1!G794)&gt;1,"Sí","No")</f>
        <v>No</v>
      </c>
      <c r="G794" s="3" t="str">
        <f>IF(OR(ISERROR(FIND("@",Hoja1!G794)),ISERROR(FIND(".",Hoja1!G794,FIND("@",Hoja1!G794)))),"Sí","No")</f>
        <v>No</v>
      </c>
      <c r="H794" s="3" t="str">
        <f>IF(LEN(Hoja1!F794)&lt;&gt;14,"Sí","No")</f>
        <v>No</v>
      </c>
      <c r="I794" s="3" t="str">
        <f>IF(Hoja1!C794&gt;Hoja1!H794,"Sí","No")</f>
        <v>No</v>
      </c>
      <c r="J794" s="3" t="str">
        <f>IF(SUMPRODUCT(--ISNUMBER(SEARCH({"0";"1";"2";"3";"4";"5";"6";"7";"8";"9"},Hoja1!D794)))=0,"Sí","No")</f>
        <v>No</v>
      </c>
      <c r="K794" s="3" t="str">
        <f t="shared" si="12"/>
        <v>No</v>
      </c>
    </row>
    <row r="795" spans="1:11" ht="15" customHeight="1" x14ac:dyDescent="0.3">
      <c r="A795" s="3" t="str">
        <f>Hoja1!A795</f>
        <v>C0794</v>
      </c>
      <c r="B795" s="3" t="str">
        <f>Hoja1!B795</f>
        <v>Nazaret Garrido Lladó</v>
      </c>
      <c r="C795" s="3" t="str">
        <f>IF(COUNTA(Hoja1!A795:I795)=0,"Sí","No")</f>
        <v>No</v>
      </c>
      <c r="D795" s="3" t="str">
        <f>IF(COUNTBLANK(Hoja1!A795:I795)&gt;0,"Sí","No")</f>
        <v>No</v>
      </c>
      <c r="E795" s="3" t="str">
        <f>IF(COUNTIF(Hoja1!$A$2:$A$1000,Hoja1!A795)&gt;1,"Sí","No")</f>
        <v>No</v>
      </c>
      <c r="F795" s="3" t="str">
        <f>IF(COUNTIF(Hoja1!$G$2:$G$1000,Hoja1!G795)&gt;1,"Sí","No")</f>
        <v>No</v>
      </c>
      <c r="G795" s="3" t="str">
        <f>IF(OR(ISERROR(FIND("@",Hoja1!G795)),ISERROR(FIND(".",Hoja1!G795,FIND("@",Hoja1!G795)))),"Sí","No")</f>
        <v>No</v>
      </c>
      <c r="H795" s="3" t="str">
        <f>IF(LEN(Hoja1!F795)&lt;&gt;14,"Sí","No")</f>
        <v>No</v>
      </c>
      <c r="I795" s="3" t="str">
        <f>IF(Hoja1!C795&gt;Hoja1!H795,"Sí","No")</f>
        <v>No</v>
      </c>
      <c r="J795" s="3" t="str">
        <f>IF(SUMPRODUCT(--ISNUMBER(SEARCH({"0";"1";"2";"3";"4";"5";"6";"7";"8";"9"},Hoja1!D795)))=0,"Sí","No")</f>
        <v>No</v>
      </c>
      <c r="K795" s="3" t="str">
        <f t="shared" si="12"/>
        <v>No</v>
      </c>
    </row>
    <row r="796" spans="1:11" ht="15" customHeight="1" x14ac:dyDescent="0.3">
      <c r="A796" s="3" t="str">
        <f>Hoja1!A796</f>
        <v>C0795</v>
      </c>
      <c r="B796" s="3" t="str">
        <f>Hoja1!B796</f>
        <v>Elena Pons</v>
      </c>
      <c r="C796" s="3" t="str">
        <f>IF(COUNTA(Hoja1!A796:I796)=0,"Sí","No")</f>
        <v>No</v>
      </c>
      <c r="D796" s="3" t="str">
        <f>IF(COUNTBLANK(Hoja1!A796:I796)&gt;0,"Sí","No")</f>
        <v>No</v>
      </c>
      <c r="E796" s="3" t="str">
        <f>IF(COUNTIF(Hoja1!$A$2:$A$1000,Hoja1!A796)&gt;1,"Sí","No")</f>
        <v>No</v>
      </c>
      <c r="F796" s="3" t="str">
        <f>IF(COUNTIF(Hoja1!$G$2:$G$1000,Hoja1!G796)&gt;1,"Sí","No")</f>
        <v>No</v>
      </c>
      <c r="G796" s="3" t="str">
        <f>IF(OR(ISERROR(FIND("@",Hoja1!G796)),ISERROR(FIND(".",Hoja1!G796,FIND("@",Hoja1!G796)))),"Sí","No")</f>
        <v>No</v>
      </c>
      <c r="H796" s="3" t="str">
        <f>IF(LEN(Hoja1!F796)&lt;&gt;14,"Sí","No")</f>
        <v>No</v>
      </c>
      <c r="I796" s="3" t="str">
        <f>IF(Hoja1!C796&gt;Hoja1!H796,"Sí","No")</f>
        <v>No</v>
      </c>
      <c r="J796" s="3" t="str">
        <f>IF(SUMPRODUCT(--ISNUMBER(SEARCH({"0";"1";"2";"3";"4";"5";"6";"7";"8";"9"},Hoja1!D796)))=0,"Sí","No")</f>
        <v>No</v>
      </c>
      <c r="K796" s="3" t="str">
        <f t="shared" si="12"/>
        <v>No</v>
      </c>
    </row>
    <row r="797" spans="1:11" ht="15" customHeight="1" x14ac:dyDescent="0.3">
      <c r="A797" s="3" t="str">
        <f>Hoja1!A797</f>
        <v>C0796</v>
      </c>
      <c r="B797" s="3" t="str">
        <f>Hoja1!B797</f>
        <v>Pilar Castells Fernández</v>
      </c>
      <c r="C797" s="3" t="str">
        <f>IF(COUNTA(Hoja1!A797:I797)=0,"Sí","No")</f>
        <v>No</v>
      </c>
      <c r="D797" s="3" t="str">
        <f>IF(COUNTBLANK(Hoja1!A797:I797)&gt;0,"Sí","No")</f>
        <v>No</v>
      </c>
      <c r="E797" s="3" t="str">
        <f>IF(COUNTIF(Hoja1!$A$2:$A$1000,Hoja1!A797)&gt;1,"Sí","No")</f>
        <v>No</v>
      </c>
      <c r="F797" s="3" t="str">
        <f>IF(COUNTIF(Hoja1!$G$2:$G$1000,Hoja1!G797)&gt;1,"Sí","No")</f>
        <v>No</v>
      </c>
      <c r="G797" s="3" t="str">
        <f>IF(OR(ISERROR(FIND("@",Hoja1!G797)),ISERROR(FIND(".",Hoja1!G797,FIND("@",Hoja1!G797)))),"Sí","No")</f>
        <v>No</v>
      </c>
      <c r="H797" s="3" t="str">
        <f>IF(LEN(Hoja1!F797)&lt;&gt;14,"Sí","No")</f>
        <v>No</v>
      </c>
      <c r="I797" s="3" t="str">
        <f>IF(Hoja1!C797&gt;Hoja1!H797,"Sí","No")</f>
        <v>No</v>
      </c>
      <c r="J797" s="3" t="str">
        <f>IF(SUMPRODUCT(--ISNUMBER(SEARCH({"0";"1";"2";"3";"4";"5";"6";"7";"8";"9"},Hoja1!D797)))=0,"Sí","No")</f>
        <v>No</v>
      </c>
      <c r="K797" s="3" t="str">
        <f t="shared" si="12"/>
        <v>No</v>
      </c>
    </row>
    <row r="798" spans="1:11" ht="15" customHeight="1" x14ac:dyDescent="0.3">
      <c r="A798" s="3" t="str">
        <f>Hoja1!A798</f>
        <v>C0797</v>
      </c>
      <c r="B798" s="3" t="str">
        <f>Hoja1!B798</f>
        <v>José María Jacobo Ojeda Montesinos</v>
      </c>
      <c r="C798" s="3" t="str">
        <f>IF(COUNTA(Hoja1!A798:I798)=0,"Sí","No")</f>
        <v>No</v>
      </c>
      <c r="D798" s="3" t="str">
        <f>IF(COUNTBLANK(Hoja1!A798:I798)&gt;0,"Sí","No")</f>
        <v>No</v>
      </c>
      <c r="E798" s="3" t="str">
        <f>IF(COUNTIF(Hoja1!$A$2:$A$1000,Hoja1!A798)&gt;1,"Sí","No")</f>
        <v>No</v>
      </c>
      <c r="F798" s="3" t="str">
        <f>IF(COUNTIF(Hoja1!$G$2:$G$1000,Hoja1!G798)&gt;1,"Sí","No")</f>
        <v>No</v>
      </c>
      <c r="G798" s="3" t="str">
        <f>IF(OR(ISERROR(FIND("@",Hoja1!G798)),ISERROR(FIND(".",Hoja1!G798,FIND("@",Hoja1!G798)))),"Sí","No")</f>
        <v>No</v>
      </c>
      <c r="H798" s="3" t="str">
        <f>IF(LEN(Hoja1!F798)&lt;&gt;14,"Sí","No")</f>
        <v>No</v>
      </c>
      <c r="I798" s="3" t="str">
        <f>IF(Hoja1!C798&gt;Hoja1!H798,"Sí","No")</f>
        <v>No</v>
      </c>
      <c r="J798" s="3" t="str">
        <f>IF(SUMPRODUCT(--ISNUMBER(SEARCH({"0";"1";"2";"3";"4";"5";"6";"7";"8";"9"},Hoja1!D798)))=0,"Sí","No")</f>
        <v>No</v>
      </c>
      <c r="K798" s="3" t="str">
        <f t="shared" si="12"/>
        <v>No</v>
      </c>
    </row>
    <row r="799" spans="1:11" ht="15" customHeight="1" x14ac:dyDescent="0.3">
      <c r="A799" s="3" t="str">
        <f>Hoja1!A799</f>
        <v>C0798</v>
      </c>
      <c r="B799" s="3" t="str">
        <f>Hoja1!B799</f>
        <v>Manolo de Pavón</v>
      </c>
      <c r="C799" s="3" t="str">
        <f>IF(COUNTA(Hoja1!A799:I799)=0,"Sí","No")</f>
        <v>No</v>
      </c>
      <c r="D799" s="3" t="str">
        <f>IF(COUNTBLANK(Hoja1!A799:I799)&gt;0,"Sí","No")</f>
        <v>No</v>
      </c>
      <c r="E799" s="3" t="str">
        <f>IF(COUNTIF(Hoja1!$A$2:$A$1000,Hoja1!A799)&gt;1,"Sí","No")</f>
        <v>No</v>
      </c>
      <c r="F799" s="3" t="str">
        <f>IF(COUNTIF(Hoja1!$G$2:$G$1000,Hoja1!G799)&gt;1,"Sí","No")</f>
        <v>No</v>
      </c>
      <c r="G799" s="3" t="str">
        <f>IF(OR(ISERROR(FIND("@",Hoja1!G799)),ISERROR(FIND(".",Hoja1!G799,FIND("@",Hoja1!G799)))),"Sí","No")</f>
        <v>No</v>
      </c>
      <c r="H799" s="3" t="str">
        <f>IF(LEN(Hoja1!F799)&lt;&gt;14,"Sí","No")</f>
        <v>No</v>
      </c>
      <c r="I799" s="3" t="str">
        <f>IF(Hoja1!C799&gt;Hoja1!H799,"Sí","No")</f>
        <v>No</v>
      </c>
      <c r="J799" s="3" t="str">
        <f>IF(SUMPRODUCT(--ISNUMBER(SEARCH({"0";"1";"2";"3";"4";"5";"6";"7";"8";"9"},Hoja1!D799)))=0,"Sí","No")</f>
        <v>No</v>
      </c>
      <c r="K799" s="3" t="str">
        <f t="shared" si="12"/>
        <v>No</v>
      </c>
    </row>
    <row r="800" spans="1:11" ht="15" customHeight="1" x14ac:dyDescent="0.3">
      <c r="A800" s="3" t="str">
        <f>Hoja1!A800</f>
        <v>C0799</v>
      </c>
      <c r="B800" s="3" t="str">
        <f>Hoja1!B800</f>
        <v>Cándido Beltrán Pino</v>
      </c>
      <c r="C800" s="3" t="str">
        <f>IF(COUNTA(Hoja1!A800:I800)=0,"Sí","No")</f>
        <v>No</v>
      </c>
      <c r="D800" s="3" t="str">
        <f>IF(COUNTBLANK(Hoja1!A800:I800)&gt;0,"Sí","No")</f>
        <v>No</v>
      </c>
      <c r="E800" s="3" t="str">
        <f>IF(COUNTIF(Hoja1!$A$2:$A$1000,Hoja1!A800)&gt;1,"Sí","No")</f>
        <v>No</v>
      </c>
      <c r="F800" s="3" t="str">
        <f>IF(COUNTIF(Hoja1!$G$2:$G$1000,Hoja1!G800)&gt;1,"Sí","No")</f>
        <v>No</v>
      </c>
      <c r="G800" s="3" t="str">
        <f>IF(OR(ISERROR(FIND("@",Hoja1!G800)),ISERROR(FIND(".",Hoja1!G800,FIND("@",Hoja1!G800)))),"Sí","No")</f>
        <v>No</v>
      </c>
      <c r="H800" s="3" t="str">
        <f>IF(LEN(Hoja1!F800)&lt;&gt;14,"Sí","No")</f>
        <v>No</v>
      </c>
      <c r="I800" s="3" t="str">
        <f>IF(Hoja1!C800&gt;Hoja1!H800,"Sí","No")</f>
        <v>No</v>
      </c>
      <c r="J800" s="3" t="str">
        <f>IF(SUMPRODUCT(--ISNUMBER(SEARCH({"0";"1";"2";"3";"4";"5";"6";"7";"8";"9"},Hoja1!D800)))=0,"Sí","No")</f>
        <v>No</v>
      </c>
      <c r="K800" s="3" t="str">
        <f t="shared" si="12"/>
        <v>No</v>
      </c>
    </row>
    <row r="801" spans="1:11" ht="15" customHeight="1" x14ac:dyDescent="0.3">
      <c r="A801" s="3" t="str">
        <f>Hoja1!A801</f>
        <v>C0800</v>
      </c>
      <c r="B801" s="3" t="str">
        <f>Hoja1!B801</f>
        <v>Apolonia del Real</v>
      </c>
      <c r="C801" s="3" t="str">
        <f>IF(COUNTA(Hoja1!A801:I801)=0,"Sí","No")</f>
        <v>No</v>
      </c>
      <c r="D801" s="3" t="str">
        <f>IF(COUNTBLANK(Hoja1!A801:I801)&gt;0,"Sí","No")</f>
        <v>No</v>
      </c>
      <c r="E801" s="3" t="str">
        <f>IF(COUNTIF(Hoja1!$A$2:$A$1000,Hoja1!A801)&gt;1,"Sí","No")</f>
        <v>No</v>
      </c>
      <c r="F801" s="3" t="str">
        <f>IF(COUNTIF(Hoja1!$G$2:$G$1000,Hoja1!G801)&gt;1,"Sí","No")</f>
        <v>No</v>
      </c>
      <c r="G801" s="3" t="str">
        <f>IF(OR(ISERROR(FIND("@",Hoja1!G801)),ISERROR(FIND(".",Hoja1!G801,FIND("@",Hoja1!G801)))),"Sí","No")</f>
        <v>No</v>
      </c>
      <c r="H801" s="3" t="str">
        <f>IF(LEN(Hoja1!F801)&lt;&gt;14,"Sí","No")</f>
        <v>No</v>
      </c>
      <c r="I801" s="3" t="str">
        <f>IF(Hoja1!C801&gt;Hoja1!H801,"Sí","No")</f>
        <v>No</v>
      </c>
      <c r="J801" s="3" t="str">
        <f>IF(SUMPRODUCT(--ISNUMBER(SEARCH({"0";"1";"2";"3";"4";"5";"6";"7";"8";"9"},Hoja1!D801)))=0,"Sí","No")</f>
        <v>No</v>
      </c>
      <c r="K801" s="3" t="str">
        <f t="shared" si="12"/>
        <v>No</v>
      </c>
    </row>
    <row r="802" spans="1:11" ht="15" customHeight="1" x14ac:dyDescent="0.3">
      <c r="A802" s="3" t="str">
        <f>Hoja1!A802</f>
        <v>C0801</v>
      </c>
      <c r="B802" s="3" t="str">
        <f>Hoja1!B802</f>
        <v>Zoraida Rovira Arce</v>
      </c>
      <c r="C802" s="3" t="str">
        <f>IF(COUNTA(Hoja1!A802:I802)=0,"Sí","No")</f>
        <v>No</v>
      </c>
      <c r="D802" s="3" t="str">
        <f>IF(COUNTBLANK(Hoja1!A802:I802)&gt;0,"Sí","No")</f>
        <v>No</v>
      </c>
      <c r="E802" s="3" t="str">
        <f>IF(COUNTIF(Hoja1!$A$2:$A$1000,Hoja1!A802)&gt;1,"Sí","No")</f>
        <v>No</v>
      </c>
      <c r="F802" s="3" t="str">
        <f>IF(COUNTIF(Hoja1!$G$2:$G$1000,Hoja1!G802)&gt;1,"Sí","No")</f>
        <v>No</v>
      </c>
      <c r="G802" s="3" t="str">
        <f>IF(OR(ISERROR(FIND("@",Hoja1!G802)),ISERROR(FIND(".",Hoja1!G802,FIND("@",Hoja1!G802)))),"Sí","No")</f>
        <v>No</v>
      </c>
      <c r="H802" s="3" t="str">
        <f>IF(LEN(Hoja1!F802)&lt;&gt;14,"Sí","No")</f>
        <v>No</v>
      </c>
      <c r="I802" s="3" t="str">
        <f>IF(Hoja1!C802&gt;Hoja1!H802,"Sí","No")</f>
        <v>No</v>
      </c>
      <c r="J802" s="3" t="str">
        <f>IF(SUMPRODUCT(--ISNUMBER(SEARCH({"0";"1";"2";"3";"4";"5";"6";"7";"8";"9"},Hoja1!D802)))=0,"Sí","No")</f>
        <v>No</v>
      </c>
      <c r="K802" s="3" t="str">
        <f t="shared" si="12"/>
        <v>No</v>
      </c>
    </row>
    <row r="803" spans="1:11" ht="15" customHeight="1" x14ac:dyDescent="0.3">
      <c r="A803" s="3" t="str">
        <f>Hoja1!A803</f>
        <v>C0802</v>
      </c>
      <c r="B803" s="3" t="str">
        <f>Hoja1!B803</f>
        <v>Elpidio Pont Expósito</v>
      </c>
      <c r="C803" s="3" t="str">
        <f>IF(COUNTA(Hoja1!A803:I803)=0,"Sí","No")</f>
        <v>No</v>
      </c>
      <c r="D803" s="3" t="str">
        <f>IF(COUNTBLANK(Hoja1!A803:I803)&gt;0,"Sí","No")</f>
        <v>No</v>
      </c>
      <c r="E803" s="3" t="str">
        <f>IF(COUNTIF(Hoja1!$A$2:$A$1000,Hoja1!A803)&gt;1,"Sí","No")</f>
        <v>No</v>
      </c>
      <c r="F803" s="3" t="str">
        <f>IF(COUNTIF(Hoja1!$G$2:$G$1000,Hoja1!G803)&gt;1,"Sí","No")</f>
        <v>No</v>
      </c>
      <c r="G803" s="3" t="str">
        <f>IF(OR(ISERROR(FIND("@",Hoja1!G803)),ISERROR(FIND(".",Hoja1!G803,FIND("@",Hoja1!G803)))),"Sí","No")</f>
        <v>No</v>
      </c>
      <c r="H803" s="3" t="str">
        <f>IF(LEN(Hoja1!F803)&lt;&gt;14,"Sí","No")</f>
        <v>No</v>
      </c>
      <c r="I803" s="3" t="str">
        <f>IF(Hoja1!C803&gt;Hoja1!H803,"Sí","No")</f>
        <v>No</v>
      </c>
      <c r="J803" s="3" t="str">
        <f>IF(SUMPRODUCT(--ISNUMBER(SEARCH({"0";"1";"2";"3";"4";"5";"6";"7";"8";"9"},Hoja1!D803)))=0,"Sí","No")</f>
        <v>No</v>
      </c>
      <c r="K803" s="3" t="str">
        <f t="shared" si="12"/>
        <v>No</v>
      </c>
    </row>
    <row r="804" spans="1:11" ht="15" customHeight="1" x14ac:dyDescent="0.3">
      <c r="A804" s="3" t="str">
        <f>Hoja1!A804</f>
        <v>C0803</v>
      </c>
      <c r="B804" s="3" t="str">
        <f>Hoja1!B804</f>
        <v>Joan Lobo-Haro</v>
      </c>
      <c r="C804" s="3" t="str">
        <f>IF(COUNTA(Hoja1!A804:I804)=0,"Sí","No")</f>
        <v>No</v>
      </c>
      <c r="D804" s="3" t="str">
        <f>IF(COUNTBLANK(Hoja1!A804:I804)&gt;0,"Sí","No")</f>
        <v>No</v>
      </c>
      <c r="E804" s="3" t="str">
        <f>IF(COUNTIF(Hoja1!$A$2:$A$1000,Hoja1!A804)&gt;1,"Sí","No")</f>
        <v>No</v>
      </c>
      <c r="F804" s="3" t="str">
        <f>IF(COUNTIF(Hoja1!$G$2:$G$1000,Hoja1!G804)&gt;1,"Sí","No")</f>
        <v>No</v>
      </c>
      <c r="G804" s="3" t="str">
        <f>IF(OR(ISERROR(FIND("@",Hoja1!G804)),ISERROR(FIND(".",Hoja1!G804,FIND("@",Hoja1!G804)))),"Sí","No")</f>
        <v>No</v>
      </c>
      <c r="H804" s="3" t="str">
        <f>IF(LEN(Hoja1!F804)&lt;&gt;14,"Sí","No")</f>
        <v>No</v>
      </c>
      <c r="I804" s="3" t="str">
        <f>IF(Hoja1!C804&gt;Hoja1!H804,"Sí","No")</f>
        <v>No</v>
      </c>
      <c r="J804" s="3" t="str">
        <f>IF(SUMPRODUCT(--ISNUMBER(SEARCH({"0";"1";"2";"3";"4";"5";"6";"7";"8";"9"},Hoja1!D804)))=0,"Sí","No")</f>
        <v>No</v>
      </c>
      <c r="K804" s="3" t="str">
        <f t="shared" si="12"/>
        <v>No</v>
      </c>
    </row>
    <row r="805" spans="1:11" ht="15" customHeight="1" x14ac:dyDescent="0.3">
      <c r="A805" s="3" t="str">
        <f>Hoja1!A805</f>
        <v>C0804</v>
      </c>
      <c r="B805" s="3" t="str">
        <f>Hoja1!B805</f>
        <v>Nayara Gimeno Velasco</v>
      </c>
      <c r="C805" s="3" t="str">
        <f>IF(COUNTA(Hoja1!A805:I805)=0,"Sí","No")</f>
        <v>No</v>
      </c>
      <c r="D805" s="3" t="str">
        <f>IF(COUNTBLANK(Hoja1!A805:I805)&gt;0,"Sí","No")</f>
        <v>No</v>
      </c>
      <c r="E805" s="3" t="str">
        <f>IF(COUNTIF(Hoja1!$A$2:$A$1000,Hoja1!A805)&gt;1,"Sí","No")</f>
        <v>No</v>
      </c>
      <c r="F805" s="3" t="str">
        <f>IF(COUNTIF(Hoja1!$G$2:$G$1000,Hoja1!G805)&gt;1,"Sí","No")</f>
        <v>No</v>
      </c>
      <c r="G805" s="3" t="str">
        <f>IF(OR(ISERROR(FIND("@",Hoja1!G805)),ISERROR(FIND(".",Hoja1!G805,FIND("@",Hoja1!G805)))),"Sí","No")</f>
        <v>No</v>
      </c>
      <c r="H805" s="3" t="str">
        <f>IF(LEN(Hoja1!F805)&lt;&gt;14,"Sí","No")</f>
        <v>No</v>
      </c>
      <c r="I805" s="3" t="str">
        <f>IF(Hoja1!C805&gt;Hoja1!H805,"Sí","No")</f>
        <v>No</v>
      </c>
      <c r="J805" s="3" t="str">
        <f>IF(SUMPRODUCT(--ISNUMBER(SEARCH({"0";"1";"2";"3";"4";"5";"6";"7";"8";"9"},Hoja1!D805)))=0,"Sí","No")</f>
        <v>No</v>
      </c>
      <c r="K805" s="3" t="str">
        <f t="shared" si="12"/>
        <v>No</v>
      </c>
    </row>
    <row r="806" spans="1:11" ht="15" customHeight="1" x14ac:dyDescent="0.3">
      <c r="A806" s="3" t="str">
        <f>Hoja1!A806</f>
        <v>C0805</v>
      </c>
      <c r="B806" s="3" t="str">
        <f>Hoja1!B806</f>
        <v>África del Conde</v>
      </c>
      <c r="C806" s="3" t="str">
        <f>IF(COUNTA(Hoja1!A806:I806)=0,"Sí","No")</f>
        <v>No</v>
      </c>
      <c r="D806" s="3" t="str">
        <f>IF(COUNTBLANK(Hoja1!A806:I806)&gt;0,"Sí","No")</f>
        <v>No</v>
      </c>
      <c r="E806" s="3" t="str">
        <f>IF(COUNTIF(Hoja1!$A$2:$A$1000,Hoja1!A806)&gt;1,"Sí","No")</f>
        <v>No</v>
      </c>
      <c r="F806" s="3" t="str">
        <f>IF(COUNTIF(Hoja1!$G$2:$G$1000,Hoja1!G806)&gt;1,"Sí","No")</f>
        <v>No</v>
      </c>
      <c r="G806" s="3" t="str">
        <f>IF(OR(ISERROR(FIND("@",Hoja1!G806)),ISERROR(FIND(".",Hoja1!G806,FIND("@",Hoja1!G806)))),"Sí","No")</f>
        <v>No</v>
      </c>
      <c r="H806" s="3" t="str">
        <f>IF(LEN(Hoja1!F806)&lt;&gt;14,"Sí","No")</f>
        <v>No</v>
      </c>
      <c r="I806" s="3" t="str">
        <f>IF(Hoja1!C806&gt;Hoja1!H806,"Sí","No")</f>
        <v>No</v>
      </c>
      <c r="J806" s="3" t="str">
        <f>IF(SUMPRODUCT(--ISNUMBER(SEARCH({"0";"1";"2";"3";"4";"5";"6";"7";"8";"9"},Hoja1!D806)))=0,"Sí","No")</f>
        <v>No</v>
      </c>
      <c r="K806" s="3" t="str">
        <f t="shared" si="12"/>
        <v>No</v>
      </c>
    </row>
    <row r="807" spans="1:11" ht="15" customHeight="1" x14ac:dyDescent="0.3">
      <c r="A807" s="3" t="str">
        <f>Hoja1!A807</f>
        <v>C0806</v>
      </c>
      <c r="B807" s="3" t="str">
        <f>Hoja1!B807</f>
        <v>Ángela Pinedo Vendrell</v>
      </c>
      <c r="C807" s="3" t="str">
        <f>IF(COUNTA(Hoja1!A807:I807)=0,"Sí","No")</f>
        <v>No</v>
      </c>
      <c r="D807" s="3" t="str">
        <f>IF(COUNTBLANK(Hoja1!A807:I807)&gt;0,"Sí","No")</f>
        <v>No</v>
      </c>
      <c r="E807" s="3" t="str">
        <f>IF(COUNTIF(Hoja1!$A$2:$A$1000,Hoja1!A807)&gt;1,"Sí","No")</f>
        <v>No</v>
      </c>
      <c r="F807" s="3" t="str">
        <f>IF(COUNTIF(Hoja1!$G$2:$G$1000,Hoja1!G807)&gt;1,"Sí","No")</f>
        <v>No</v>
      </c>
      <c r="G807" s="3" t="str">
        <f>IF(OR(ISERROR(FIND("@",Hoja1!G807)),ISERROR(FIND(".",Hoja1!G807,FIND("@",Hoja1!G807)))),"Sí","No")</f>
        <v>No</v>
      </c>
      <c r="H807" s="3" t="str">
        <f>IF(LEN(Hoja1!F807)&lt;&gt;14,"Sí","No")</f>
        <v>No</v>
      </c>
      <c r="I807" s="3" t="str">
        <f>IF(Hoja1!C807&gt;Hoja1!H807,"Sí","No")</f>
        <v>No</v>
      </c>
      <c r="J807" s="3" t="str">
        <f>IF(SUMPRODUCT(--ISNUMBER(SEARCH({"0";"1";"2";"3";"4";"5";"6";"7";"8";"9"},Hoja1!D807)))=0,"Sí","No")</f>
        <v>No</v>
      </c>
      <c r="K807" s="3" t="str">
        <f t="shared" si="12"/>
        <v>No</v>
      </c>
    </row>
    <row r="808" spans="1:11" ht="15" customHeight="1" x14ac:dyDescent="0.3">
      <c r="A808" s="3" t="str">
        <f>Hoja1!A808</f>
        <v>C0807</v>
      </c>
      <c r="B808" s="3" t="str">
        <f>Hoja1!B808</f>
        <v>Joan Fabregat Ochoa</v>
      </c>
      <c r="C808" s="3" t="str">
        <f>IF(COUNTA(Hoja1!A808:I808)=0,"Sí","No")</f>
        <v>No</v>
      </c>
      <c r="D808" s="3" t="str">
        <f>IF(COUNTBLANK(Hoja1!A808:I808)&gt;0,"Sí","No")</f>
        <v>No</v>
      </c>
      <c r="E808" s="3" t="str">
        <f>IF(COUNTIF(Hoja1!$A$2:$A$1000,Hoja1!A808)&gt;1,"Sí","No")</f>
        <v>No</v>
      </c>
      <c r="F808" s="3" t="str">
        <f>IF(COUNTIF(Hoja1!$G$2:$G$1000,Hoja1!G808)&gt;1,"Sí","No")</f>
        <v>No</v>
      </c>
      <c r="G808" s="3" t="str">
        <f>IF(OR(ISERROR(FIND("@",Hoja1!G808)),ISERROR(FIND(".",Hoja1!G808,FIND("@",Hoja1!G808)))),"Sí","No")</f>
        <v>No</v>
      </c>
      <c r="H808" s="3" t="str">
        <f>IF(LEN(Hoja1!F808)&lt;&gt;14,"Sí","No")</f>
        <v>No</v>
      </c>
      <c r="I808" s="3" t="str">
        <f>IF(Hoja1!C808&gt;Hoja1!H808,"Sí","No")</f>
        <v>No</v>
      </c>
      <c r="J808" s="3" t="str">
        <f>IF(SUMPRODUCT(--ISNUMBER(SEARCH({"0";"1";"2";"3";"4";"5";"6";"7";"8";"9"},Hoja1!D808)))=0,"Sí","No")</f>
        <v>No</v>
      </c>
      <c r="K808" s="3" t="str">
        <f t="shared" si="12"/>
        <v>No</v>
      </c>
    </row>
    <row r="809" spans="1:11" ht="15" customHeight="1" x14ac:dyDescent="0.3">
      <c r="A809" s="3" t="str">
        <f>Hoja1!A809</f>
        <v>C0808</v>
      </c>
      <c r="B809" s="3" t="str">
        <f>Hoja1!B809</f>
        <v>Cruz Tamayo-Carpio</v>
      </c>
      <c r="C809" s="3" t="str">
        <f>IF(COUNTA(Hoja1!A809:I809)=0,"Sí","No")</f>
        <v>No</v>
      </c>
      <c r="D809" s="3" t="str">
        <f>IF(COUNTBLANK(Hoja1!A809:I809)&gt;0,"Sí","No")</f>
        <v>No</v>
      </c>
      <c r="E809" s="3" t="str">
        <f>IF(COUNTIF(Hoja1!$A$2:$A$1000,Hoja1!A809)&gt;1,"Sí","No")</f>
        <v>No</v>
      </c>
      <c r="F809" s="3" t="str">
        <f>IF(COUNTIF(Hoja1!$G$2:$G$1000,Hoja1!G809)&gt;1,"Sí","No")</f>
        <v>No</v>
      </c>
      <c r="G809" s="3" t="str">
        <f>IF(OR(ISERROR(FIND("@",Hoja1!G809)),ISERROR(FIND(".",Hoja1!G809,FIND("@",Hoja1!G809)))),"Sí","No")</f>
        <v>No</v>
      </c>
      <c r="H809" s="3" t="str">
        <f>IF(LEN(Hoja1!F809)&lt;&gt;14,"Sí","No")</f>
        <v>No</v>
      </c>
      <c r="I809" s="3" t="str">
        <f>IF(Hoja1!C809&gt;Hoja1!H809,"Sí","No")</f>
        <v>No</v>
      </c>
      <c r="J809" s="3" t="str">
        <f>IF(SUMPRODUCT(--ISNUMBER(SEARCH({"0";"1";"2";"3";"4";"5";"6";"7";"8";"9"},Hoja1!D809)))=0,"Sí","No")</f>
        <v>No</v>
      </c>
      <c r="K809" s="3" t="str">
        <f t="shared" si="12"/>
        <v>No</v>
      </c>
    </row>
    <row r="810" spans="1:11" ht="15" customHeight="1" x14ac:dyDescent="0.3">
      <c r="A810" s="3" t="str">
        <f>Hoja1!A810</f>
        <v>C0809</v>
      </c>
      <c r="B810" s="3" t="str">
        <f>Hoja1!B810</f>
        <v>Pascual Pedro Ruiz</v>
      </c>
      <c r="C810" s="3" t="str">
        <f>IF(COUNTA(Hoja1!A810:I810)=0,"Sí","No")</f>
        <v>No</v>
      </c>
      <c r="D810" s="3" t="str">
        <f>IF(COUNTBLANK(Hoja1!A810:I810)&gt;0,"Sí","No")</f>
        <v>No</v>
      </c>
      <c r="E810" s="3" t="str">
        <f>IF(COUNTIF(Hoja1!$A$2:$A$1000,Hoja1!A810)&gt;1,"Sí","No")</f>
        <v>No</v>
      </c>
      <c r="F810" s="3" t="str">
        <f>IF(COUNTIF(Hoja1!$G$2:$G$1000,Hoja1!G810)&gt;1,"Sí","No")</f>
        <v>No</v>
      </c>
      <c r="G810" s="3" t="str">
        <f>IF(OR(ISERROR(FIND("@",Hoja1!G810)),ISERROR(FIND(".",Hoja1!G810,FIND("@",Hoja1!G810)))),"Sí","No")</f>
        <v>No</v>
      </c>
      <c r="H810" s="3" t="str">
        <f>IF(LEN(Hoja1!F810)&lt;&gt;14,"Sí","No")</f>
        <v>No</v>
      </c>
      <c r="I810" s="3" t="str">
        <f>IF(Hoja1!C810&gt;Hoja1!H810,"Sí","No")</f>
        <v>No</v>
      </c>
      <c r="J810" s="3" t="str">
        <f>IF(SUMPRODUCT(--ISNUMBER(SEARCH({"0";"1";"2";"3";"4";"5";"6";"7";"8";"9"},Hoja1!D810)))=0,"Sí","No")</f>
        <v>No</v>
      </c>
      <c r="K810" s="3" t="str">
        <f t="shared" si="12"/>
        <v>No</v>
      </c>
    </row>
    <row r="811" spans="1:11" ht="15" customHeight="1" x14ac:dyDescent="0.3">
      <c r="A811" s="3" t="str">
        <f>Hoja1!A811</f>
        <v>C0810</v>
      </c>
      <c r="B811" s="3" t="str">
        <f>Hoja1!B811</f>
        <v>Melisa Guitart</v>
      </c>
      <c r="C811" s="3" t="str">
        <f>IF(COUNTA(Hoja1!A811:I811)=0,"Sí","No")</f>
        <v>No</v>
      </c>
      <c r="D811" s="3" t="str">
        <f>IF(COUNTBLANK(Hoja1!A811:I811)&gt;0,"Sí","No")</f>
        <v>No</v>
      </c>
      <c r="E811" s="3" t="str">
        <f>IF(COUNTIF(Hoja1!$A$2:$A$1000,Hoja1!A811)&gt;1,"Sí","No")</f>
        <v>No</v>
      </c>
      <c r="F811" s="3" t="str">
        <f>IF(COUNTIF(Hoja1!$G$2:$G$1000,Hoja1!G811)&gt;1,"Sí","No")</f>
        <v>No</v>
      </c>
      <c r="G811" s="3" t="str">
        <f>IF(OR(ISERROR(FIND("@",Hoja1!G811)),ISERROR(FIND(".",Hoja1!G811,FIND("@",Hoja1!G811)))),"Sí","No")</f>
        <v>No</v>
      </c>
      <c r="H811" s="3" t="str">
        <f>IF(LEN(Hoja1!F811)&lt;&gt;14,"Sí","No")</f>
        <v>No</v>
      </c>
      <c r="I811" s="3" t="str">
        <f>IF(Hoja1!C811&gt;Hoja1!H811,"Sí","No")</f>
        <v>No</v>
      </c>
      <c r="J811" s="3" t="str">
        <f>IF(SUMPRODUCT(--ISNUMBER(SEARCH({"0";"1";"2";"3";"4";"5";"6";"7";"8";"9"},Hoja1!D811)))=0,"Sí","No")</f>
        <v>No</v>
      </c>
      <c r="K811" s="3" t="str">
        <f t="shared" si="12"/>
        <v>No</v>
      </c>
    </row>
    <row r="812" spans="1:11" ht="15" customHeight="1" x14ac:dyDescent="0.3">
      <c r="A812" s="3" t="str">
        <f>Hoja1!A812</f>
        <v>C0811</v>
      </c>
      <c r="B812" s="3" t="str">
        <f>Hoja1!B812</f>
        <v>Anacleto Caballero Ferrera</v>
      </c>
      <c r="C812" s="3" t="str">
        <f>IF(COUNTA(Hoja1!A812:I812)=0,"Sí","No")</f>
        <v>No</v>
      </c>
      <c r="D812" s="3" t="str">
        <f>IF(COUNTBLANK(Hoja1!A812:I812)&gt;0,"Sí","No")</f>
        <v>No</v>
      </c>
      <c r="E812" s="3" t="str">
        <f>IF(COUNTIF(Hoja1!$A$2:$A$1000,Hoja1!A812)&gt;1,"Sí","No")</f>
        <v>No</v>
      </c>
      <c r="F812" s="3" t="str">
        <f>IF(COUNTIF(Hoja1!$G$2:$G$1000,Hoja1!G812)&gt;1,"Sí","No")</f>
        <v>No</v>
      </c>
      <c r="G812" s="3" t="str">
        <f>IF(OR(ISERROR(FIND("@",Hoja1!G812)),ISERROR(FIND(".",Hoja1!G812,FIND("@",Hoja1!G812)))),"Sí","No")</f>
        <v>No</v>
      </c>
      <c r="H812" s="3" t="str">
        <f>IF(LEN(Hoja1!F812)&lt;&gt;14,"Sí","No")</f>
        <v>No</v>
      </c>
      <c r="I812" s="3" t="str">
        <f>IF(Hoja1!C812&gt;Hoja1!H812,"Sí","No")</f>
        <v>No</v>
      </c>
      <c r="J812" s="3" t="str">
        <f>IF(SUMPRODUCT(--ISNUMBER(SEARCH({"0";"1";"2";"3";"4";"5";"6";"7";"8";"9"},Hoja1!D812)))=0,"Sí","No")</f>
        <v>No</v>
      </c>
      <c r="K812" s="3" t="str">
        <f t="shared" si="12"/>
        <v>No</v>
      </c>
    </row>
    <row r="813" spans="1:11" ht="15" customHeight="1" x14ac:dyDescent="0.3">
      <c r="A813" s="3" t="str">
        <f>Hoja1!A813</f>
        <v>C0812</v>
      </c>
      <c r="B813" s="3" t="str">
        <f>Hoja1!B813</f>
        <v>Vicente Calleja</v>
      </c>
      <c r="C813" s="3" t="str">
        <f>IF(COUNTA(Hoja1!A813:I813)=0,"Sí","No")</f>
        <v>No</v>
      </c>
      <c r="D813" s="3" t="str">
        <f>IF(COUNTBLANK(Hoja1!A813:I813)&gt;0,"Sí","No")</f>
        <v>No</v>
      </c>
      <c r="E813" s="3" t="str">
        <f>IF(COUNTIF(Hoja1!$A$2:$A$1000,Hoja1!A813)&gt;1,"Sí","No")</f>
        <v>No</v>
      </c>
      <c r="F813" s="3" t="str">
        <f>IF(COUNTIF(Hoja1!$G$2:$G$1000,Hoja1!G813)&gt;1,"Sí","No")</f>
        <v>No</v>
      </c>
      <c r="G813" s="3" t="str">
        <f>IF(OR(ISERROR(FIND("@",Hoja1!G813)),ISERROR(FIND(".",Hoja1!G813,FIND("@",Hoja1!G813)))),"Sí","No")</f>
        <v>No</v>
      </c>
      <c r="H813" s="3" t="str">
        <f>IF(LEN(Hoja1!F813)&lt;&gt;14,"Sí","No")</f>
        <v>No</v>
      </c>
      <c r="I813" s="3" t="str">
        <f>IF(Hoja1!C813&gt;Hoja1!H813,"Sí","No")</f>
        <v>No</v>
      </c>
      <c r="J813" s="3" t="str">
        <f>IF(SUMPRODUCT(--ISNUMBER(SEARCH({"0";"1";"2";"3";"4";"5";"6";"7";"8";"9"},Hoja1!D813)))=0,"Sí","No")</f>
        <v>No</v>
      </c>
      <c r="K813" s="3" t="str">
        <f t="shared" si="12"/>
        <v>No</v>
      </c>
    </row>
    <row r="814" spans="1:11" ht="15" customHeight="1" x14ac:dyDescent="0.3">
      <c r="A814" s="3" t="str">
        <f>Hoja1!A814</f>
        <v>C0813</v>
      </c>
      <c r="B814" s="3" t="str">
        <f>Hoja1!B814</f>
        <v>Marco Ropero</v>
      </c>
      <c r="C814" s="3" t="str">
        <f>IF(COUNTA(Hoja1!A814:I814)=0,"Sí","No")</f>
        <v>No</v>
      </c>
      <c r="D814" s="3" t="str">
        <f>IF(COUNTBLANK(Hoja1!A814:I814)&gt;0,"Sí","No")</f>
        <v>No</v>
      </c>
      <c r="E814" s="3" t="str">
        <f>IF(COUNTIF(Hoja1!$A$2:$A$1000,Hoja1!A814)&gt;1,"Sí","No")</f>
        <v>No</v>
      </c>
      <c r="F814" s="3" t="str">
        <f>IF(COUNTIF(Hoja1!$G$2:$G$1000,Hoja1!G814)&gt;1,"Sí","No")</f>
        <v>No</v>
      </c>
      <c r="G814" s="3" t="str">
        <f>IF(OR(ISERROR(FIND("@",Hoja1!G814)),ISERROR(FIND(".",Hoja1!G814,FIND("@",Hoja1!G814)))),"Sí","No")</f>
        <v>No</v>
      </c>
      <c r="H814" s="3" t="str">
        <f>IF(LEN(Hoja1!F814)&lt;&gt;14,"Sí","No")</f>
        <v>No</v>
      </c>
      <c r="I814" s="3" t="str">
        <f>IF(Hoja1!C814&gt;Hoja1!H814,"Sí","No")</f>
        <v>No</v>
      </c>
      <c r="J814" s="3" t="str">
        <f>IF(SUMPRODUCT(--ISNUMBER(SEARCH({"0";"1";"2";"3";"4";"5";"6";"7";"8";"9"},Hoja1!D814)))=0,"Sí","No")</f>
        <v>No</v>
      </c>
      <c r="K814" s="3" t="str">
        <f t="shared" si="12"/>
        <v>No</v>
      </c>
    </row>
    <row r="815" spans="1:11" ht="15" customHeight="1" x14ac:dyDescent="0.3">
      <c r="A815" s="3" t="str">
        <f>Hoja1!A815</f>
        <v>C0814</v>
      </c>
      <c r="B815" s="3" t="str">
        <f>Hoja1!B815</f>
        <v>Cristian Baquero-Cánovas</v>
      </c>
      <c r="C815" s="3" t="str">
        <f>IF(COUNTA(Hoja1!A815:I815)=0,"Sí","No")</f>
        <v>No</v>
      </c>
      <c r="D815" s="3" t="str">
        <f>IF(COUNTBLANK(Hoja1!A815:I815)&gt;0,"Sí","No")</f>
        <v>No</v>
      </c>
      <c r="E815" s="3" t="str">
        <f>IF(COUNTIF(Hoja1!$A$2:$A$1000,Hoja1!A815)&gt;1,"Sí","No")</f>
        <v>No</v>
      </c>
      <c r="F815" s="3" t="str">
        <f>IF(COUNTIF(Hoja1!$G$2:$G$1000,Hoja1!G815)&gt;1,"Sí","No")</f>
        <v>No</v>
      </c>
      <c r="G815" s="3" t="str">
        <f>IF(OR(ISERROR(FIND("@",Hoja1!G815)),ISERROR(FIND(".",Hoja1!G815,FIND("@",Hoja1!G815)))),"Sí","No")</f>
        <v>No</v>
      </c>
      <c r="H815" s="3" t="str">
        <f>IF(LEN(Hoja1!F815)&lt;&gt;14,"Sí","No")</f>
        <v>No</v>
      </c>
      <c r="I815" s="3" t="str">
        <f>IF(Hoja1!C815&gt;Hoja1!H815,"Sí","No")</f>
        <v>No</v>
      </c>
      <c r="J815" s="3" t="str">
        <f>IF(SUMPRODUCT(--ISNUMBER(SEARCH({"0";"1";"2";"3";"4";"5";"6";"7";"8";"9"},Hoja1!D815)))=0,"Sí","No")</f>
        <v>No</v>
      </c>
      <c r="K815" s="3" t="str">
        <f t="shared" si="12"/>
        <v>No</v>
      </c>
    </row>
    <row r="816" spans="1:11" ht="15" customHeight="1" x14ac:dyDescent="0.3">
      <c r="A816" s="3" t="str">
        <f>Hoja1!A816</f>
        <v>C0815</v>
      </c>
      <c r="B816" s="3" t="str">
        <f>Hoja1!B816</f>
        <v>Josep Reina Prieto</v>
      </c>
      <c r="C816" s="3" t="str">
        <f>IF(COUNTA(Hoja1!A816:I816)=0,"Sí","No")</f>
        <v>No</v>
      </c>
      <c r="D816" s="3" t="str">
        <f>IF(COUNTBLANK(Hoja1!A816:I816)&gt;0,"Sí","No")</f>
        <v>No</v>
      </c>
      <c r="E816" s="3" t="str">
        <f>IF(COUNTIF(Hoja1!$A$2:$A$1000,Hoja1!A816)&gt;1,"Sí","No")</f>
        <v>No</v>
      </c>
      <c r="F816" s="3" t="str">
        <f>IF(COUNTIF(Hoja1!$G$2:$G$1000,Hoja1!G816)&gt;1,"Sí","No")</f>
        <v>No</v>
      </c>
      <c r="G816" s="3" t="str">
        <f>IF(OR(ISERROR(FIND("@",Hoja1!G816)),ISERROR(FIND(".",Hoja1!G816,FIND("@",Hoja1!G816)))),"Sí","No")</f>
        <v>No</v>
      </c>
      <c r="H816" s="3" t="str">
        <f>IF(LEN(Hoja1!F816)&lt;&gt;14,"Sí","No")</f>
        <v>No</v>
      </c>
      <c r="I816" s="3" t="str">
        <f>IF(Hoja1!C816&gt;Hoja1!H816,"Sí","No")</f>
        <v>No</v>
      </c>
      <c r="J816" s="3" t="str">
        <f>IF(SUMPRODUCT(--ISNUMBER(SEARCH({"0";"1";"2";"3";"4";"5";"6";"7";"8";"9"},Hoja1!D816)))=0,"Sí","No")</f>
        <v>No</v>
      </c>
      <c r="K816" s="3" t="str">
        <f t="shared" si="12"/>
        <v>No</v>
      </c>
    </row>
    <row r="817" spans="1:11" ht="15" customHeight="1" x14ac:dyDescent="0.3">
      <c r="A817" s="3" t="str">
        <f>Hoja1!A817</f>
        <v>C0816</v>
      </c>
      <c r="B817" s="3" t="str">
        <f>Hoja1!B817</f>
        <v>Florinda Anguita-Sancho</v>
      </c>
      <c r="C817" s="3" t="str">
        <f>IF(COUNTA(Hoja1!A817:I817)=0,"Sí","No")</f>
        <v>No</v>
      </c>
      <c r="D817" s="3" t="str">
        <f>IF(COUNTBLANK(Hoja1!A817:I817)&gt;0,"Sí","No")</f>
        <v>No</v>
      </c>
      <c r="E817" s="3" t="str">
        <f>IF(COUNTIF(Hoja1!$A$2:$A$1000,Hoja1!A817)&gt;1,"Sí","No")</f>
        <v>No</v>
      </c>
      <c r="F817" s="3" t="str">
        <f>IF(COUNTIF(Hoja1!$G$2:$G$1000,Hoja1!G817)&gt;1,"Sí","No")</f>
        <v>No</v>
      </c>
      <c r="G817" s="3" t="str">
        <f>IF(OR(ISERROR(FIND("@",Hoja1!G817)),ISERROR(FIND(".",Hoja1!G817,FIND("@",Hoja1!G817)))),"Sí","No")</f>
        <v>No</v>
      </c>
      <c r="H817" s="3" t="str">
        <f>IF(LEN(Hoja1!F817)&lt;&gt;14,"Sí","No")</f>
        <v>No</v>
      </c>
      <c r="I817" s="3" t="str">
        <f>IF(Hoja1!C817&gt;Hoja1!H817,"Sí","No")</f>
        <v>No</v>
      </c>
      <c r="J817" s="3" t="str">
        <f>IF(SUMPRODUCT(--ISNUMBER(SEARCH({"0";"1";"2";"3";"4";"5";"6";"7";"8";"9"},Hoja1!D817)))=0,"Sí","No")</f>
        <v>No</v>
      </c>
      <c r="K817" s="3" t="str">
        <f t="shared" si="12"/>
        <v>No</v>
      </c>
    </row>
    <row r="818" spans="1:11" ht="15" customHeight="1" x14ac:dyDescent="0.3">
      <c r="A818" s="3" t="str">
        <f>Hoja1!A818</f>
        <v>C0817</v>
      </c>
      <c r="B818" s="3" t="str">
        <f>Hoja1!B818</f>
        <v>Calixta Villaverde Acosta</v>
      </c>
      <c r="C818" s="3" t="str">
        <f>IF(COUNTA(Hoja1!A818:I818)=0,"Sí","No")</f>
        <v>No</v>
      </c>
      <c r="D818" s="3" t="str">
        <f>IF(COUNTBLANK(Hoja1!A818:I818)&gt;0,"Sí","No")</f>
        <v>No</v>
      </c>
      <c r="E818" s="3" t="str">
        <f>IF(COUNTIF(Hoja1!$A$2:$A$1000,Hoja1!A818)&gt;1,"Sí","No")</f>
        <v>No</v>
      </c>
      <c r="F818" s="3" t="str">
        <f>IF(COUNTIF(Hoja1!$G$2:$G$1000,Hoja1!G818)&gt;1,"Sí","No")</f>
        <v>No</v>
      </c>
      <c r="G818" s="3" t="str">
        <f>IF(OR(ISERROR(FIND("@",Hoja1!G818)),ISERROR(FIND(".",Hoja1!G818,FIND("@",Hoja1!G818)))),"Sí","No")</f>
        <v>No</v>
      </c>
      <c r="H818" s="3" t="str">
        <f>IF(LEN(Hoja1!F818)&lt;&gt;14,"Sí","No")</f>
        <v>No</v>
      </c>
      <c r="I818" s="3" t="str">
        <f>IF(Hoja1!C818&gt;Hoja1!H818,"Sí","No")</f>
        <v>No</v>
      </c>
      <c r="J818" s="3" t="str">
        <f>IF(SUMPRODUCT(--ISNUMBER(SEARCH({"0";"1";"2";"3";"4";"5";"6";"7";"8";"9"},Hoja1!D818)))=0,"Sí","No")</f>
        <v>No</v>
      </c>
      <c r="K818" s="3" t="str">
        <f t="shared" si="12"/>
        <v>No</v>
      </c>
    </row>
    <row r="819" spans="1:11" ht="15" customHeight="1" x14ac:dyDescent="0.3">
      <c r="A819" s="3" t="str">
        <f>Hoja1!A819</f>
        <v>C0818</v>
      </c>
      <c r="B819" s="3" t="str">
        <f>Hoja1!B819</f>
        <v>Marisela Milla-Martorell</v>
      </c>
      <c r="C819" s="3" t="str">
        <f>IF(COUNTA(Hoja1!A819:I819)=0,"Sí","No")</f>
        <v>No</v>
      </c>
      <c r="D819" s="3" t="str">
        <f>IF(COUNTBLANK(Hoja1!A819:I819)&gt;0,"Sí","No")</f>
        <v>No</v>
      </c>
      <c r="E819" s="3" t="str">
        <f>IF(COUNTIF(Hoja1!$A$2:$A$1000,Hoja1!A819)&gt;1,"Sí","No")</f>
        <v>No</v>
      </c>
      <c r="F819" s="3" t="str">
        <f>IF(COUNTIF(Hoja1!$G$2:$G$1000,Hoja1!G819)&gt;1,"Sí","No")</f>
        <v>No</v>
      </c>
      <c r="G819" s="3" t="str">
        <f>IF(OR(ISERROR(FIND("@",Hoja1!G819)),ISERROR(FIND(".",Hoja1!G819,FIND("@",Hoja1!G819)))),"Sí","No")</f>
        <v>No</v>
      </c>
      <c r="H819" s="3" t="str">
        <f>IF(LEN(Hoja1!F819)&lt;&gt;14,"Sí","No")</f>
        <v>No</v>
      </c>
      <c r="I819" s="3" t="str">
        <f>IF(Hoja1!C819&gt;Hoja1!H819,"Sí","No")</f>
        <v>No</v>
      </c>
      <c r="J819" s="3" t="str">
        <f>IF(SUMPRODUCT(--ISNUMBER(SEARCH({"0";"1";"2";"3";"4";"5";"6";"7";"8";"9"},Hoja1!D819)))=0,"Sí","No")</f>
        <v>No</v>
      </c>
      <c r="K819" s="3" t="str">
        <f t="shared" si="12"/>
        <v>No</v>
      </c>
    </row>
    <row r="820" spans="1:11" ht="15" customHeight="1" x14ac:dyDescent="0.3">
      <c r="A820" s="3" t="str">
        <f>Hoja1!A820</f>
        <v>C0819</v>
      </c>
      <c r="B820" s="3" t="str">
        <f>Hoja1!B820</f>
        <v>Rosendo Almeida Naranjo</v>
      </c>
      <c r="C820" s="3" t="str">
        <f>IF(COUNTA(Hoja1!A820:I820)=0,"Sí","No")</f>
        <v>No</v>
      </c>
      <c r="D820" s="3" t="str">
        <f>IF(COUNTBLANK(Hoja1!A820:I820)&gt;0,"Sí","No")</f>
        <v>No</v>
      </c>
      <c r="E820" s="3" t="str">
        <f>IF(COUNTIF(Hoja1!$A$2:$A$1000,Hoja1!A820)&gt;1,"Sí","No")</f>
        <v>No</v>
      </c>
      <c r="F820" s="3" t="str">
        <f>IF(COUNTIF(Hoja1!$G$2:$G$1000,Hoja1!G820)&gt;1,"Sí","No")</f>
        <v>No</v>
      </c>
      <c r="G820" s="3" t="str">
        <f>IF(OR(ISERROR(FIND("@",Hoja1!G820)),ISERROR(FIND(".",Hoja1!G820,FIND("@",Hoja1!G820)))),"Sí","No")</f>
        <v>No</v>
      </c>
      <c r="H820" s="3" t="str">
        <f>IF(LEN(Hoja1!F820)&lt;&gt;14,"Sí","No")</f>
        <v>No</v>
      </c>
      <c r="I820" s="3" t="str">
        <f>IF(Hoja1!C820&gt;Hoja1!H820,"Sí","No")</f>
        <v>No</v>
      </c>
      <c r="J820" s="3" t="str">
        <f>IF(SUMPRODUCT(--ISNUMBER(SEARCH({"0";"1";"2";"3";"4";"5";"6";"7";"8";"9"},Hoja1!D820)))=0,"Sí","No")</f>
        <v>No</v>
      </c>
      <c r="K820" s="3" t="str">
        <f t="shared" si="12"/>
        <v>No</v>
      </c>
    </row>
    <row r="821" spans="1:11" ht="15" customHeight="1" x14ac:dyDescent="0.3">
      <c r="A821" s="3" t="str">
        <f>Hoja1!A821</f>
        <v>C0820</v>
      </c>
      <c r="B821" s="3" t="str">
        <f>Hoja1!B821</f>
        <v>Ana Sofía Colomer Martín</v>
      </c>
      <c r="C821" s="3" t="str">
        <f>IF(COUNTA(Hoja1!A821:I821)=0,"Sí","No")</f>
        <v>No</v>
      </c>
      <c r="D821" s="3" t="str">
        <f>IF(COUNTBLANK(Hoja1!A821:I821)&gt;0,"Sí","No")</f>
        <v>No</v>
      </c>
      <c r="E821" s="3" t="str">
        <f>IF(COUNTIF(Hoja1!$A$2:$A$1000,Hoja1!A821)&gt;1,"Sí","No")</f>
        <v>No</v>
      </c>
      <c r="F821" s="3" t="str">
        <f>IF(COUNTIF(Hoja1!$G$2:$G$1000,Hoja1!G821)&gt;1,"Sí","No")</f>
        <v>No</v>
      </c>
      <c r="G821" s="3" t="str">
        <f>IF(OR(ISERROR(FIND("@",Hoja1!G821)),ISERROR(FIND(".",Hoja1!G821,FIND("@",Hoja1!G821)))),"Sí","No")</f>
        <v>No</v>
      </c>
      <c r="H821" s="3" t="str">
        <f>IF(LEN(Hoja1!F821)&lt;&gt;14,"Sí","No")</f>
        <v>No</v>
      </c>
      <c r="I821" s="3" t="str">
        <f>IF(Hoja1!C821&gt;Hoja1!H821,"Sí","No")</f>
        <v>No</v>
      </c>
      <c r="J821" s="3" t="str">
        <f>IF(SUMPRODUCT(--ISNUMBER(SEARCH({"0";"1";"2";"3";"4";"5";"6";"7";"8";"9"},Hoja1!D821)))=0,"Sí","No")</f>
        <v>No</v>
      </c>
      <c r="K821" s="3" t="str">
        <f t="shared" si="12"/>
        <v>No</v>
      </c>
    </row>
    <row r="822" spans="1:11" ht="15" customHeight="1" x14ac:dyDescent="0.3">
      <c r="A822" s="3" t="str">
        <f>Hoja1!A822</f>
        <v>C0821</v>
      </c>
      <c r="B822" s="3" t="str">
        <f>Hoja1!B822</f>
        <v>Rolando Caballero Niño</v>
      </c>
      <c r="C822" s="3" t="str">
        <f>IF(COUNTA(Hoja1!A822:I822)=0,"Sí","No")</f>
        <v>No</v>
      </c>
      <c r="D822" s="3" t="str">
        <f>IF(COUNTBLANK(Hoja1!A822:I822)&gt;0,"Sí","No")</f>
        <v>No</v>
      </c>
      <c r="E822" s="3" t="str">
        <f>IF(COUNTIF(Hoja1!$A$2:$A$1000,Hoja1!A822)&gt;1,"Sí","No")</f>
        <v>No</v>
      </c>
      <c r="F822" s="3" t="str">
        <f>IF(COUNTIF(Hoja1!$G$2:$G$1000,Hoja1!G822)&gt;1,"Sí","No")</f>
        <v>No</v>
      </c>
      <c r="G822" s="3" t="str">
        <f>IF(OR(ISERROR(FIND("@",Hoja1!G822)),ISERROR(FIND(".",Hoja1!G822,FIND("@",Hoja1!G822)))),"Sí","No")</f>
        <v>No</v>
      </c>
      <c r="H822" s="3" t="str">
        <f>IF(LEN(Hoja1!F822)&lt;&gt;14,"Sí","No")</f>
        <v>No</v>
      </c>
      <c r="I822" s="3" t="str">
        <f>IF(Hoja1!C822&gt;Hoja1!H822,"Sí","No")</f>
        <v>No</v>
      </c>
      <c r="J822" s="3" t="str">
        <f>IF(SUMPRODUCT(--ISNUMBER(SEARCH({"0";"1";"2";"3";"4";"5";"6";"7";"8";"9"},Hoja1!D822)))=0,"Sí","No")</f>
        <v>No</v>
      </c>
      <c r="K822" s="3" t="str">
        <f t="shared" si="12"/>
        <v>No</v>
      </c>
    </row>
    <row r="823" spans="1:11" ht="15" customHeight="1" x14ac:dyDescent="0.3">
      <c r="A823" s="3" t="str">
        <f>Hoja1!A823</f>
        <v>C0822</v>
      </c>
      <c r="B823" s="3" t="str">
        <f>Hoja1!B823</f>
        <v>Paola Casanovas-Riba</v>
      </c>
      <c r="C823" s="3" t="str">
        <f>IF(COUNTA(Hoja1!A823:I823)=0,"Sí","No")</f>
        <v>No</v>
      </c>
      <c r="D823" s="3" t="str">
        <f>IF(COUNTBLANK(Hoja1!A823:I823)&gt;0,"Sí","No")</f>
        <v>No</v>
      </c>
      <c r="E823" s="3" t="str">
        <f>IF(COUNTIF(Hoja1!$A$2:$A$1000,Hoja1!A823)&gt;1,"Sí","No")</f>
        <v>No</v>
      </c>
      <c r="F823" s="3" t="str">
        <f>IF(COUNTIF(Hoja1!$G$2:$G$1000,Hoja1!G823)&gt;1,"Sí","No")</f>
        <v>No</v>
      </c>
      <c r="G823" s="3" t="str">
        <f>IF(OR(ISERROR(FIND("@",Hoja1!G823)),ISERROR(FIND(".",Hoja1!G823,FIND("@",Hoja1!G823)))),"Sí","No")</f>
        <v>No</v>
      </c>
      <c r="H823" s="3" t="str">
        <f>IF(LEN(Hoja1!F823)&lt;&gt;14,"Sí","No")</f>
        <v>No</v>
      </c>
      <c r="I823" s="3" t="str">
        <f>IF(Hoja1!C823&gt;Hoja1!H823,"Sí","No")</f>
        <v>No</v>
      </c>
      <c r="J823" s="3" t="str">
        <f>IF(SUMPRODUCT(--ISNUMBER(SEARCH({"0";"1";"2";"3";"4";"5";"6";"7";"8";"9"},Hoja1!D823)))=0,"Sí","No")</f>
        <v>No</v>
      </c>
      <c r="K823" s="3" t="str">
        <f t="shared" si="12"/>
        <v>No</v>
      </c>
    </row>
    <row r="824" spans="1:11" ht="15" customHeight="1" x14ac:dyDescent="0.3">
      <c r="A824" s="3" t="str">
        <f>Hoja1!A824</f>
        <v>C0823</v>
      </c>
      <c r="B824" s="3" t="str">
        <f>Hoja1!B824</f>
        <v>Lupita del Sanjuan</v>
      </c>
      <c r="C824" s="3" t="str">
        <f>IF(COUNTA(Hoja1!A824:I824)=0,"Sí","No")</f>
        <v>No</v>
      </c>
      <c r="D824" s="3" t="str">
        <f>IF(COUNTBLANK(Hoja1!A824:I824)&gt;0,"Sí","No")</f>
        <v>No</v>
      </c>
      <c r="E824" s="3" t="str">
        <f>IF(COUNTIF(Hoja1!$A$2:$A$1000,Hoja1!A824)&gt;1,"Sí","No")</f>
        <v>No</v>
      </c>
      <c r="F824" s="3" t="str">
        <f>IF(COUNTIF(Hoja1!$G$2:$G$1000,Hoja1!G824)&gt;1,"Sí","No")</f>
        <v>No</v>
      </c>
      <c r="G824" s="3" t="str">
        <f>IF(OR(ISERROR(FIND("@",Hoja1!G824)),ISERROR(FIND(".",Hoja1!G824,FIND("@",Hoja1!G824)))),"Sí","No")</f>
        <v>No</v>
      </c>
      <c r="H824" s="3" t="str">
        <f>IF(LEN(Hoja1!F824)&lt;&gt;14,"Sí","No")</f>
        <v>No</v>
      </c>
      <c r="I824" s="3" t="str">
        <f>IF(Hoja1!C824&gt;Hoja1!H824,"Sí","No")</f>
        <v>No</v>
      </c>
      <c r="J824" s="3" t="str">
        <f>IF(SUMPRODUCT(--ISNUMBER(SEARCH({"0";"1";"2";"3";"4";"5";"6";"7";"8";"9"},Hoja1!D824)))=0,"Sí","No")</f>
        <v>No</v>
      </c>
      <c r="K824" s="3" t="str">
        <f t="shared" si="12"/>
        <v>No</v>
      </c>
    </row>
    <row r="825" spans="1:11" ht="15" customHeight="1" x14ac:dyDescent="0.3">
      <c r="A825" s="3" t="str">
        <f>Hoja1!A825</f>
        <v>C0824</v>
      </c>
      <c r="B825" s="3" t="str">
        <f>Hoja1!B825</f>
        <v>Modesto Franco Hervia</v>
      </c>
      <c r="C825" s="3" t="str">
        <f>IF(COUNTA(Hoja1!A825:I825)=0,"Sí","No")</f>
        <v>No</v>
      </c>
      <c r="D825" s="3" t="str">
        <f>IF(COUNTBLANK(Hoja1!A825:I825)&gt;0,"Sí","No")</f>
        <v>No</v>
      </c>
      <c r="E825" s="3" t="str">
        <f>IF(COUNTIF(Hoja1!$A$2:$A$1000,Hoja1!A825)&gt;1,"Sí","No")</f>
        <v>No</v>
      </c>
      <c r="F825" s="3" t="str">
        <f>IF(COUNTIF(Hoja1!$G$2:$G$1000,Hoja1!G825)&gt;1,"Sí","No")</f>
        <v>No</v>
      </c>
      <c r="G825" s="3" t="str">
        <f>IF(OR(ISERROR(FIND("@",Hoja1!G825)),ISERROR(FIND(".",Hoja1!G825,FIND("@",Hoja1!G825)))),"Sí","No")</f>
        <v>No</v>
      </c>
      <c r="H825" s="3" t="str">
        <f>IF(LEN(Hoja1!F825)&lt;&gt;14,"Sí","No")</f>
        <v>No</v>
      </c>
      <c r="I825" s="3" t="str">
        <f>IF(Hoja1!C825&gt;Hoja1!H825,"Sí","No")</f>
        <v>No</v>
      </c>
      <c r="J825" s="3" t="str">
        <f>IF(SUMPRODUCT(--ISNUMBER(SEARCH({"0";"1";"2";"3";"4";"5";"6";"7";"8";"9"},Hoja1!D825)))=0,"Sí","No")</f>
        <v>No</v>
      </c>
      <c r="K825" s="3" t="str">
        <f t="shared" si="12"/>
        <v>No</v>
      </c>
    </row>
    <row r="826" spans="1:11" ht="15" customHeight="1" x14ac:dyDescent="0.3">
      <c r="A826" s="3" t="str">
        <f>Hoja1!A826</f>
        <v>C0825</v>
      </c>
      <c r="B826" s="3" t="str">
        <f>Hoja1!B826</f>
        <v>Modesto Morante</v>
      </c>
      <c r="C826" s="3" t="str">
        <f>IF(COUNTA(Hoja1!A826:I826)=0,"Sí","No")</f>
        <v>No</v>
      </c>
      <c r="D826" s="3" t="str">
        <f>IF(COUNTBLANK(Hoja1!A826:I826)&gt;0,"Sí","No")</f>
        <v>No</v>
      </c>
      <c r="E826" s="3" t="str">
        <f>IF(COUNTIF(Hoja1!$A$2:$A$1000,Hoja1!A826)&gt;1,"Sí","No")</f>
        <v>No</v>
      </c>
      <c r="F826" s="3" t="str">
        <f>IF(COUNTIF(Hoja1!$G$2:$G$1000,Hoja1!G826)&gt;1,"Sí","No")</f>
        <v>No</v>
      </c>
      <c r="G826" s="3" t="str">
        <f>IF(OR(ISERROR(FIND("@",Hoja1!G826)),ISERROR(FIND(".",Hoja1!G826,FIND("@",Hoja1!G826)))),"Sí","No")</f>
        <v>No</v>
      </c>
      <c r="H826" s="3" t="str">
        <f>IF(LEN(Hoja1!F826)&lt;&gt;14,"Sí","No")</f>
        <v>No</v>
      </c>
      <c r="I826" s="3" t="str">
        <f>IF(Hoja1!C826&gt;Hoja1!H826,"Sí","No")</f>
        <v>No</v>
      </c>
      <c r="J826" s="3" t="str">
        <f>IF(SUMPRODUCT(--ISNUMBER(SEARCH({"0";"1";"2";"3";"4";"5";"6";"7";"8";"9"},Hoja1!D826)))=0,"Sí","No")</f>
        <v>No</v>
      </c>
      <c r="K826" s="3" t="str">
        <f t="shared" si="12"/>
        <v>No</v>
      </c>
    </row>
    <row r="827" spans="1:11" ht="15" customHeight="1" x14ac:dyDescent="0.3">
      <c r="A827" s="3" t="str">
        <f>Hoja1!A827</f>
        <v>C0826</v>
      </c>
      <c r="B827" s="3" t="str">
        <f>Hoja1!B827</f>
        <v>Clemente Ferrero Garmendia</v>
      </c>
      <c r="C827" s="3" t="str">
        <f>IF(COUNTA(Hoja1!A827:I827)=0,"Sí","No")</f>
        <v>No</v>
      </c>
      <c r="D827" s="3" t="str">
        <f>IF(COUNTBLANK(Hoja1!A827:I827)&gt;0,"Sí","No")</f>
        <v>No</v>
      </c>
      <c r="E827" s="3" t="str">
        <f>IF(COUNTIF(Hoja1!$A$2:$A$1000,Hoja1!A827)&gt;1,"Sí","No")</f>
        <v>No</v>
      </c>
      <c r="F827" s="3" t="str">
        <f>IF(COUNTIF(Hoja1!$G$2:$G$1000,Hoja1!G827)&gt;1,"Sí","No")</f>
        <v>No</v>
      </c>
      <c r="G827" s="3" t="str">
        <f>IF(OR(ISERROR(FIND("@",Hoja1!G827)),ISERROR(FIND(".",Hoja1!G827,FIND("@",Hoja1!G827)))),"Sí","No")</f>
        <v>No</v>
      </c>
      <c r="H827" s="3" t="str">
        <f>IF(LEN(Hoja1!F827)&lt;&gt;14,"Sí","No")</f>
        <v>No</v>
      </c>
      <c r="I827" s="3" t="str">
        <f>IF(Hoja1!C827&gt;Hoja1!H827,"Sí","No")</f>
        <v>No</v>
      </c>
      <c r="J827" s="3" t="str">
        <f>IF(SUMPRODUCT(--ISNUMBER(SEARCH({"0";"1";"2";"3";"4";"5";"6";"7";"8";"9"},Hoja1!D827)))=0,"Sí","No")</f>
        <v>No</v>
      </c>
      <c r="K827" s="3" t="str">
        <f t="shared" si="12"/>
        <v>No</v>
      </c>
    </row>
    <row r="828" spans="1:11" ht="15" customHeight="1" x14ac:dyDescent="0.3">
      <c r="A828" s="3" t="str">
        <f>Hoja1!A828</f>
        <v>C0827</v>
      </c>
      <c r="B828" s="3" t="str">
        <f>Hoja1!B828</f>
        <v>Guiomar Ferrera</v>
      </c>
      <c r="C828" s="3" t="str">
        <f>IF(COUNTA(Hoja1!A828:I828)=0,"Sí","No")</f>
        <v>No</v>
      </c>
      <c r="D828" s="3" t="str">
        <f>IF(COUNTBLANK(Hoja1!A828:I828)&gt;0,"Sí","No")</f>
        <v>No</v>
      </c>
      <c r="E828" s="3" t="str">
        <f>IF(COUNTIF(Hoja1!$A$2:$A$1000,Hoja1!A828)&gt;1,"Sí","No")</f>
        <v>No</v>
      </c>
      <c r="F828" s="3" t="str">
        <f>IF(COUNTIF(Hoja1!$G$2:$G$1000,Hoja1!G828)&gt;1,"Sí","No")</f>
        <v>No</v>
      </c>
      <c r="G828" s="3" t="str">
        <f>IF(OR(ISERROR(FIND("@",Hoja1!G828)),ISERROR(FIND(".",Hoja1!G828,FIND("@",Hoja1!G828)))),"Sí","No")</f>
        <v>No</v>
      </c>
      <c r="H828" s="3" t="str">
        <f>IF(LEN(Hoja1!F828)&lt;&gt;14,"Sí","No")</f>
        <v>No</v>
      </c>
      <c r="I828" s="3" t="str">
        <f>IF(Hoja1!C828&gt;Hoja1!H828,"Sí","No")</f>
        <v>No</v>
      </c>
      <c r="J828" s="3" t="str">
        <f>IF(SUMPRODUCT(--ISNUMBER(SEARCH({"0";"1";"2";"3";"4";"5";"6";"7";"8";"9"},Hoja1!D828)))=0,"Sí","No")</f>
        <v>No</v>
      </c>
      <c r="K828" s="3" t="str">
        <f t="shared" si="12"/>
        <v>No</v>
      </c>
    </row>
    <row r="829" spans="1:11" ht="15" customHeight="1" x14ac:dyDescent="0.3">
      <c r="A829" s="3" t="str">
        <f>Hoja1!A829</f>
        <v>C0828</v>
      </c>
      <c r="B829" s="3" t="str">
        <f>Hoja1!B829</f>
        <v>Araceli Borrell-Armas</v>
      </c>
      <c r="C829" s="3" t="str">
        <f>IF(COUNTA(Hoja1!A829:I829)=0,"Sí","No")</f>
        <v>No</v>
      </c>
      <c r="D829" s="3" t="str">
        <f>IF(COUNTBLANK(Hoja1!A829:I829)&gt;0,"Sí","No")</f>
        <v>No</v>
      </c>
      <c r="E829" s="3" t="str">
        <f>IF(COUNTIF(Hoja1!$A$2:$A$1000,Hoja1!A829)&gt;1,"Sí","No")</f>
        <v>No</v>
      </c>
      <c r="F829" s="3" t="str">
        <f>IF(COUNTIF(Hoja1!$G$2:$G$1000,Hoja1!G829)&gt;1,"Sí","No")</f>
        <v>No</v>
      </c>
      <c r="G829" s="3" t="str">
        <f>IF(OR(ISERROR(FIND("@",Hoja1!G829)),ISERROR(FIND(".",Hoja1!G829,FIND("@",Hoja1!G829)))),"Sí","No")</f>
        <v>No</v>
      </c>
      <c r="H829" s="3" t="str">
        <f>IF(LEN(Hoja1!F829)&lt;&gt;14,"Sí","No")</f>
        <v>No</v>
      </c>
      <c r="I829" s="3" t="str">
        <f>IF(Hoja1!C829&gt;Hoja1!H829,"Sí","No")</f>
        <v>No</v>
      </c>
      <c r="J829" s="3" t="str">
        <f>IF(SUMPRODUCT(--ISNUMBER(SEARCH({"0";"1";"2";"3";"4";"5";"6";"7";"8";"9"},Hoja1!D829)))=0,"Sí","No")</f>
        <v>No</v>
      </c>
      <c r="K829" s="3" t="str">
        <f t="shared" si="12"/>
        <v>No</v>
      </c>
    </row>
    <row r="830" spans="1:11" ht="15" customHeight="1" x14ac:dyDescent="0.3">
      <c r="A830" s="3" t="str">
        <f>Hoja1!A830</f>
        <v>C0829</v>
      </c>
      <c r="B830" s="3" t="str">
        <f>Hoja1!B830</f>
        <v>Jorge Gutierrez Caparrós</v>
      </c>
      <c r="C830" s="3" t="str">
        <f>IF(COUNTA(Hoja1!A830:I830)=0,"Sí","No")</f>
        <v>No</v>
      </c>
      <c r="D830" s="3" t="str">
        <f>IF(COUNTBLANK(Hoja1!A830:I830)&gt;0,"Sí","No")</f>
        <v>No</v>
      </c>
      <c r="E830" s="3" t="str">
        <f>IF(COUNTIF(Hoja1!$A$2:$A$1000,Hoja1!A830)&gt;1,"Sí","No")</f>
        <v>No</v>
      </c>
      <c r="F830" s="3" t="str">
        <f>IF(COUNTIF(Hoja1!$G$2:$G$1000,Hoja1!G830)&gt;1,"Sí","No")</f>
        <v>No</v>
      </c>
      <c r="G830" s="3" t="str">
        <f>IF(OR(ISERROR(FIND("@",Hoja1!G830)),ISERROR(FIND(".",Hoja1!G830,FIND("@",Hoja1!G830)))),"Sí","No")</f>
        <v>No</v>
      </c>
      <c r="H830" s="3" t="str">
        <f>IF(LEN(Hoja1!F830)&lt;&gt;14,"Sí","No")</f>
        <v>No</v>
      </c>
      <c r="I830" s="3" t="str">
        <f>IF(Hoja1!C830&gt;Hoja1!H830,"Sí","No")</f>
        <v>No</v>
      </c>
      <c r="J830" s="3" t="str">
        <f>IF(SUMPRODUCT(--ISNUMBER(SEARCH({"0";"1";"2";"3";"4";"5";"6";"7";"8";"9"},Hoja1!D830)))=0,"Sí","No")</f>
        <v>No</v>
      </c>
      <c r="K830" s="3" t="str">
        <f t="shared" si="12"/>
        <v>No</v>
      </c>
    </row>
    <row r="831" spans="1:11" ht="15" customHeight="1" x14ac:dyDescent="0.3">
      <c r="A831" s="3" t="str">
        <f>Hoja1!A831</f>
        <v>C0830</v>
      </c>
      <c r="B831" s="3" t="str">
        <f>Hoja1!B831</f>
        <v>Beatriz Mamen Casanovas Ruiz</v>
      </c>
      <c r="C831" s="3" t="str">
        <f>IF(COUNTA(Hoja1!A831:I831)=0,"Sí","No")</f>
        <v>No</v>
      </c>
      <c r="D831" s="3" t="str">
        <f>IF(COUNTBLANK(Hoja1!A831:I831)&gt;0,"Sí","No")</f>
        <v>No</v>
      </c>
      <c r="E831" s="3" t="str">
        <f>IF(COUNTIF(Hoja1!$A$2:$A$1000,Hoja1!A831)&gt;1,"Sí","No")</f>
        <v>No</v>
      </c>
      <c r="F831" s="3" t="str">
        <f>IF(COUNTIF(Hoja1!$G$2:$G$1000,Hoja1!G831)&gt;1,"Sí","No")</f>
        <v>No</v>
      </c>
      <c r="G831" s="3" t="str">
        <f>IF(OR(ISERROR(FIND("@",Hoja1!G831)),ISERROR(FIND(".",Hoja1!G831,FIND("@",Hoja1!G831)))),"Sí","No")</f>
        <v>No</v>
      </c>
      <c r="H831" s="3" t="str">
        <f>IF(LEN(Hoja1!F831)&lt;&gt;14,"Sí","No")</f>
        <v>No</v>
      </c>
      <c r="I831" s="3" t="str">
        <f>IF(Hoja1!C831&gt;Hoja1!H831,"Sí","No")</f>
        <v>No</v>
      </c>
      <c r="J831" s="3" t="str">
        <f>IF(SUMPRODUCT(--ISNUMBER(SEARCH({"0";"1";"2";"3";"4";"5";"6";"7";"8";"9"},Hoja1!D831)))=0,"Sí","No")</f>
        <v>No</v>
      </c>
      <c r="K831" s="3" t="str">
        <f t="shared" si="12"/>
        <v>No</v>
      </c>
    </row>
    <row r="832" spans="1:11" ht="15" customHeight="1" x14ac:dyDescent="0.3">
      <c r="A832" s="3" t="str">
        <f>Hoja1!A832</f>
        <v>C0831</v>
      </c>
      <c r="B832" s="3" t="str">
        <f>Hoja1!B832</f>
        <v>Vicenta Rivero Otero</v>
      </c>
      <c r="C832" s="3" t="str">
        <f>IF(COUNTA(Hoja1!A832:I832)=0,"Sí","No")</f>
        <v>No</v>
      </c>
      <c r="D832" s="3" t="str">
        <f>IF(COUNTBLANK(Hoja1!A832:I832)&gt;0,"Sí","No")</f>
        <v>No</v>
      </c>
      <c r="E832" s="3" t="str">
        <f>IF(COUNTIF(Hoja1!$A$2:$A$1000,Hoja1!A832)&gt;1,"Sí","No")</f>
        <v>No</v>
      </c>
      <c r="F832" s="3" t="str">
        <f>IF(COUNTIF(Hoja1!$G$2:$G$1000,Hoja1!G832)&gt;1,"Sí","No")</f>
        <v>No</v>
      </c>
      <c r="G832" s="3" t="str">
        <f>IF(OR(ISERROR(FIND("@",Hoja1!G832)),ISERROR(FIND(".",Hoja1!G832,FIND("@",Hoja1!G832)))),"Sí","No")</f>
        <v>No</v>
      </c>
      <c r="H832" s="3" t="str">
        <f>IF(LEN(Hoja1!F832)&lt;&gt;14,"Sí","No")</f>
        <v>No</v>
      </c>
      <c r="I832" s="3" t="str">
        <f>IF(Hoja1!C832&gt;Hoja1!H832,"Sí","No")</f>
        <v>No</v>
      </c>
      <c r="J832" s="3" t="str">
        <f>IF(SUMPRODUCT(--ISNUMBER(SEARCH({"0";"1";"2";"3";"4";"5";"6";"7";"8";"9"},Hoja1!D832)))=0,"Sí","No")</f>
        <v>No</v>
      </c>
      <c r="K832" s="3" t="str">
        <f t="shared" si="12"/>
        <v>No</v>
      </c>
    </row>
    <row r="833" spans="1:11" ht="15" customHeight="1" x14ac:dyDescent="0.3">
      <c r="A833" s="3" t="str">
        <f>Hoja1!A833</f>
        <v>C0832</v>
      </c>
      <c r="B833" s="3" t="str">
        <f>Hoja1!B833</f>
        <v>Vicenta Solé-Palma</v>
      </c>
      <c r="C833" s="3" t="str">
        <f>IF(COUNTA(Hoja1!A833:I833)=0,"Sí","No")</f>
        <v>No</v>
      </c>
      <c r="D833" s="3" t="str">
        <f>IF(COUNTBLANK(Hoja1!A833:I833)&gt;0,"Sí","No")</f>
        <v>No</v>
      </c>
      <c r="E833" s="3" t="str">
        <f>IF(COUNTIF(Hoja1!$A$2:$A$1000,Hoja1!A833)&gt;1,"Sí","No")</f>
        <v>No</v>
      </c>
      <c r="F833" s="3" t="str">
        <f>IF(COUNTIF(Hoja1!$G$2:$G$1000,Hoja1!G833)&gt;1,"Sí","No")</f>
        <v>No</v>
      </c>
      <c r="G833" s="3" t="str">
        <f>IF(OR(ISERROR(FIND("@",Hoja1!G833)),ISERROR(FIND(".",Hoja1!G833,FIND("@",Hoja1!G833)))),"Sí","No")</f>
        <v>No</v>
      </c>
      <c r="H833" s="3" t="str">
        <f>IF(LEN(Hoja1!F833)&lt;&gt;14,"Sí","No")</f>
        <v>No</v>
      </c>
      <c r="I833" s="3" t="str">
        <f>IF(Hoja1!C833&gt;Hoja1!H833,"Sí","No")</f>
        <v>No</v>
      </c>
      <c r="J833" s="3" t="str">
        <f>IF(SUMPRODUCT(--ISNUMBER(SEARCH({"0";"1";"2";"3";"4";"5";"6";"7";"8";"9"},Hoja1!D833)))=0,"Sí","No")</f>
        <v>No</v>
      </c>
      <c r="K833" s="3" t="str">
        <f t="shared" si="12"/>
        <v>No</v>
      </c>
    </row>
    <row r="834" spans="1:11" ht="15" customHeight="1" x14ac:dyDescent="0.3">
      <c r="A834" s="3" t="str">
        <f>Hoja1!A834</f>
        <v>C0833</v>
      </c>
      <c r="B834" s="3" t="str">
        <f>Hoja1!B834</f>
        <v>Alejandra Beltrán Fuente</v>
      </c>
      <c r="C834" s="3" t="str">
        <f>IF(COUNTA(Hoja1!A834:I834)=0,"Sí","No")</f>
        <v>No</v>
      </c>
      <c r="D834" s="3" t="str">
        <f>IF(COUNTBLANK(Hoja1!A834:I834)&gt;0,"Sí","No")</f>
        <v>No</v>
      </c>
      <c r="E834" s="3" t="str">
        <f>IF(COUNTIF(Hoja1!$A$2:$A$1000,Hoja1!A834)&gt;1,"Sí","No")</f>
        <v>No</v>
      </c>
      <c r="F834" s="3" t="str">
        <f>IF(COUNTIF(Hoja1!$G$2:$G$1000,Hoja1!G834)&gt;1,"Sí","No")</f>
        <v>No</v>
      </c>
      <c r="G834" s="3" t="str">
        <f>IF(OR(ISERROR(FIND("@",Hoja1!G834)),ISERROR(FIND(".",Hoja1!G834,FIND("@",Hoja1!G834)))),"Sí","No")</f>
        <v>No</v>
      </c>
      <c r="H834" s="3" t="str">
        <f>IF(LEN(Hoja1!F834)&lt;&gt;14,"Sí","No")</f>
        <v>No</v>
      </c>
      <c r="I834" s="3" t="str">
        <f>IF(Hoja1!C834&gt;Hoja1!H834,"Sí","No")</f>
        <v>No</v>
      </c>
      <c r="J834" s="3" t="str">
        <f>IF(SUMPRODUCT(--ISNUMBER(SEARCH({"0";"1";"2";"3";"4";"5";"6";"7";"8";"9"},Hoja1!D834)))=0,"Sí","No")</f>
        <v>No</v>
      </c>
      <c r="K834" s="3" t="str">
        <f t="shared" ref="K834:K897" si="13">IF(COUNTIF(C834:J834,"Sí")&gt;0,"Sí","No")</f>
        <v>No</v>
      </c>
    </row>
    <row r="835" spans="1:11" ht="15" customHeight="1" x14ac:dyDescent="0.3">
      <c r="A835" s="3" t="str">
        <f>Hoja1!A835</f>
        <v>C0834</v>
      </c>
      <c r="B835" s="3" t="str">
        <f>Hoja1!B835</f>
        <v>Ruperta Casanova Bermúdez</v>
      </c>
      <c r="C835" s="3" t="str">
        <f>IF(COUNTA(Hoja1!A835:I835)=0,"Sí","No")</f>
        <v>No</v>
      </c>
      <c r="D835" s="3" t="str">
        <f>IF(COUNTBLANK(Hoja1!A835:I835)&gt;0,"Sí","No")</f>
        <v>No</v>
      </c>
      <c r="E835" s="3" t="str">
        <f>IF(COUNTIF(Hoja1!$A$2:$A$1000,Hoja1!A835)&gt;1,"Sí","No")</f>
        <v>No</v>
      </c>
      <c r="F835" s="3" t="str">
        <f>IF(COUNTIF(Hoja1!$G$2:$G$1000,Hoja1!G835)&gt;1,"Sí","No")</f>
        <v>No</v>
      </c>
      <c r="G835" s="3" t="str">
        <f>IF(OR(ISERROR(FIND("@",Hoja1!G835)),ISERROR(FIND(".",Hoja1!G835,FIND("@",Hoja1!G835)))),"Sí","No")</f>
        <v>No</v>
      </c>
      <c r="H835" s="3" t="str">
        <f>IF(LEN(Hoja1!F835)&lt;&gt;14,"Sí","No")</f>
        <v>No</v>
      </c>
      <c r="I835" s="3" t="str">
        <f>IF(Hoja1!C835&gt;Hoja1!H835,"Sí","No")</f>
        <v>No</v>
      </c>
      <c r="J835" s="3" t="str">
        <f>IF(SUMPRODUCT(--ISNUMBER(SEARCH({"0";"1";"2";"3";"4";"5";"6";"7";"8";"9"},Hoja1!D835)))=0,"Sí","No")</f>
        <v>No</v>
      </c>
      <c r="K835" s="3" t="str">
        <f t="shared" si="13"/>
        <v>No</v>
      </c>
    </row>
    <row r="836" spans="1:11" ht="15" customHeight="1" x14ac:dyDescent="0.3">
      <c r="A836" s="3" t="str">
        <f>Hoja1!A836</f>
        <v>C0835</v>
      </c>
      <c r="B836" s="3" t="str">
        <f>Hoja1!B836</f>
        <v>Nicolás Ayala Campoy</v>
      </c>
      <c r="C836" s="3" t="str">
        <f>IF(COUNTA(Hoja1!A836:I836)=0,"Sí","No")</f>
        <v>No</v>
      </c>
      <c r="D836" s="3" t="str">
        <f>IF(COUNTBLANK(Hoja1!A836:I836)&gt;0,"Sí","No")</f>
        <v>No</v>
      </c>
      <c r="E836" s="3" t="str">
        <f>IF(COUNTIF(Hoja1!$A$2:$A$1000,Hoja1!A836)&gt;1,"Sí","No")</f>
        <v>No</v>
      </c>
      <c r="F836" s="3" t="str">
        <f>IF(COUNTIF(Hoja1!$G$2:$G$1000,Hoja1!G836)&gt;1,"Sí","No")</f>
        <v>No</v>
      </c>
      <c r="G836" s="3" t="str">
        <f>IF(OR(ISERROR(FIND("@",Hoja1!G836)),ISERROR(FIND(".",Hoja1!G836,FIND("@",Hoja1!G836)))),"Sí","No")</f>
        <v>No</v>
      </c>
      <c r="H836" s="3" t="str">
        <f>IF(LEN(Hoja1!F836)&lt;&gt;14,"Sí","No")</f>
        <v>No</v>
      </c>
      <c r="I836" s="3" t="str">
        <f>IF(Hoja1!C836&gt;Hoja1!H836,"Sí","No")</f>
        <v>No</v>
      </c>
      <c r="J836" s="3" t="str">
        <f>IF(SUMPRODUCT(--ISNUMBER(SEARCH({"0";"1";"2";"3";"4";"5";"6";"7";"8";"9"},Hoja1!D836)))=0,"Sí","No")</f>
        <v>No</v>
      </c>
      <c r="K836" s="3" t="str">
        <f t="shared" si="13"/>
        <v>No</v>
      </c>
    </row>
    <row r="837" spans="1:11" ht="15" customHeight="1" x14ac:dyDescent="0.3">
      <c r="A837" s="3" t="str">
        <f>Hoja1!A837</f>
        <v>C0836</v>
      </c>
      <c r="B837" s="3" t="str">
        <f>Hoja1!B837</f>
        <v>Leopoldo del Sáez</v>
      </c>
      <c r="C837" s="3" t="str">
        <f>IF(COUNTA(Hoja1!A837:I837)=0,"Sí","No")</f>
        <v>No</v>
      </c>
      <c r="D837" s="3" t="str">
        <f>IF(COUNTBLANK(Hoja1!A837:I837)&gt;0,"Sí","No")</f>
        <v>No</v>
      </c>
      <c r="E837" s="3" t="str">
        <f>IF(COUNTIF(Hoja1!$A$2:$A$1000,Hoja1!A837)&gt;1,"Sí","No")</f>
        <v>No</v>
      </c>
      <c r="F837" s="3" t="str">
        <f>IF(COUNTIF(Hoja1!$G$2:$G$1000,Hoja1!G837)&gt;1,"Sí","No")</f>
        <v>No</v>
      </c>
      <c r="G837" s="3" t="str">
        <f>IF(OR(ISERROR(FIND("@",Hoja1!G837)),ISERROR(FIND(".",Hoja1!G837,FIND("@",Hoja1!G837)))),"Sí","No")</f>
        <v>No</v>
      </c>
      <c r="H837" s="3" t="str">
        <f>IF(LEN(Hoja1!F837)&lt;&gt;14,"Sí","No")</f>
        <v>No</v>
      </c>
      <c r="I837" s="3" t="str">
        <f>IF(Hoja1!C837&gt;Hoja1!H837,"Sí","No")</f>
        <v>No</v>
      </c>
      <c r="J837" s="3" t="str">
        <f>IF(SUMPRODUCT(--ISNUMBER(SEARCH({"0";"1";"2";"3";"4";"5";"6";"7";"8";"9"},Hoja1!D837)))=0,"Sí","No")</f>
        <v>No</v>
      </c>
      <c r="K837" s="3" t="str">
        <f t="shared" si="13"/>
        <v>No</v>
      </c>
    </row>
    <row r="838" spans="1:11" ht="15" customHeight="1" x14ac:dyDescent="0.3">
      <c r="A838" s="3" t="str">
        <f>Hoja1!A838</f>
        <v>C0837</v>
      </c>
      <c r="B838" s="3" t="str">
        <f>Hoja1!B838</f>
        <v>Haroldo del Hoyos</v>
      </c>
      <c r="C838" s="3" t="str">
        <f>IF(COUNTA(Hoja1!A838:I838)=0,"Sí","No")</f>
        <v>No</v>
      </c>
      <c r="D838" s="3" t="str">
        <f>IF(COUNTBLANK(Hoja1!A838:I838)&gt;0,"Sí","No")</f>
        <v>No</v>
      </c>
      <c r="E838" s="3" t="str">
        <f>IF(COUNTIF(Hoja1!$A$2:$A$1000,Hoja1!A838)&gt;1,"Sí","No")</f>
        <v>No</v>
      </c>
      <c r="F838" s="3" t="str">
        <f>IF(COUNTIF(Hoja1!$G$2:$G$1000,Hoja1!G838)&gt;1,"Sí","No")</f>
        <v>No</v>
      </c>
      <c r="G838" s="3" t="str">
        <f>IF(OR(ISERROR(FIND("@",Hoja1!G838)),ISERROR(FIND(".",Hoja1!G838,FIND("@",Hoja1!G838)))),"Sí","No")</f>
        <v>No</v>
      </c>
      <c r="H838" s="3" t="str">
        <f>IF(LEN(Hoja1!F838)&lt;&gt;14,"Sí","No")</f>
        <v>No</v>
      </c>
      <c r="I838" s="3" t="str">
        <f>IF(Hoja1!C838&gt;Hoja1!H838,"Sí","No")</f>
        <v>No</v>
      </c>
      <c r="J838" s="3" t="str">
        <f>IF(SUMPRODUCT(--ISNUMBER(SEARCH({"0";"1";"2";"3";"4";"5";"6";"7";"8";"9"},Hoja1!D838)))=0,"Sí","No")</f>
        <v>No</v>
      </c>
      <c r="K838" s="3" t="str">
        <f t="shared" si="13"/>
        <v>No</v>
      </c>
    </row>
    <row r="839" spans="1:11" ht="15" customHeight="1" x14ac:dyDescent="0.3">
      <c r="A839" s="3" t="str">
        <f>Hoja1!A839</f>
        <v>C0838</v>
      </c>
      <c r="B839" s="3" t="str">
        <f>Hoja1!B839</f>
        <v>Juanita Pastora Escolano Marí</v>
      </c>
      <c r="C839" s="3" t="str">
        <f>IF(COUNTA(Hoja1!A839:I839)=0,"Sí","No")</f>
        <v>No</v>
      </c>
      <c r="D839" s="3" t="str">
        <f>IF(COUNTBLANK(Hoja1!A839:I839)&gt;0,"Sí","No")</f>
        <v>No</v>
      </c>
      <c r="E839" s="3" t="str">
        <f>IF(COUNTIF(Hoja1!$A$2:$A$1000,Hoja1!A839)&gt;1,"Sí","No")</f>
        <v>No</v>
      </c>
      <c r="F839" s="3" t="str">
        <f>IF(COUNTIF(Hoja1!$G$2:$G$1000,Hoja1!G839)&gt;1,"Sí","No")</f>
        <v>No</v>
      </c>
      <c r="G839" s="3" t="str">
        <f>IF(OR(ISERROR(FIND("@",Hoja1!G839)),ISERROR(FIND(".",Hoja1!G839,FIND("@",Hoja1!G839)))),"Sí","No")</f>
        <v>No</v>
      </c>
      <c r="H839" s="3" t="str">
        <f>IF(LEN(Hoja1!F839)&lt;&gt;14,"Sí","No")</f>
        <v>No</v>
      </c>
      <c r="I839" s="3" t="str">
        <f>IF(Hoja1!C839&gt;Hoja1!H839,"Sí","No")</f>
        <v>No</v>
      </c>
      <c r="J839" s="3" t="str">
        <f>IF(SUMPRODUCT(--ISNUMBER(SEARCH({"0";"1";"2";"3";"4";"5";"6";"7";"8";"9"},Hoja1!D839)))=0,"Sí","No")</f>
        <v>No</v>
      </c>
      <c r="K839" s="3" t="str">
        <f t="shared" si="13"/>
        <v>No</v>
      </c>
    </row>
    <row r="840" spans="1:11" ht="15" customHeight="1" x14ac:dyDescent="0.3">
      <c r="A840" s="3" t="str">
        <f>Hoja1!A840</f>
        <v>C0839</v>
      </c>
      <c r="B840" s="3" t="str">
        <f>Hoja1!B840</f>
        <v>Jenny Manuel Llorens</v>
      </c>
      <c r="C840" s="3" t="str">
        <f>IF(COUNTA(Hoja1!A840:I840)=0,"Sí","No")</f>
        <v>No</v>
      </c>
      <c r="D840" s="3" t="str">
        <f>IF(COUNTBLANK(Hoja1!A840:I840)&gt;0,"Sí","No")</f>
        <v>No</v>
      </c>
      <c r="E840" s="3" t="str">
        <f>IF(COUNTIF(Hoja1!$A$2:$A$1000,Hoja1!A840)&gt;1,"Sí","No")</f>
        <v>No</v>
      </c>
      <c r="F840" s="3" t="str">
        <f>IF(COUNTIF(Hoja1!$G$2:$G$1000,Hoja1!G840)&gt;1,"Sí","No")</f>
        <v>No</v>
      </c>
      <c r="G840" s="3" t="str">
        <f>IF(OR(ISERROR(FIND("@",Hoja1!G840)),ISERROR(FIND(".",Hoja1!G840,FIND("@",Hoja1!G840)))),"Sí","No")</f>
        <v>No</v>
      </c>
      <c r="H840" s="3" t="str">
        <f>IF(LEN(Hoja1!F840)&lt;&gt;14,"Sí","No")</f>
        <v>No</v>
      </c>
      <c r="I840" s="3" t="str">
        <f>IF(Hoja1!C840&gt;Hoja1!H840,"Sí","No")</f>
        <v>No</v>
      </c>
      <c r="J840" s="3" t="str">
        <f>IF(SUMPRODUCT(--ISNUMBER(SEARCH({"0";"1";"2";"3";"4";"5";"6";"7";"8";"9"},Hoja1!D840)))=0,"Sí","No")</f>
        <v>No</v>
      </c>
      <c r="K840" s="3" t="str">
        <f t="shared" si="13"/>
        <v>No</v>
      </c>
    </row>
    <row r="841" spans="1:11" ht="15" customHeight="1" x14ac:dyDescent="0.3">
      <c r="A841" s="3" t="str">
        <f>Hoja1!A841</f>
        <v>C0840</v>
      </c>
      <c r="B841" s="3" t="str">
        <f>Hoja1!B841</f>
        <v>Belén Cantero Uría</v>
      </c>
      <c r="C841" s="3" t="str">
        <f>IF(COUNTA(Hoja1!A841:I841)=0,"Sí","No")</f>
        <v>No</v>
      </c>
      <c r="D841" s="3" t="str">
        <f>IF(COUNTBLANK(Hoja1!A841:I841)&gt;0,"Sí","No")</f>
        <v>No</v>
      </c>
      <c r="E841" s="3" t="str">
        <f>IF(COUNTIF(Hoja1!$A$2:$A$1000,Hoja1!A841)&gt;1,"Sí","No")</f>
        <v>No</v>
      </c>
      <c r="F841" s="3" t="str">
        <f>IF(COUNTIF(Hoja1!$G$2:$G$1000,Hoja1!G841)&gt;1,"Sí","No")</f>
        <v>No</v>
      </c>
      <c r="G841" s="3" t="str">
        <f>IF(OR(ISERROR(FIND("@",Hoja1!G841)),ISERROR(FIND(".",Hoja1!G841,FIND("@",Hoja1!G841)))),"Sí","No")</f>
        <v>No</v>
      </c>
      <c r="H841" s="3" t="str">
        <f>IF(LEN(Hoja1!F841)&lt;&gt;14,"Sí","No")</f>
        <v>No</v>
      </c>
      <c r="I841" s="3" t="str">
        <f>IF(Hoja1!C841&gt;Hoja1!H841,"Sí","No")</f>
        <v>No</v>
      </c>
      <c r="J841" s="3" t="str">
        <f>IF(SUMPRODUCT(--ISNUMBER(SEARCH({"0";"1";"2";"3";"4";"5";"6";"7";"8";"9"},Hoja1!D841)))=0,"Sí","No")</f>
        <v>No</v>
      </c>
      <c r="K841" s="3" t="str">
        <f t="shared" si="13"/>
        <v>No</v>
      </c>
    </row>
    <row r="842" spans="1:11" ht="15" customHeight="1" x14ac:dyDescent="0.3">
      <c r="A842" s="3" t="str">
        <f>Hoja1!A842</f>
        <v>C0841</v>
      </c>
      <c r="B842" s="3" t="str">
        <f>Hoja1!B842</f>
        <v>Candela Grande Arenas</v>
      </c>
      <c r="C842" s="3" t="str">
        <f>IF(COUNTA(Hoja1!A842:I842)=0,"Sí","No")</f>
        <v>No</v>
      </c>
      <c r="D842" s="3" t="str">
        <f>IF(COUNTBLANK(Hoja1!A842:I842)&gt;0,"Sí","No")</f>
        <v>No</v>
      </c>
      <c r="E842" s="3" t="str">
        <f>IF(COUNTIF(Hoja1!$A$2:$A$1000,Hoja1!A842)&gt;1,"Sí","No")</f>
        <v>No</v>
      </c>
      <c r="F842" s="3" t="str">
        <f>IF(COUNTIF(Hoja1!$G$2:$G$1000,Hoja1!G842)&gt;1,"Sí","No")</f>
        <v>No</v>
      </c>
      <c r="G842" s="3" t="str">
        <f>IF(OR(ISERROR(FIND("@",Hoja1!G842)),ISERROR(FIND(".",Hoja1!G842,FIND("@",Hoja1!G842)))),"Sí","No")</f>
        <v>No</v>
      </c>
      <c r="H842" s="3" t="str">
        <f>IF(LEN(Hoja1!F842)&lt;&gt;14,"Sí","No")</f>
        <v>No</v>
      </c>
      <c r="I842" s="3" t="str">
        <f>IF(Hoja1!C842&gt;Hoja1!H842,"Sí","No")</f>
        <v>No</v>
      </c>
      <c r="J842" s="3" t="str">
        <f>IF(SUMPRODUCT(--ISNUMBER(SEARCH({"0";"1";"2";"3";"4";"5";"6";"7";"8";"9"},Hoja1!D842)))=0,"Sí","No")</f>
        <v>No</v>
      </c>
      <c r="K842" s="3" t="str">
        <f t="shared" si="13"/>
        <v>No</v>
      </c>
    </row>
    <row r="843" spans="1:11" ht="15" customHeight="1" x14ac:dyDescent="0.3">
      <c r="A843" s="3" t="str">
        <f>Hoja1!A843</f>
        <v>C0842</v>
      </c>
      <c r="B843" s="3" t="str">
        <f>Hoja1!B843</f>
        <v>Socorro Sans Pomares</v>
      </c>
      <c r="C843" s="3" t="str">
        <f>IF(COUNTA(Hoja1!A843:I843)=0,"Sí","No")</f>
        <v>No</v>
      </c>
      <c r="D843" s="3" t="str">
        <f>IF(COUNTBLANK(Hoja1!A843:I843)&gt;0,"Sí","No")</f>
        <v>No</v>
      </c>
      <c r="E843" s="3" t="str">
        <f>IF(COUNTIF(Hoja1!$A$2:$A$1000,Hoja1!A843)&gt;1,"Sí","No")</f>
        <v>No</v>
      </c>
      <c r="F843" s="3" t="str">
        <f>IF(COUNTIF(Hoja1!$G$2:$G$1000,Hoja1!G843)&gt;1,"Sí","No")</f>
        <v>No</v>
      </c>
      <c r="G843" s="3" t="str">
        <f>IF(OR(ISERROR(FIND("@",Hoja1!G843)),ISERROR(FIND(".",Hoja1!G843,FIND("@",Hoja1!G843)))),"Sí","No")</f>
        <v>No</v>
      </c>
      <c r="H843" s="3" t="str">
        <f>IF(LEN(Hoja1!F843)&lt;&gt;14,"Sí","No")</f>
        <v>No</v>
      </c>
      <c r="I843" s="3" t="str">
        <f>IF(Hoja1!C843&gt;Hoja1!H843,"Sí","No")</f>
        <v>No</v>
      </c>
      <c r="J843" s="3" t="str">
        <f>IF(SUMPRODUCT(--ISNUMBER(SEARCH({"0";"1";"2";"3";"4";"5";"6";"7";"8";"9"},Hoja1!D843)))=0,"Sí","No")</f>
        <v>No</v>
      </c>
      <c r="K843" s="3" t="str">
        <f t="shared" si="13"/>
        <v>No</v>
      </c>
    </row>
    <row r="844" spans="1:11" ht="15" customHeight="1" x14ac:dyDescent="0.3">
      <c r="A844" s="3" t="str">
        <f>Hoja1!A844</f>
        <v>C0843</v>
      </c>
      <c r="B844" s="3" t="str">
        <f>Hoja1!B844</f>
        <v>Nazaret Antúnez Rios</v>
      </c>
      <c r="C844" s="3" t="str">
        <f>IF(COUNTA(Hoja1!A844:I844)=0,"Sí","No")</f>
        <v>No</v>
      </c>
      <c r="D844" s="3" t="str">
        <f>IF(COUNTBLANK(Hoja1!A844:I844)&gt;0,"Sí","No")</f>
        <v>No</v>
      </c>
      <c r="E844" s="3" t="str">
        <f>IF(COUNTIF(Hoja1!$A$2:$A$1000,Hoja1!A844)&gt;1,"Sí","No")</f>
        <v>No</v>
      </c>
      <c r="F844" s="3" t="str">
        <f>IF(COUNTIF(Hoja1!$G$2:$G$1000,Hoja1!G844)&gt;1,"Sí","No")</f>
        <v>No</v>
      </c>
      <c r="G844" s="3" t="str">
        <f>IF(OR(ISERROR(FIND("@",Hoja1!G844)),ISERROR(FIND(".",Hoja1!G844,FIND("@",Hoja1!G844)))),"Sí","No")</f>
        <v>No</v>
      </c>
      <c r="H844" s="3" t="str">
        <f>IF(LEN(Hoja1!F844)&lt;&gt;14,"Sí","No")</f>
        <v>No</v>
      </c>
      <c r="I844" s="3" t="str">
        <f>IF(Hoja1!C844&gt;Hoja1!H844,"Sí","No")</f>
        <v>No</v>
      </c>
      <c r="J844" s="3" t="str">
        <f>IF(SUMPRODUCT(--ISNUMBER(SEARCH({"0";"1";"2";"3";"4";"5";"6";"7";"8";"9"},Hoja1!D844)))=0,"Sí","No")</f>
        <v>No</v>
      </c>
      <c r="K844" s="3" t="str">
        <f t="shared" si="13"/>
        <v>No</v>
      </c>
    </row>
    <row r="845" spans="1:11" ht="15" customHeight="1" x14ac:dyDescent="0.3">
      <c r="A845" s="3" t="str">
        <f>Hoja1!A845</f>
        <v>C0844</v>
      </c>
      <c r="B845" s="3" t="str">
        <f>Hoja1!B845</f>
        <v>Yago Teruel Palomino</v>
      </c>
      <c r="C845" s="3" t="str">
        <f>IF(COUNTA(Hoja1!A845:I845)=0,"Sí","No")</f>
        <v>No</v>
      </c>
      <c r="D845" s="3" t="str">
        <f>IF(COUNTBLANK(Hoja1!A845:I845)&gt;0,"Sí","No")</f>
        <v>No</v>
      </c>
      <c r="E845" s="3" t="str">
        <f>IF(COUNTIF(Hoja1!$A$2:$A$1000,Hoja1!A845)&gt;1,"Sí","No")</f>
        <v>No</v>
      </c>
      <c r="F845" s="3" t="str">
        <f>IF(COUNTIF(Hoja1!$G$2:$G$1000,Hoja1!G845)&gt;1,"Sí","No")</f>
        <v>No</v>
      </c>
      <c r="G845" s="3" t="str">
        <f>IF(OR(ISERROR(FIND("@",Hoja1!G845)),ISERROR(FIND(".",Hoja1!G845,FIND("@",Hoja1!G845)))),"Sí","No")</f>
        <v>No</v>
      </c>
      <c r="H845" s="3" t="str">
        <f>IF(LEN(Hoja1!F845)&lt;&gt;14,"Sí","No")</f>
        <v>No</v>
      </c>
      <c r="I845" s="3" t="str">
        <f>IF(Hoja1!C845&gt;Hoja1!H845,"Sí","No")</f>
        <v>No</v>
      </c>
      <c r="J845" s="3" t="str">
        <f>IF(SUMPRODUCT(--ISNUMBER(SEARCH({"0";"1";"2";"3";"4";"5";"6";"7";"8";"9"},Hoja1!D845)))=0,"Sí","No")</f>
        <v>No</v>
      </c>
      <c r="K845" s="3" t="str">
        <f t="shared" si="13"/>
        <v>No</v>
      </c>
    </row>
    <row r="846" spans="1:11" ht="15" customHeight="1" x14ac:dyDescent="0.3">
      <c r="A846" s="3" t="str">
        <f>Hoja1!A846</f>
        <v>C0845</v>
      </c>
      <c r="B846" s="3" t="str">
        <f>Hoja1!B846</f>
        <v>Lola Crespi Lobato</v>
      </c>
      <c r="C846" s="3" t="str">
        <f>IF(COUNTA(Hoja1!A846:I846)=0,"Sí","No")</f>
        <v>No</v>
      </c>
      <c r="D846" s="3" t="str">
        <f>IF(COUNTBLANK(Hoja1!A846:I846)&gt;0,"Sí","No")</f>
        <v>No</v>
      </c>
      <c r="E846" s="3" t="str">
        <f>IF(COUNTIF(Hoja1!$A$2:$A$1000,Hoja1!A846)&gt;1,"Sí","No")</f>
        <v>No</v>
      </c>
      <c r="F846" s="3" t="str">
        <f>IF(COUNTIF(Hoja1!$G$2:$G$1000,Hoja1!G846)&gt;1,"Sí","No")</f>
        <v>No</v>
      </c>
      <c r="G846" s="3" t="str">
        <f>IF(OR(ISERROR(FIND("@",Hoja1!G846)),ISERROR(FIND(".",Hoja1!G846,FIND("@",Hoja1!G846)))),"Sí","No")</f>
        <v>No</v>
      </c>
      <c r="H846" s="3" t="str">
        <f>IF(LEN(Hoja1!F846)&lt;&gt;14,"Sí","No")</f>
        <v>No</v>
      </c>
      <c r="I846" s="3" t="str">
        <f>IF(Hoja1!C846&gt;Hoja1!H846,"Sí","No")</f>
        <v>No</v>
      </c>
      <c r="J846" s="3" t="str">
        <f>IF(SUMPRODUCT(--ISNUMBER(SEARCH({"0";"1";"2";"3";"4";"5";"6";"7";"8";"9"},Hoja1!D846)))=0,"Sí","No")</f>
        <v>No</v>
      </c>
      <c r="K846" s="3" t="str">
        <f t="shared" si="13"/>
        <v>No</v>
      </c>
    </row>
    <row r="847" spans="1:11" ht="15" customHeight="1" x14ac:dyDescent="0.3">
      <c r="A847" s="3" t="str">
        <f>Hoja1!A847</f>
        <v>C0846</v>
      </c>
      <c r="B847" s="3" t="str">
        <f>Hoja1!B847</f>
        <v>Matías Agudo Ruiz</v>
      </c>
      <c r="C847" s="3" t="str">
        <f>IF(COUNTA(Hoja1!A847:I847)=0,"Sí","No")</f>
        <v>No</v>
      </c>
      <c r="D847" s="3" t="str">
        <f>IF(COUNTBLANK(Hoja1!A847:I847)&gt;0,"Sí","No")</f>
        <v>No</v>
      </c>
      <c r="E847" s="3" t="str">
        <f>IF(COUNTIF(Hoja1!$A$2:$A$1000,Hoja1!A847)&gt;1,"Sí","No")</f>
        <v>No</v>
      </c>
      <c r="F847" s="3" t="str">
        <f>IF(COUNTIF(Hoja1!$G$2:$G$1000,Hoja1!G847)&gt;1,"Sí","No")</f>
        <v>No</v>
      </c>
      <c r="G847" s="3" t="str">
        <f>IF(OR(ISERROR(FIND("@",Hoja1!G847)),ISERROR(FIND(".",Hoja1!G847,FIND("@",Hoja1!G847)))),"Sí","No")</f>
        <v>No</v>
      </c>
      <c r="H847" s="3" t="str">
        <f>IF(LEN(Hoja1!F847)&lt;&gt;14,"Sí","No")</f>
        <v>No</v>
      </c>
      <c r="I847" s="3" t="str">
        <f>IF(Hoja1!C847&gt;Hoja1!H847,"Sí","No")</f>
        <v>No</v>
      </c>
      <c r="J847" s="3" t="str">
        <f>IF(SUMPRODUCT(--ISNUMBER(SEARCH({"0";"1";"2";"3";"4";"5";"6";"7";"8";"9"},Hoja1!D847)))=0,"Sí","No")</f>
        <v>No</v>
      </c>
      <c r="K847" s="3" t="str">
        <f t="shared" si="13"/>
        <v>No</v>
      </c>
    </row>
    <row r="848" spans="1:11" ht="15" customHeight="1" x14ac:dyDescent="0.3">
      <c r="A848" s="3" t="str">
        <f>Hoja1!A848</f>
        <v>C0847</v>
      </c>
      <c r="B848" s="3" t="str">
        <f>Hoja1!B848</f>
        <v>Luisa Redondo Salom</v>
      </c>
      <c r="C848" s="3" t="str">
        <f>IF(COUNTA(Hoja1!A848:I848)=0,"Sí","No")</f>
        <v>No</v>
      </c>
      <c r="D848" s="3" t="str">
        <f>IF(COUNTBLANK(Hoja1!A848:I848)&gt;0,"Sí","No")</f>
        <v>No</v>
      </c>
      <c r="E848" s="3" t="str">
        <f>IF(COUNTIF(Hoja1!$A$2:$A$1000,Hoja1!A848)&gt;1,"Sí","No")</f>
        <v>No</v>
      </c>
      <c r="F848" s="3" t="str">
        <f>IF(COUNTIF(Hoja1!$G$2:$G$1000,Hoja1!G848)&gt;1,"Sí","No")</f>
        <v>Sí</v>
      </c>
      <c r="G848" s="3" t="str">
        <f>IF(OR(ISERROR(FIND("@",Hoja1!G848)),ISERROR(FIND(".",Hoja1!G848,FIND("@",Hoja1!G848)))),"Sí","No")</f>
        <v>No</v>
      </c>
      <c r="H848" s="3" t="str">
        <f>IF(LEN(Hoja1!F848)&lt;&gt;14,"Sí","No")</f>
        <v>No</v>
      </c>
      <c r="I848" s="3" t="str">
        <f>IF(Hoja1!C848&gt;Hoja1!H848,"Sí","No")</f>
        <v>No</v>
      </c>
      <c r="J848" s="3" t="str">
        <f>IF(SUMPRODUCT(--ISNUMBER(SEARCH({"0";"1";"2";"3";"4";"5";"6";"7";"8";"9"},Hoja1!D848)))=0,"Sí","No")</f>
        <v>No</v>
      </c>
      <c r="K848" s="3" t="str">
        <f t="shared" si="13"/>
        <v>Sí</v>
      </c>
    </row>
    <row r="849" spans="1:11" ht="15" customHeight="1" x14ac:dyDescent="0.3">
      <c r="A849" s="3" t="str">
        <f>Hoja1!A849</f>
        <v>C0848</v>
      </c>
      <c r="B849" s="3" t="str">
        <f>Hoja1!B849</f>
        <v>Isa Trillo Rozas</v>
      </c>
      <c r="C849" s="3" t="str">
        <f>IF(COUNTA(Hoja1!A849:I849)=0,"Sí","No")</f>
        <v>No</v>
      </c>
      <c r="D849" s="3" t="str">
        <f>IF(COUNTBLANK(Hoja1!A849:I849)&gt;0,"Sí","No")</f>
        <v>No</v>
      </c>
      <c r="E849" s="3" t="str">
        <f>IF(COUNTIF(Hoja1!$A$2:$A$1000,Hoja1!A849)&gt;1,"Sí","No")</f>
        <v>No</v>
      </c>
      <c r="F849" s="3" t="str">
        <f>IF(COUNTIF(Hoja1!$G$2:$G$1000,Hoja1!G849)&gt;1,"Sí","No")</f>
        <v>No</v>
      </c>
      <c r="G849" s="3" t="str">
        <f>IF(OR(ISERROR(FIND("@",Hoja1!G849)),ISERROR(FIND(".",Hoja1!G849,FIND("@",Hoja1!G849)))),"Sí","No")</f>
        <v>No</v>
      </c>
      <c r="H849" s="3" t="str">
        <f>IF(LEN(Hoja1!F849)&lt;&gt;14,"Sí","No")</f>
        <v>No</v>
      </c>
      <c r="I849" s="3" t="str">
        <f>IF(Hoja1!C849&gt;Hoja1!H849,"Sí","No")</f>
        <v>No</v>
      </c>
      <c r="J849" s="3" t="str">
        <f>IF(SUMPRODUCT(--ISNUMBER(SEARCH({"0";"1";"2";"3";"4";"5";"6";"7";"8";"9"},Hoja1!D849)))=0,"Sí","No")</f>
        <v>No</v>
      </c>
      <c r="K849" s="3" t="str">
        <f t="shared" si="13"/>
        <v>No</v>
      </c>
    </row>
    <row r="850" spans="1:11" ht="15" customHeight="1" x14ac:dyDescent="0.3">
      <c r="A850" s="3" t="str">
        <f>Hoja1!A850</f>
        <v>C0849</v>
      </c>
      <c r="B850" s="3" t="str">
        <f>Hoja1!B850</f>
        <v>Asdrubal Estevez Solís</v>
      </c>
      <c r="C850" s="3" t="str">
        <f>IF(COUNTA(Hoja1!A850:I850)=0,"Sí","No")</f>
        <v>No</v>
      </c>
      <c r="D850" s="3" t="str">
        <f>IF(COUNTBLANK(Hoja1!A850:I850)&gt;0,"Sí","No")</f>
        <v>No</v>
      </c>
      <c r="E850" s="3" t="str">
        <f>IF(COUNTIF(Hoja1!$A$2:$A$1000,Hoja1!A850)&gt;1,"Sí","No")</f>
        <v>No</v>
      </c>
      <c r="F850" s="3" t="str">
        <f>IF(COUNTIF(Hoja1!$G$2:$G$1000,Hoja1!G850)&gt;1,"Sí","No")</f>
        <v>No</v>
      </c>
      <c r="G850" s="3" t="str">
        <f>IF(OR(ISERROR(FIND("@",Hoja1!G850)),ISERROR(FIND(".",Hoja1!G850,FIND("@",Hoja1!G850)))),"Sí","No")</f>
        <v>No</v>
      </c>
      <c r="H850" s="3" t="str">
        <f>IF(LEN(Hoja1!F850)&lt;&gt;14,"Sí","No")</f>
        <v>No</v>
      </c>
      <c r="I850" s="3" t="str">
        <f>IF(Hoja1!C850&gt;Hoja1!H850,"Sí","No")</f>
        <v>No</v>
      </c>
      <c r="J850" s="3" t="str">
        <f>IF(SUMPRODUCT(--ISNUMBER(SEARCH({"0";"1";"2";"3";"4";"5";"6";"7";"8";"9"},Hoja1!D850)))=0,"Sí","No")</f>
        <v>No</v>
      </c>
      <c r="K850" s="3" t="str">
        <f t="shared" si="13"/>
        <v>No</v>
      </c>
    </row>
    <row r="851" spans="1:11" ht="15" customHeight="1" x14ac:dyDescent="0.3">
      <c r="A851" s="3" t="str">
        <f>Hoja1!A851</f>
        <v>C0850</v>
      </c>
      <c r="B851" s="3" t="str">
        <f>Hoja1!B851</f>
        <v>Ruth Blázquez Cerro</v>
      </c>
      <c r="C851" s="3" t="str">
        <f>IF(COUNTA(Hoja1!A851:I851)=0,"Sí","No")</f>
        <v>No</v>
      </c>
      <c r="D851" s="3" t="str">
        <f>IF(COUNTBLANK(Hoja1!A851:I851)&gt;0,"Sí","No")</f>
        <v>No</v>
      </c>
      <c r="E851" s="3" t="str">
        <f>IF(COUNTIF(Hoja1!$A$2:$A$1000,Hoja1!A851)&gt;1,"Sí","No")</f>
        <v>No</v>
      </c>
      <c r="F851" s="3" t="str">
        <f>IF(COUNTIF(Hoja1!$G$2:$G$1000,Hoja1!G851)&gt;1,"Sí","No")</f>
        <v>No</v>
      </c>
      <c r="G851" s="3" t="str">
        <f>IF(OR(ISERROR(FIND("@",Hoja1!G851)),ISERROR(FIND(".",Hoja1!G851,FIND("@",Hoja1!G851)))),"Sí","No")</f>
        <v>No</v>
      </c>
      <c r="H851" s="3" t="str">
        <f>IF(LEN(Hoja1!F851)&lt;&gt;14,"Sí","No")</f>
        <v>No</v>
      </c>
      <c r="I851" s="3" t="str">
        <f>IF(Hoja1!C851&gt;Hoja1!H851,"Sí","No")</f>
        <v>No</v>
      </c>
      <c r="J851" s="3" t="str">
        <f>IF(SUMPRODUCT(--ISNUMBER(SEARCH({"0";"1";"2";"3";"4";"5";"6";"7";"8";"9"},Hoja1!D851)))=0,"Sí","No")</f>
        <v>No</v>
      </c>
      <c r="K851" s="3" t="str">
        <f t="shared" si="13"/>
        <v>No</v>
      </c>
    </row>
    <row r="852" spans="1:11" ht="15" customHeight="1" x14ac:dyDescent="0.3">
      <c r="A852" s="3" t="str">
        <f>Hoja1!A852</f>
        <v>C0851</v>
      </c>
      <c r="B852" s="3" t="str">
        <f>Hoja1!B852</f>
        <v>Hernando del Nieto</v>
      </c>
      <c r="C852" s="3" t="str">
        <f>IF(COUNTA(Hoja1!A852:I852)=0,"Sí","No")</f>
        <v>No</v>
      </c>
      <c r="D852" s="3" t="str">
        <f>IF(COUNTBLANK(Hoja1!A852:I852)&gt;0,"Sí","No")</f>
        <v>No</v>
      </c>
      <c r="E852" s="3" t="str">
        <f>IF(COUNTIF(Hoja1!$A$2:$A$1000,Hoja1!A852)&gt;1,"Sí","No")</f>
        <v>No</v>
      </c>
      <c r="F852" s="3" t="str">
        <f>IF(COUNTIF(Hoja1!$G$2:$G$1000,Hoja1!G852)&gt;1,"Sí","No")</f>
        <v>No</v>
      </c>
      <c r="G852" s="3" t="str">
        <f>IF(OR(ISERROR(FIND("@",Hoja1!G852)),ISERROR(FIND(".",Hoja1!G852,FIND("@",Hoja1!G852)))),"Sí","No")</f>
        <v>No</v>
      </c>
      <c r="H852" s="3" t="str">
        <f>IF(LEN(Hoja1!F852)&lt;&gt;14,"Sí","No")</f>
        <v>No</v>
      </c>
      <c r="I852" s="3" t="str">
        <f>IF(Hoja1!C852&gt;Hoja1!H852,"Sí","No")</f>
        <v>No</v>
      </c>
      <c r="J852" s="3" t="str">
        <f>IF(SUMPRODUCT(--ISNUMBER(SEARCH({"0";"1";"2";"3";"4";"5";"6";"7";"8";"9"},Hoja1!D852)))=0,"Sí","No")</f>
        <v>No</v>
      </c>
      <c r="K852" s="3" t="str">
        <f t="shared" si="13"/>
        <v>No</v>
      </c>
    </row>
    <row r="853" spans="1:11" ht="15" customHeight="1" x14ac:dyDescent="0.3">
      <c r="A853" s="3" t="str">
        <f>Hoja1!A853</f>
        <v>C0852</v>
      </c>
      <c r="B853" s="3" t="str">
        <f>Hoja1!B853</f>
        <v>Silvio Vilanova Amador</v>
      </c>
      <c r="C853" s="3" t="str">
        <f>IF(COUNTA(Hoja1!A853:I853)=0,"Sí","No")</f>
        <v>No</v>
      </c>
      <c r="D853" s="3" t="str">
        <f>IF(COUNTBLANK(Hoja1!A853:I853)&gt;0,"Sí","No")</f>
        <v>No</v>
      </c>
      <c r="E853" s="3" t="str">
        <f>IF(COUNTIF(Hoja1!$A$2:$A$1000,Hoja1!A853)&gt;1,"Sí","No")</f>
        <v>No</v>
      </c>
      <c r="F853" s="3" t="str">
        <f>IF(COUNTIF(Hoja1!$G$2:$G$1000,Hoja1!G853)&gt;1,"Sí","No")</f>
        <v>No</v>
      </c>
      <c r="G853" s="3" t="str">
        <f>IF(OR(ISERROR(FIND("@",Hoja1!G853)),ISERROR(FIND(".",Hoja1!G853,FIND("@",Hoja1!G853)))),"Sí","No")</f>
        <v>No</v>
      </c>
      <c r="H853" s="3" t="str">
        <f>IF(LEN(Hoja1!F853)&lt;&gt;14,"Sí","No")</f>
        <v>No</v>
      </c>
      <c r="I853" s="3" t="str">
        <f>IF(Hoja1!C853&gt;Hoja1!H853,"Sí","No")</f>
        <v>No</v>
      </c>
      <c r="J853" s="3" t="str">
        <f>IF(SUMPRODUCT(--ISNUMBER(SEARCH({"0";"1";"2";"3";"4";"5";"6";"7";"8";"9"},Hoja1!D853)))=0,"Sí","No")</f>
        <v>No</v>
      </c>
      <c r="K853" s="3" t="str">
        <f t="shared" si="13"/>
        <v>No</v>
      </c>
    </row>
    <row r="854" spans="1:11" ht="15" customHeight="1" x14ac:dyDescent="0.3">
      <c r="A854" s="3" t="str">
        <f>Hoja1!A854</f>
        <v>C0853</v>
      </c>
      <c r="B854" s="3" t="str">
        <f>Hoja1!B854</f>
        <v>Damián Andrade</v>
      </c>
      <c r="C854" s="3" t="str">
        <f>IF(COUNTA(Hoja1!A854:I854)=0,"Sí","No")</f>
        <v>No</v>
      </c>
      <c r="D854" s="3" t="str">
        <f>IF(COUNTBLANK(Hoja1!A854:I854)&gt;0,"Sí","No")</f>
        <v>No</v>
      </c>
      <c r="E854" s="3" t="str">
        <f>IF(COUNTIF(Hoja1!$A$2:$A$1000,Hoja1!A854)&gt;1,"Sí","No")</f>
        <v>No</v>
      </c>
      <c r="F854" s="3" t="str">
        <f>IF(COUNTIF(Hoja1!$G$2:$G$1000,Hoja1!G854)&gt;1,"Sí","No")</f>
        <v>No</v>
      </c>
      <c r="G854" s="3" t="str">
        <f>IF(OR(ISERROR(FIND("@",Hoja1!G854)),ISERROR(FIND(".",Hoja1!G854,FIND("@",Hoja1!G854)))),"Sí","No")</f>
        <v>No</v>
      </c>
      <c r="H854" s="3" t="str">
        <f>IF(LEN(Hoja1!F854)&lt;&gt;14,"Sí","No")</f>
        <v>No</v>
      </c>
      <c r="I854" s="3" t="str">
        <f>IF(Hoja1!C854&gt;Hoja1!H854,"Sí","No")</f>
        <v>No</v>
      </c>
      <c r="J854" s="3" t="str">
        <f>IF(SUMPRODUCT(--ISNUMBER(SEARCH({"0";"1";"2";"3";"4";"5";"6";"7";"8";"9"},Hoja1!D854)))=0,"Sí","No")</f>
        <v>No</v>
      </c>
      <c r="K854" s="3" t="str">
        <f t="shared" si="13"/>
        <v>No</v>
      </c>
    </row>
    <row r="855" spans="1:11" ht="15" customHeight="1" x14ac:dyDescent="0.3">
      <c r="A855" s="3" t="str">
        <f>Hoja1!A855</f>
        <v>C0854</v>
      </c>
      <c r="B855" s="3" t="str">
        <f>Hoja1!B855</f>
        <v>Patricio Velasco</v>
      </c>
      <c r="C855" s="3" t="str">
        <f>IF(COUNTA(Hoja1!A855:I855)=0,"Sí","No")</f>
        <v>No</v>
      </c>
      <c r="D855" s="3" t="str">
        <f>IF(COUNTBLANK(Hoja1!A855:I855)&gt;0,"Sí","No")</f>
        <v>No</v>
      </c>
      <c r="E855" s="3" t="str">
        <f>IF(COUNTIF(Hoja1!$A$2:$A$1000,Hoja1!A855)&gt;1,"Sí","No")</f>
        <v>No</v>
      </c>
      <c r="F855" s="3" t="str">
        <f>IF(COUNTIF(Hoja1!$G$2:$G$1000,Hoja1!G855)&gt;1,"Sí","No")</f>
        <v>No</v>
      </c>
      <c r="G855" s="3" t="str">
        <f>IF(OR(ISERROR(FIND("@",Hoja1!G855)),ISERROR(FIND(".",Hoja1!G855,FIND("@",Hoja1!G855)))),"Sí","No")</f>
        <v>No</v>
      </c>
      <c r="H855" s="3" t="str">
        <f>IF(LEN(Hoja1!F855)&lt;&gt;14,"Sí","No")</f>
        <v>No</v>
      </c>
      <c r="I855" s="3" t="str">
        <f>IF(Hoja1!C855&gt;Hoja1!H855,"Sí","No")</f>
        <v>No</v>
      </c>
      <c r="J855" s="3" t="str">
        <f>IF(SUMPRODUCT(--ISNUMBER(SEARCH({"0";"1";"2";"3";"4";"5";"6";"7";"8";"9"},Hoja1!D855)))=0,"Sí","No")</f>
        <v>No</v>
      </c>
      <c r="K855" s="3" t="str">
        <f t="shared" si="13"/>
        <v>No</v>
      </c>
    </row>
    <row r="856" spans="1:11" ht="15" customHeight="1" x14ac:dyDescent="0.3">
      <c r="A856" s="3" t="str">
        <f>Hoja1!A856</f>
        <v>C0855</v>
      </c>
      <c r="B856" s="3" t="str">
        <f>Hoja1!B856</f>
        <v>Antonio Mendizábal Sevillano</v>
      </c>
      <c r="C856" s="3" t="str">
        <f>IF(COUNTA(Hoja1!A856:I856)=0,"Sí","No")</f>
        <v>No</v>
      </c>
      <c r="D856" s="3" t="str">
        <f>IF(COUNTBLANK(Hoja1!A856:I856)&gt;0,"Sí","No")</f>
        <v>No</v>
      </c>
      <c r="E856" s="3" t="str">
        <f>IF(COUNTIF(Hoja1!$A$2:$A$1000,Hoja1!A856)&gt;1,"Sí","No")</f>
        <v>No</v>
      </c>
      <c r="F856" s="3" t="str">
        <f>IF(COUNTIF(Hoja1!$G$2:$G$1000,Hoja1!G856)&gt;1,"Sí","No")</f>
        <v>No</v>
      </c>
      <c r="G856" s="3" t="str">
        <f>IF(OR(ISERROR(FIND("@",Hoja1!G856)),ISERROR(FIND(".",Hoja1!G856,FIND("@",Hoja1!G856)))),"Sí","No")</f>
        <v>No</v>
      </c>
      <c r="H856" s="3" t="str">
        <f>IF(LEN(Hoja1!F856)&lt;&gt;14,"Sí","No")</f>
        <v>No</v>
      </c>
      <c r="I856" s="3" t="str">
        <f>IF(Hoja1!C856&gt;Hoja1!H856,"Sí","No")</f>
        <v>No</v>
      </c>
      <c r="J856" s="3" t="str">
        <f>IF(SUMPRODUCT(--ISNUMBER(SEARCH({"0";"1";"2";"3";"4";"5";"6";"7";"8";"9"},Hoja1!D856)))=0,"Sí","No")</f>
        <v>No</v>
      </c>
      <c r="K856" s="3" t="str">
        <f t="shared" si="13"/>
        <v>No</v>
      </c>
    </row>
    <row r="857" spans="1:11" ht="15" customHeight="1" x14ac:dyDescent="0.3">
      <c r="A857" s="3" t="str">
        <f>Hoja1!A857</f>
        <v>C0856</v>
      </c>
      <c r="B857" s="3" t="str">
        <f>Hoja1!B857</f>
        <v>Aitana Escudero Hidalgo</v>
      </c>
      <c r="C857" s="3" t="str">
        <f>IF(COUNTA(Hoja1!A857:I857)=0,"Sí","No")</f>
        <v>No</v>
      </c>
      <c r="D857" s="3" t="str">
        <f>IF(COUNTBLANK(Hoja1!A857:I857)&gt;0,"Sí","No")</f>
        <v>No</v>
      </c>
      <c r="E857" s="3" t="str">
        <f>IF(COUNTIF(Hoja1!$A$2:$A$1000,Hoja1!A857)&gt;1,"Sí","No")</f>
        <v>No</v>
      </c>
      <c r="F857" s="3" t="str">
        <f>IF(COUNTIF(Hoja1!$G$2:$G$1000,Hoja1!G857)&gt;1,"Sí","No")</f>
        <v>No</v>
      </c>
      <c r="G857" s="3" t="str">
        <f>IF(OR(ISERROR(FIND("@",Hoja1!G857)),ISERROR(FIND(".",Hoja1!G857,FIND("@",Hoja1!G857)))),"Sí","No")</f>
        <v>No</v>
      </c>
      <c r="H857" s="3" t="str">
        <f>IF(LEN(Hoja1!F857)&lt;&gt;14,"Sí","No")</f>
        <v>No</v>
      </c>
      <c r="I857" s="3" t="str">
        <f>IF(Hoja1!C857&gt;Hoja1!H857,"Sí","No")</f>
        <v>No</v>
      </c>
      <c r="J857" s="3" t="str">
        <f>IF(SUMPRODUCT(--ISNUMBER(SEARCH({"0";"1";"2";"3";"4";"5";"6";"7";"8";"9"},Hoja1!D857)))=0,"Sí","No")</f>
        <v>No</v>
      </c>
      <c r="K857" s="3" t="str">
        <f t="shared" si="13"/>
        <v>No</v>
      </c>
    </row>
    <row r="858" spans="1:11" ht="15" customHeight="1" x14ac:dyDescent="0.3">
      <c r="A858" s="3" t="str">
        <f>Hoja1!A858</f>
        <v>C0857</v>
      </c>
      <c r="B858" s="3" t="str">
        <f>Hoja1!B858</f>
        <v>Magdalena Castell Rey</v>
      </c>
      <c r="C858" s="3" t="str">
        <f>IF(COUNTA(Hoja1!A858:I858)=0,"Sí","No")</f>
        <v>No</v>
      </c>
      <c r="D858" s="3" t="str">
        <f>IF(COUNTBLANK(Hoja1!A858:I858)&gt;0,"Sí","No")</f>
        <v>No</v>
      </c>
      <c r="E858" s="3" t="str">
        <f>IF(COUNTIF(Hoja1!$A$2:$A$1000,Hoja1!A858)&gt;1,"Sí","No")</f>
        <v>No</v>
      </c>
      <c r="F858" s="3" t="str">
        <f>IF(COUNTIF(Hoja1!$G$2:$G$1000,Hoja1!G858)&gt;1,"Sí","No")</f>
        <v>No</v>
      </c>
      <c r="G858" s="3" t="str">
        <f>IF(OR(ISERROR(FIND("@",Hoja1!G858)),ISERROR(FIND(".",Hoja1!G858,FIND("@",Hoja1!G858)))),"Sí","No")</f>
        <v>No</v>
      </c>
      <c r="H858" s="3" t="str">
        <f>IF(LEN(Hoja1!F858)&lt;&gt;14,"Sí","No")</f>
        <v>No</v>
      </c>
      <c r="I858" s="3" t="str">
        <f>IF(Hoja1!C858&gt;Hoja1!H858,"Sí","No")</f>
        <v>No</v>
      </c>
      <c r="J858" s="3" t="str">
        <f>IF(SUMPRODUCT(--ISNUMBER(SEARCH({"0";"1";"2";"3";"4";"5";"6";"7";"8";"9"},Hoja1!D858)))=0,"Sí","No")</f>
        <v>No</v>
      </c>
      <c r="K858" s="3" t="str">
        <f t="shared" si="13"/>
        <v>No</v>
      </c>
    </row>
    <row r="859" spans="1:11" ht="15" customHeight="1" x14ac:dyDescent="0.3">
      <c r="A859" s="3" t="str">
        <f>Hoja1!A859</f>
        <v>C0858</v>
      </c>
      <c r="B859" s="3" t="str">
        <f>Hoja1!B859</f>
        <v>Baltasar del Giner</v>
      </c>
      <c r="C859" s="3" t="str">
        <f>IF(COUNTA(Hoja1!A859:I859)=0,"Sí","No")</f>
        <v>No</v>
      </c>
      <c r="D859" s="3" t="str">
        <f>IF(COUNTBLANK(Hoja1!A859:I859)&gt;0,"Sí","No")</f>
        <v>No</v>
      </c>
      <c r="E859" s="3" t="str">
        <f>IF(COUNTIF(Hoja1!$A$2:$A$1000,Hoja1!A859)&gt;1,"Sí","No")</f>
        <v>No</v>
      </c>
      <c r="F859" s="3" t="str">
        <f>IF(COUNTIF(Hoja1!$G$2:$G$1000,Hoja1!G859)&gt;1,"Sí","No")</f>
        <v>No</v>
      </c>
      <c r="G859" s="3" t="str">
        <f>IF(OR(ISERROR(FIND("@",Hoja1!G859)),ISERROR(FIND(".",Hoja1!G859,FIND("@",Hoja1!G859)))),"Sí","No")</f>
        <v>No</v>
      </c>
      <c r="H859" s="3" t="str">
        <f>IF(LEN(Hoja1!F859)&lt;&gt;14,"Sí","No")</f>
        <v>No</v>
      </c>
      <c r="I859" s="3" t="str">
        <f>IF(Hoja1!C859&gt;Hoja1!H859,"Sí","No")</f>
        <v>No</v>
      </c>
      <c r="J859" s="3" t="str">
        <f>IF(SUMPRODUCT(--ISNUMBER(SEARCH({"0";"1";"2";"3";"4";"5";"6";"7";"8";"9"},Hoja1!D859)))=0,"Sí","No")</f>
        <v>No</v>
      </c>
      <c r="K859" s="3" t="str">
        <f t="shared" si="13"/>
        <v>No</v>
      </c>
    </row>
    <row r="860" spans="1:11" ht="15" customHeight="1" x14ac:dyDescent="0.3">
      <c r="A860" s="3" t="str">
        <f>Hoja1!A860</f>
        <v>C0859</v>
      </c>
      <c r="B860" s="3" t="str">
        <f>Hoja1!B860</f>
        <v>Martirio Samper Tena</v>
      </c>
      <c r="C860" s="3" t="str">
        <f>IF(COUNTA(Hoja1!A860:I860)=0,"Sí","No")</f>
        <v>No</v>
      </c>
      <c r="D860" s="3" t="str">
        <f>IF(COUNTBLANK(Hoja1!A860:I860)&gt;0,"Sí","No")</f>
        <v>No</v>
      </c>
      <c r="E860" s="3" t="str">
        <f>IF(COUNTIF(Hoja1!$A$2:$A$1000,Hoja1!A860)&gt;1,"Sí","No")</f>
        <v>No</v>
      </c>
      <c r="F860" s="3" t="str">
        <f>IF(COUNTIF(Hoja1!$G$2:$G$1000,Hoja1!G860)&gt;1,"Sí","No")</f>
        <v>No</v>
      </c>
      <c r="G860" s="3" t="str">
        <f>IF(OR(ISERROR(FIND("@",Hoja1!G860)),ISERROR(FIND(".",Hoja1!G860,FIND("@",Hoja1!G860)))),"Sí","No")</f>
        <v>No</v>
      </c>
      <c r="H860" s="3" t="str">
        <f>IF(LEN(Hoja1!F860)&lt;&gt;14,"Sí","No")</f>
        <v>No</v>
      </c>
      <c r="I860" s="3" t="str">
        <f>IF(Hoja1!C860&gt;Hoja1!H860,"Sí","No")</f>
        <v>No</v>
      </c>
      <c r="J860" s="3" t="str">
        <f>IF(SUMPRODUCT(--ISNUMBER(SEARCH({"0";"1";"2";"3";"4";"5";"6";"7";"8";"9"},Hoja1!D860)))=0,"Sí","No")</f>
        <v>No</v>
      </c>
      <c r="K860" s="3" t="str">
        <f t="shared" si="13"/>
        <v>No</v>
      </c>
    </row>
    <row r="861" spans="1:11" ht="15" customHeight="1" x14ac:dyDescent="0.3">
      <c r="A861" s="3" t="str">
        <f>Hoja1!A861</f>
        <v>C0860</v>
      </c>
      <c r="B861" s="3" t="str">
        <f>Hoja1!B861</f>
        <v>Arsenio Haro Ledesma</v>
      </c>
      <c r="C861" s="3" t="str">
        <f>IF(COUNTA(Hoja1!A861:I861)=0,"Sí","No")</f>
        <v>No</v>
      </c>
      <c r="D861" s="3" t="str">
        <f>IF(COUNTBLANK(Hoja1!A861:I861)&gt;0,"Sí","No")</f>
        <v>No</v>
      </c>
      <c r="E861" s="3" t="str">
        <f>IF(COUNTIF(Hoja1!$A$2:$A$1000,Hoja1!A861)&gt;1,"Sí","No")</f>
        <v>No</v>
      </c>
      <c r="F861" s="3" t="str">
        <f>IF(COUNTIF(Hoja1!$G$2:$G$1000,Hoja1!G861)&gt;1,"Sí","No")</f>
        <v>No</v>
      </c>
      <c r="G861" s="3" t="str">
        <f>IF(OR(ISERROR(FIND("@",Hoja1!G861)),ISERROR(FIND(".",Hoja1!G861,FIND("@",Hoja1!G861)))),"Sí","No")</f>
        <v>No</v>
      </c>
      <c r="H861" s="3" t="str">
        <f>IF(LEN(Hoja1!F861)&lt;&gt;14,"Sí","No")</f>
        <v>No</v>
      </c>
      <c r="I861" s="3" t="str">
        <f>IF(Hoja1!C861&gt;Hoja1!H861,"Sí","No")</f>
        <v>No</v>
      </c>
      <c r="J861" s="3" t="str">
        <f>IF(SUMPRODUCT(--ISNUMBER(SEARCH({"0";"1";"2";"3";"4";"5";"6";"7";"8";"9"},Hoja1!D861)))=0,"Sí","No")</f>
        <v>No</v>
      </c>
      <c r="K861" s="3" t="str">
        <f t="shared" si="13"/>
        <v>No</v>
      </c>
    </row>
    <row r="862" spans="1:11" ht="15" customHeight="1" x14ac:dyDescent="0.3">
      <c r="A862" s="3" t="str">
        <f>Hoja1!A862</f>
        <v>C0861</v>
      </c>
      <c r="B862" s="3" t="str">
        <f>Hoja1!B862</f>
        <v>Herminia Nevado Pagès</v>
      </c>
      <c r="C862" s="3" t="str">
        <f>IF(COUNTA(Hoja1!A862:I862)=0,"Sí","No")</f>
        <v>No</v>
      </c>
      <c r="D862" s="3" t="str">
        <f>IF(COUNTBLANK(Hoja1!A862:I862)&gt;0,"Sí","No")</f>
        <v>No</v>
      </c>
      <c r="E862" s="3" t="str">
        <f>IF(COUNTIF(Hoja1!$A$2:$A$1000,Hoja1!A862)&gt;1,"Sí","No")</f>
        <v>No</v>
      </c>
      <c r="F862" s="3" t="str">
        <f>IF(COUNTIF(Hoja1!$G$2:$G$1000,Hoja1!G862)&gt;1,"Sí","No")</f>
        <v>No</v>
      </c>
      <c r="G862" s="3" t="str">
        <f>IF(OR(ISERROR(FIND("@",Hoja1!G862)),ISERROR(FIND(".",Hoja1!G862,FIND("@",Hoja1!G862)))),"Sí","No")</f>
        <v>No</v>
      </c>
      <c r="H862" s="3" t="str">
        <f>IF(LEN(Hoja1!F862)&lt;&gt;14,"Sí","No")</f>
        <v>No</v>
      </c>
      <c r="I862" s="3" t="str">
        <f>IF(Hoja1!C862&gt;Hoja1!H862,"Sí","No")</f>
        <v>No</v>
      </c>
      <c r="J862" s="3" t="str">
        <f>IF(SUMPRODUCT(--ISNUMBER(SEARCH({"0";"1";"2";"3";"4";"5";"6";"7";"8";"9"},Hoja1!D862)))=0,"Sí","No")</f>
        <v>No</v>
      </c>
      <c r="K862" s="3" t="str">
        <f t="shared" si="13"/>
        <v>No</v>
      </c>
    </row>
    <row r="863" spans="1:11" ht="15" customHeight="1" x14ac:dyDescent="0.3">
      <c r="A863" s="3" t="str">
        <f>Hoja1!A863</f>
        <v>C0862</v>
      </c>
      <c r="B863" s="3" t="str">
        <f>Hoja1!B863</f>
        <v>Apolonia Luís-Bernat</v>
      </c>
      <c r="C863" s="3" t="str">
        <f>IF(COUNTA(Hoja1!A863:I863)=0,"Sí","No")</f>
        <v>No</v>
      </c>
      <c r="D863" s="3" t="str">
        <f>IF(COUNTBLANK(Hoja1!A863:I863)&gt;0,"Sí","No")</f>
        <v>No</v>
      </c>
      <c r="E863" s="3" t="str">
        <f>IF(COUNTIF(Hoja1!$A$2:$A$1000,Hoja1!A863)&gt;1,"Sí","No")</f>
        <v>No</v>
      </c>
      <c r="F863" s="3" t="str">
        <f>IF(COUNTIF(Hoja1!$G$2:$G$1000,Hoja1!G863)&gt;1,"Sí","No")</f>
        <v>No</v>
      </c>
      <c r="G863" s="3" t="str">
        <f>IF(OR(ISERROR(FIND("@",Hoja1!G863)),ISERROR(FIND(".",Hoja1!G863,FIND("@",Hoja1!G863)))),"Sí","No")</f>
        <v>No</v>
      </c>
      <c r="H863" s="3" t="str">
        <f>IF(LEN(Hoja1!F863)&lt;&gt;14,"Sí","No")</f>
        <v>No</v>
      </c>
      <c r="I863" s="3" t="str">
        <f>IF(Hoja1!C863&gt;Hoja1!H863,"Sí","No")</f>
        <v>No</v>
      </c>
      <c r="J863" s="3" t="str">
        <f>IF(SUMPRODUCT(--ISNUMBER(SEARCH({"0";"1";"2";"3";"4";"5";"6";"7";"8";"9"},Hoja1!D863)))=0,"Sí","No")</f>
        <v>No</v>
      </c>
      <c r="K863" s="3" t="str">
        <f t="shared" si="13"/>
        <v>No</v>
      </c>
    </row>
    <row r="864" spans="1:11" ht="15" customHeight="1" x14ac:dyDescent="0.3">
      <c r="A864" s="3" t="str">
        <f>Hoja1!A864</f>
        <v>C0863</v>
      </c>
      <c r="B864" s="3" t="str">
        <f>Hoja1!B864</f>
        <v>Lina Porcel Bustamante</v>
      </c>
      <c r="C864" s="3" t="str">
        <f>IF(COUNTA(Hoja1!A864:I864)=0,"Sí","No")</f>
        <v>No</v>
      </c>
      <c r="D864" s="3" t="str">
        <f>IF(COUNTBLANK(Hoja1!A864:I864)&gt;0,"Sí","No")</f>
        <v>No</v>
      </c>
      <c r="E864" s="3" t="str">
        <f>IF(COUNTIF(Hoja1!$A$2:$A$1000,Hoja1!A864)&gt;1,"Sí","No")</f>
        <v>No</v>
      </c>
      <c r="F864" s="3" t="str">
        <f>IF(COUNTIF(Hoja1!$G$2:$G$1000,Hoja1!G864)&gt;1,"Sí","No")</f>
        <v>No</v>
      </c>
      <c r="G864" s="3" t="str">
        <f>IF(OR(ISERROR(FIND("@",Hoja1!G864)),ISERROR(FIND(".",Hoja1!G864,FIND("@",Hoja1!G864)))),"Sí","No")</f>
        <v>No</v>
      </c>
      <c r="H864" s="3" t="str">
        <f>IF(LEN(Hoja1!F864)&lt;&gt;14,"Sí","No")</f>
        <v>No</v>
      </c>
      <c r="I864" s="3" t="str">
        <f>IF(Hoja1!C864&gt;Hoja1!H864,"Sí","No")</f>
        <v>No</v>
      </c>
      <c r="J864" s="3" t="str">
        <f>IF(SUMPRODUCT(--ISNUMBER(SEARCH({"0";"1";"2";"3";"4";"5";"6";"7";"8";"9"},Hoja1!D864)))=0,"Sí","No")</f>
        <v>No</v>
      </c>
      <c r="K864" s="3" t="str">
        <f t="shared" si="13"/>
        <v>No</v>
      </c>
    </row>
    <row r="865" spans="1:11" ht="15" customHeight="1" x14ac:dyDescent="0.3">
      <c r="A865" s="3" t="str">
        <f>Hoja1!A865</f>
        <v>C0864</v>
      </c>
      <c r="B865" s="3" t="str">
        <f>Hoja1!B865</f>
        <v>José Luis Ferrándiz Cornejo</v>
      </c>
      <c r="C865" s="3" t="str">
        <f>IF(COUNTA(Hoja1!A865:I865)=0,"Sí","No")</f>
        <v>No</v>
      </c>
      <c r="D865" s="3" t="str">
        <f>IF(COUNTBLANK(Hoja1!A865:I865)&gt;0,"Sí","No")</f>
        <v>No</v>
      </c>
      <c r="E865" s="3" t="str">
        <f>IF(COUNTIF(Hoja1!$A$2:$A$1000,Hoja1!A865)&gt;1,"Sí","No")</f>
        <v>No</v>
      </c>
      <c r="F865" s="3" t="str">
        <f>IF(COUNTIF(Hoja1!$G$2:$G$1000,Hoja1!G865)&gt;1,"Sí","No")</f>
        <v>No</v>
      </c>
      <c r="G865" s="3" t="str">
        <f>IF(OR(ISERROR(FIND("@",Hoja1!G865)),ISERROR(FIND(".",Hoja1!G865,FIND("@",Hoja1!G865)))),"Sí","No")</f>
        <v>No</v>
      </c>
      <c r="H865" s="3" t="str">
        <f>IF(LEN(Hoja1!F865)&lt;&gt;14,"Sí","No")</f>
        <v>No</v>
      </c>
      <c r="I865" s="3" t="str">
        <f>IF(Hoja1!C865&gt;Hoja1!H865,"Sí","No")</f>
        <v>No</v>
      </c>
      <c r="J865" s="3" t="str">
        <f>IF(SUMPRODUCT(--ISNUMBER(SEARCH({"0";"1";"2";"3";"4";"5";"6";"7";"8";"9"},Hoja1!D865)))=0,"Sí","No")</f>
        <v>No</v>
      </c>
      <c r="K865" s="3" t="str">
        <f t="shared" si="13"/>
        <v>No</v>
      </c>
    </row>
    <row r="866" spans="1:11" ht="15" customHeight="1" x14ac:dyDescent="0.3">
      <c r="A866" s="3" t="str">
        <f>Hoja1!A866</f>
        <v>C0865</v>
      </c>
      <c r="B866" s="3" t="str">
        <f>Hoja1!B866</f>
        <v>Belen Chaparro</v>
      </c>
      <c r="C866" s="3" t="str">
        <f>IF(COUNTA(Hoja1!A866:I866)=0,"Sí","No")</f>
        <v>No</v>
      </c>
      <c r="D866" s="3" t="str">
        <f>IF(COUNTBLANK(Hoja1!A866:I866)&gt;0,"Sí","No")</f>
        <v>No</v>
      </c>
      <c r="E866" s="3" t="str">
        <f>IF(COUNTIF(Hoja1!$A$2:$A$1000,Hoja1!A866)&gt;1,"Sí","No")</f>
        <v>No</v>
      </c>
      <c r="F866" s="3" t="str">
        <f>IF(COUNTIF(Hoja1!$G$2:$G$1000,Hoja1!G866)&gt;1,"Sí","No")</f>
        <v>No</v>
      </c>
      <c r="G866" s="3" t="str">
        <f>IF(OR(ISERROR(FIND("@",Hoja1!G866)),ISERROR(FIND(".",Hoja1!G866,FIND("@",Hoja1!G866)))),"Sí","No")</f>
        <v>No</v>
      </c>
      <c r="H866" s="3" t="str">
        <f>IF(LEN(Hoja1!F866)&lt;&gt;14,"Sí","No")</f>
        <v>No</v>
      </c>
      <c r="I866" s="3" t="str">
        <f>IF(Hoja1!C866&gt;Hoja1!H866,"Sí","No")</f>
        <v>No</v>
      </c>
      <c r="J866" s="3" t="str">
        <f>IF(SUMPRODUCT(--ISNUMBER(SEARCH({"0";"1";"2";"3";"4";"5";"6";"7";"8";"9"},Hoja1!D866)))=0,"Sí","No")</f>
        <v>No</v>
      </c>
      <c r="K866" s="3" t="str">
        <f t="shared" si="13"/>
        <v>No</v>
      </c>
    </row>
    <row r="867" spans="1:11" ht="15" customHeight="1" x14ac:dyDescent="0.3">
      <c r="A867" s="3" t="str">
        <f>Hoja1!A867</f>
        <v>C0866</v>
      </c>
      <c r="B867" s="3" t="str">
        <f>Hoja1!B867</f>
        <v>Poncio Cerdán</v>
      </c>
      <c r="C867" s="3" t="str">
        <f>IF(COUNTA(Hoja1!A867:I867)=0,"Sí","No")</f>
        <v>No</v>
      </c>
      <c r="D867" s="3" t="str">
        <f>IF(COUNTBLANK(Hoja1!A867:I867)&gt;0,"Sí","No")</f>
        <v>No</v>
      </c>
      <c r="E867" s="3" t="str">
        <f>IF(COUNTIF(Hoja1!$A$2:$A$1000,Hoja1!A867)&gt;1,"Sí","No")</f>
        <v>No</v>
      </c>
      <c r="F867" s="3" t="str">
        <f>IF(COUNTIF(Hoja1!$G$2:$G$1000,Hoja1!G867)&gt;1,"Sí","No")</f>
        <v>No</v>
      </c>
      <c r="G867" s="3" t="str">
        <f>IF(OR(ISERROR(FIND("@",Hoja1!G867)),ISERROR(FIND(".",Hoja1!G867,FIND("@",Hoja1!G867)))),"Sí","No")</f>
        <v>No</v>
      </c>
      <c r="H867" s="3" t="str">
        <f>IF(LEN(Hoja1!F867)&lt;&gt;14,"Sí","No")</f>
        <v>No</v>
      </c>
      <c r="I867" s="3" t="str">
        <f>IF(Hoja1!C867&gt;Hoja1!H867,"Sí","No")</f>
        <v>No</v>
      </c>
      <c r="J867" s="3" t="str">
        <f>IF(SUMPRODUCT(--ISNUMBER(SEARCH({"0";"1";"2";"3";"4";"5";"6";"7";"8";"9"},Hoja1!D867)))=0,"Sí","No")</f>
        <v>No</v>
      </c>
      <c r="K867" s="3" t="str">
        <f t="shared" si="13"/>
        <v>No</v>
      </c>
    </row>
    <row r="868" spans="1:11" ht="15" customHeight="1" x14ac:dyDescent="0.3">
      <c r="A868" s="3" t="str">
        <f>Hoja1!A868</f>
        <v>C0867</v>
      </c>
      <c r="B868" s="3" t="str">
        <f>Hoja1!B868</f>
        <v>Andrés Doménech Almazán</v>
      </c>
      <c r="C868" s="3" t="str">
        <f>IF(COUNTA(Hoja1!A868:I868)=0,"Sí","No")</f>
        <v>No</v>
      </c>
      <c r="D868" s="3" t="str">
        <f>IF(COUNTBLANK(Hoja1!A868:I868)&gt;0,"Sí","No")</f>
        <v>No</v>
      </c>
      <c r="E868" s="3" t="str">
        <f>IF(COUNTIF(Hoja1!$A$2:$A$1000,Hoja1!A868)&gt;1,"Sí","No")</f>
        <v>No</v>
      </c>
      <c r="F868" s="3" t="str">
        <f>IF(COUNTIF(Hoja1!$G$2:$G$1000,Hoja1!G868)&gt;1,"Sí","No")</f>
        <v>No</v>
      </c>
      <c r="G868" s="3" t="str">
        <f>IF(OR(ISERROR(FIND("@",Hoja1!G868)),ISERROR(FIND(".",Hoja1!G868,FIND("@",Hoja1!G868)))),"Sí","No")</f>
        <v>No</v>
      </c>
      <c r="H868" s="3" t="str">
        <f>IF(LEN(Hoja1!F868)&lt;&gt;14,"Sí","No")</f>
        <v>No</v>
      </c>
      <c r="I868" s="3" t="str">
        <f>IF(Hoja1!C868&gt;Hoja1!H868,"Sí","No")</f>
        <v>No</v>
      </c>
      <c r="J868" s="3" t="str">
        <f>IF(SUMPRODUCT(--ISNUMBER(SEARCH({"0";"1";"2";"3";"4";"5";"6";"7";"8";"9"},Hoja1!D868)))=0,"Sí","No")</f>
        <v>No</v>
      </c>
      <c r="K868" s="3" t="str">
        <f t="shared" si="13"/>
        <v>No</v>
      </c>
    </row>
    <row r="869" spans="1:11" ht="15" customHeight="1" x14ac:dyDescent="0.3">
      <c r="A869" s="3" t="str">
        <f>Hoja1!A869</f>
        <v>C0868</v>
      </c>
      <c r="B869" s="3" t="str">
        <f>Hoja1!B869</f>
        <v>Cecilio Apolinar Salas Alemán</v>
      </c>
      <c r="C869" s="3" t="str">
        <f>IF(COUNTA(Hoja1!A869:I869)=0,"Sí","No")</f>
        <v>No</v>
      </c>
      <c r="D869" s="3" t="str">
        <f>IF(COUNTBLANK(Hoja1!A869:I869)&gt;0,"Sí","No")</f>
        <v>No</v>
      </c>
      <c r="E869" s="3" t="str">
        <f>IF(COUNTIF(Hoja1!$A$2:$A$1000,Hoja1!A869)&gt;1,"Sí","No")</f>
        <v>No</v>
      </c>
      <c r="F869" s="3" t="str">
        <f>IF(COUNTIF(Hoja1!$G$2:$G$1000,Hoja1!G869)&gt;1,"Sí","No")</f>
        <v>No</v>
      </c>
      <c r="G869" s="3" t="str">
        <f>IF(OR(ISERROR(FIND("@",Hoja1!G869)),ISERROR(FIND(".",Hoja1!G869,FIND("@",Hoja1!G869)))),"Sí","No")</f>
        <v>No</v>
      </c>
      <c r="H869" s="3" t="str">
        <f>IF(LEN(Hoja1!F869)&lt;&gt;14,"Sí","No")</f>
        <v>No</v>
      </c>
      <c r="I869" s="3" t="str">
        <f>IF(Hoja1!C869&gt;Hoja1!H869,"Sí","No")</f>
        <v>No</v>
      </c>
      <c r="J869" s="3" t="str">
        <f>IF(SUMPRODUCT(--ISNUMBER(SEARCH({"0";"1";"2";"3";"4";"5";"6";"7";"8";"9"},Hoja1!D869)))=0,"Sí","No")</f>
        <v>No</v>
      </c>
      <c r="K869" s="3" t="str">
        <f t="shared" si="13"/>
        <v>No</v>
      </c>
    </row>
    <row r="870" spans="1:11" ht="15" customHeight="1" x14ac:dyDescent="0.3">
      <c r="A870" s="3" t="str">
        <f>Hoja1!A870</f>
        <v>C0869</v>
      </c>
      <c r="B870" s="3" t="str">
        <f>Hoja1!B870</f>
        <v>Otilia Ropero Macias</v>
      </c>
      <c r="C870" s="3" t="str">
        <f>IF(COUNTA(Hoja1!A870:I870)=0,"Sí","No")</f>
        <v>No</v>
      </c>
      <c r="D870" s="3" t="str">
        <f>IF(COUNTBLANK(Hoja1!A870:I870)&gt;0,"Sí","No")</f>
        <v>No</v>
      </c>
      <c r="E870" s="3" t="str">
        <f>IF(COUNTIF(Hoja1!$A$2:$A$1000,Hoja1!A870)&gt;1,"Sí","No")</f>
        <v>No</v>
      </c>
      <c r="F870" s="3" t="str">
        <f>IF(COUNTIF(Hoja1!$G$2:$G$1000,Hoja1!G870)&gt;1,"Sí","No")</f>
        <v>No</v>
      </c>
      <c r="G870" s="3" t="str">
        <f>IF(OR(ISERROR(FIND("@",Hoja1!G870)),ISERROR(FIND(".",Hoja1!G870,FIND("@",Hoja1!G870)))),"Sí","No")</f>
        <v>No</v>
      </c>
      <c r="H870" s="3" t="str">
        <f>IF(LEN(Hoja1!F870)&lt;&gt;14,"Sí","No")</f>
        <v>No</v>
      </c>
      <c r="I870" s="3" t="str">
        <f>IF(Hoja1!C870&gt;Hoja1!H870,"Sí","No")</f>
        <v>No</v>
      </c>
      <c r="J870" s="3" t="str">
        <f>IF(SUMPRODUCT(--ISNUMBER(SEARCH({"0";"1";"2";"3";"4";"5";"6";"7";"8";"9"},Hoja1!D870)))=0,"Sí","No")</f>
        <v>No</v>
      </c>
      <c r="K870" s="3" t="str">
        <f t="shared" si="13"/>
        <v>No</v>
      </c>
    </row>
    <row r="871" spans="1:11" ht="15" customHeight="1" x14ac:dyDescent="0.3">
      <c r="A871" s="3" t="str">
        <f>Hoja1!A871</f>
        <v>C0870</v>
      </c>
      <c r="B871" s="3" t="str">
        <f>Hoja1!B871</f>
        <v>Severo de Goñi</v>
      </c>
      <c r="C871" s="3" t="str">
        <f>IF(COUNTA(Hoja1!A871:I871)=0,"Sí","No")</f>
        <v>No</v>
      </c>
      <c r="D871" s="3" t="str">
        <f>IF(COUNTBLANK(Hoja1!A871:I871)&gt;0,"Sí","No")</f>
        <v>No</v>
      </c>
      <c r="E871" s="3" t="str">
        <f>IF(COUNTIF(Hoja1!$A$2:$A$1000,Hoja1!A871)&gt;1,"Sí","No")</f>
        <v>No</v>
      </c>
      <c r="F871" s="3" t="str">
        <f>IF(COUNTIF(Hoja1!$G$2:$G$1000,Hoja1!G871)&gt;1,"Sí","No")</f>
        <v>No</v>
      </c>
      <c r="G871" s="3" t="str">
        <f>IF(OR(ISERROR(FIND("@",Hoja1!G871)),ISERROR(FIND(".",Hoja1!G871,FIND("@",Hoja1!G871)))),"Sí","No")</f>
        <v>No</v>
      </c>
      <c r="H871" s="3" t="str">
        <f>IF(LEN(Hoja1!F871)&lt;&gt;14,"Sí","No")</f>
        <v>No</v>
      </c>
      <c r="I871" s="3" t="str">
        <f>IF(Hoja1!C871&gt;Hoja1!H871,"Sí","No")</f>
        <v>No</v>
      </c>
      <c r="J871" s="3" t="str">
        <f>IF(SUMPRODUCT(--ISNUMBER(SEARCH({"0";"1";"2";"3";"4";"5";"6";"7";"8";"9"},Hoja1!D871)))=0,"Sí","No")</f>
        <v>No</v>
      </c>
      <c r="K871" s="3" t="str">
        <f t="shared" si="13"/>
        <v>No</v>
      </c>
    </row>
    <row r="872" spans="1:11" ht="15" customHeight="1" x14ac:dyDescent="0.3">
      <c r="A872" s="3" t="str">
        <f>Hoja1!A872</f>
        <v>C0871</v>
      </c>
      <c r="B872" s="3" t="str">
        <f>Hoja1!B872</f>
        <v>Chuy Julián Cabrero</v>
      </c>
      <c r="C872" s="3" t="str">
        <f>IF(COUNTA(Hoja1!A872:I872)=0,"Sí","No")</f>
        <v>No</v>
      </c>
      <c r="D872" s="3" t="str">
        <f>IF(COUNTBLANK(Hoja1!A872:I872)&gt;0,"Sí","No")</f>
        <v>No</v>
      </c>
      <c r="E872" s="3" t="str">
        <f>IF(COUNTIF(Hoja1!$A$2:$A$1000,Hoja1!A872)&gt;1,"Sí","No")</f>
        <v>No</v>
      </c>
      <c r="F872" s="3" t="str">
        <f>IF(COUNTIF(Hoja1!$G$2:$G$1000,Hoja1!G872)&gt;1,"Sí","No")</f>
        <v>No</v>
      </c>
      <c r="G872" s="3" t="str">
        <f>IF(OR(ISERROR(FIND("@",Hoja1!G872)),ISERROR(FIND(".",Hoja1!G872,FIND("@",Hoja1!G872)))),"Sí","No")</f>
        <v>No</v>
      </c>
      <c r="H872" s="3" t="str">
        <f>IF(LEN(Hoja1!F872)&lt;&gt;14,"Sí","No")</f>
        <v>No</v>
      </c>
      <c r="I872" s="3" t="str">
        <f>IF(Hoja1!C872&gt;Hoja1!H872,"Sí","No")</f>
        <v>No</v>
      </c>
      <c r="J872" s="3" t="str">
        <f>IF(SUMPRODUCT(--ISNUMBER(SEARCH({"0";"1";"2";"3";"4";"5";"6";"7";"8";"9"},Hoja1!D872)))=0,"Sí","No")</f>
        <v>No</v>
      </c>
      <c r="K872" s="3" t="str">
        <f t="shared" si="13"/>
        <v>No</v>
      </c>
    </row>
    <row r="873" spans="1:11" ht="15" customHeight="1" x14ac:dyDescent="0.3">
      <c r="A873" s="3" t="str">
        <f>Hoja1!A873</f>
        <v>C0872</v>
      </c>
      <c r="B873" s="3" t="str">
        <f>Hoja1!B873</f>
        <v>Adelia Campo-Bueno</v>
      </c>
      <c r="C873" s="3" t="str">
        <f>IF(COUNTA(Hoja1!A873:I873)=0,"Sí","No")</f>
        <v>No</v>
      </c>
      <c r="D873" s="3" t="str">
        <f>IF(COUNTBLANK(Hoja1!A873:I873)&gt;0,"Sí","No")</f>
        <v>No</v>
      </c>
      <c r="E873" s="3" t="str">
        <f>IF(COUNTIF(Hoja1!$A$2:$A$1000,Hoja1!A873)&gt;1,"Sí","No")</f>
        <v>No</v>
      </c>
      <c r="F873" s="3" t="str">
        <f>IF(COUNTIF(Hoja1!$G$2:$G$1000,Hoja1!G873)&gt;1,"Sí","No")</f>
        <v>No</v>
      </c>
      <c r="G873" s="3" t="str">
        <f>IF(OR(ISERROR(FIND("@",Hoja1!G873)),ISERROR(FIND(".",Hoja1!G873,FIND("@",Hoja1!G873)))),"Sí","No")</f>
        <v>No</v>
      </c>
      <c r="H873" s="3" t="str">
        <f>IF(LEN(Hoja1!F873)&lt;&gt;14,"Sí","No")</f>
        <v>No</v>
      </c>
      <c r="I873" s="3" t="str">
        <f>IF(Hoja1!C873&gt;Hoja1!H873,"Sí","No")</f>
        <v>No</v>
      </c>
      <c r="J873" s="3" t="str">
        <f>IF(SUMPRODUCT(--ISNUMBER(SEARCH({"0";"1";"2";"3";"4";"5";"6";"7";"8";"9"},Hoja1!D873)))=0,"Sí","No")</f>
        <v>No</v>
      </c>
      <c r="K873" s="3" t="str">
        <f t="shared" si="13"/>
        <v>No</v>
      </c>
    </row>
    <row r="874" spans="1:11" ht="15" customHeight="1" x14ac:dyDescent="0.3">
      <c r="A874" s="3" t="str">
        <f>Hoja1!A874</f>
        <v>C0873</v>
      </c>
      <c r="B874" s="3" t="str">
        <f>Hoja1!B874</f>
        <v>Anacleto Paniagua-Antúnez</v>
      </c>
      <c r="C874" s="3" t="str">
        <f>IF(COUNTA(Hoja1!A874:I874)=0,"Sí","No")</f>
        <v>No</v>
      </c>
      <c r="D874" s="3" t="str">
        <f>IF(COUNTBLANK(Hoja1!A874:I874)&gt;0,"Sí","No")</f>
        <v>No</v>
      </c>
      <c r="E874" s="3" t="str">
        <f>IF(COUNTIF(Hoja1!$A$2:$A$1000,Hoja1!A874)&gt;1,"Sí","No")</f>
        <v>No</v>
      </c>
      <c r="F874" s="3" t="str">
        <f>IF(COUNTIF(Hoja1!$G$2:$G$1000,Hoja1!G874)&gt;1,"Sí","No")</f>
        <v>No</v>
      </c>
      <c r="G874" s="3" t="str">
        <f>IF(OR(ISERROR(FIND("@",Hoja1!G874)),ISERROR(FIND(".",Hoja1!G874,FIND("@",Hoja1!G874)))),"Sí","No")</f>
        <v>No</v>
      </c>
      <c r="H874" s="3" t="str">
        <f>IF(LEN(Hoja1!F874)&lt;&gt;14,"Sí","No")</f>
        <v>No</v>
      </c>
      <c r="I874" s="3" t="str">
        <f>IF(Hoja1!C874&gt;Hoja1!H874,"Sí","No")</f>
        <v>No</v>
      </c>
      <c r="J874" s="3" t="str">
        <f>IF(SUMPRODUCT(--ISNUMBER(SEARCH({"0";"1";"2";"3";"4";"5";"6";"7";"8";"9"},Hoja1!D874)))=0,"Sí","No")</f>
        <v>No</v>
      </c>
      <c r="K874" s="3" t="str">
        <f t="shared" si="13"/>
        <v>No</v>
      </c>
    </row>
    <row r="875" spans="1:11" ht="15" customHeight="1" x14ac:dyDescent="0.3">
      <c r="A875" s="3" t="str">
        <f>Hoja1!A875</f>
        <v>C0874</v>
      </c>
      <c r="B875" s="3" t="str">
        <f>Hoja1!B875</f>
        <v>Régulo Larrea Pereira</v>
      </c>
      <c r="C875" s="3" t="str">
        <f>IF(COUNTA(Hoja1!A875:I875)=0,"Sí","No")</f>
        <v>No</v>
      </c>
      <c r="D875" s="3" t="str">
        <f>IF(COUNTBLANK(Hoja1!A875:I875)&gt;0,"Sí","No")</f>
        <v>No</v>
      </c>
      <c r="E875" s="3" t="str">
        <f>IF(COUNTIF(Hoja1!$A$2:$A$1000,Hoja1!A875)&gt;1,"Sí","No")</f>
        <v>No</v>
      </c>
      <c r="F875" s="3" t="str">
        <f>IF(COUNTIF(Hoja1!$G$2:$G$1000,Hoja1!G875)&gt;1,"Sí","No")</f>
        <v>No</v>
      </c>
      <c r="G875" s="3" t="str">
        <f>IF(OR(ISERROR(FIND("@",Hoja1!G875)),ISERROR(FIND(".",Hoja1!G875,FIND("@",Hoja1!G875)))),"Sí","No")</f>
        <v>No</v>
      </c>
      <c r="H875" s="3" t="str">
        <f>IF(LEN(Hoja1!F875)&lt;&gt;14,"Sí","No")</f>
        <v>No</v>
      </c>
      <c r="I875" s="3" t="str">
        <f>IF(Hoja1!C875&gt;Hoja1!H875,"Sí","No")</f>
        <v>No</v>
      </c>
      <c r="J875" s="3" t="str">
        <f>IF(SUMPRODUCT(--ISNUMBER(SEARCH({"0";"1";"2";"3";"4";"5";"6";"7";"8";"9"},Hoja1!D875)))=0,"Sí","No")</f>
        <v>No</v>
      </c>
      <c r="K875" s="3" t="str">
        <f t="shared" si="13"/>
        <v>No</v>
      </c>
    </row>
    <row r="876" spans="1:11" ht="15" customHeight="1" x14ac:dyDescent="0.3">
      <c r="A876" s="3" t="str">
        <f>Hoja1!A876</f>
        <v>C0875</v>
      </c>
      <c r="B876" s="3" t="str">
        <f>Hoja1!B876</f>
        <v>Pacífica Guardiola Rosa</v>
      </c>
      <c r="C876" s="3" t="str">
        <f>IF(COUNTA(Hoja1!A876:I876)=0,"Sí","No")</f>
        <v>No</v>
      </c>
      <c r="D876" s="3" t="str">
        <f>IF(COUNTBLANK(Hoja1!A876:I876)&gt;0,"Sí","No")</f>
        <v>No</v>
      </c>
      <c r="E876" s="3" t="str">
        <f>IF(COUNTIF(Hoja1!$A$2:$A$1000,Hoja1!A876)&gt;1,"Sí","No")</f>
        <v>No</v>
      </c>
      <c r="F876" s="3" t="str">
        <f>IF(COUNTIF(Hoja1!$G$2:$G$1000,Hoja1!G876)&gt;1,"Sí","No")</f>
        <v>No</v>
      </c>
      <c r="G876" s="3" t="str">
        <f>IF(OR(ISERROR(FIND("@",Hoja1!G876)),ISERROR(FIND(".",Hoja1!G876,FIND("@",Hoja1!G876)))),"Sí","No")</f>
        <v>No</v>
      </c>
      <c r="H876" s="3" t="str">
        <f>IF(LEN(Hoja1!F876)&lt;&gt;14,"Sí","No")</f>
        <v>No</v>
      </c>
      <c r="I876" s="3" t="str">
        <f>IF(Hoja1!C876&gt;Hoja1!H876,"Sí","No")</f>
        <v>No</v>
      </c>
      <c r="J876" s="3" t="str">
        <f>IF(SUMPRODUCT(--ISNUMBER(SEARCH({"0";"1";"2";"3";"4";"5";"6";"7";"8";"9"},Hoja1!D876)))=0,"Sí","No")</f>
        <v>No</v>
      </c>
      <c r="K876" s="3" t="str">
        <f t="shared" si="13"/>
        <v>No</v>
      </c>
    </row>
    <row r="877" spans="1:11" ht="15" customHeight="1" x14ac:dyDescent="0.3">
      <c r="A877" s="3" t="str">
        <f>Hoja1!A877</f>
        <v>C0876</v>
      </c>
      <c r="B877" s="3" t="str">
        <f>Hoja1!B877</f>
        <v>Victorino Aramburu</v>
      </c>
      <c r="C877" s="3" t="str">
        <f>IF(COUNTA(Hoja1!A877:I877)=0,"Sí","No")</f>
        <v>No</v>
      </c>
      <c r="D877" s="3" t="str">
        <f>IF(COUNTBLANK(Hoja1!A877:I877)&gt;0,"Sí","No")</f>
        <v>No</v>
      </c>
      <c r="E877" s="3" t="str">
        <f>IF(COUNTIF(Hoja1!$A$2:$A$1000,Hoja1!A877)&gt;1,"Sí","No")</f>
        <v>No</v>
      </c>
      <c r="F877" s="3" t="str">
        <f>IF(COUNTIF(Hoja1!$G$2:$G$1000,Hoja1!G877)&gt;1,"Sí","No")</f>
        <v>No</v>
      </c>
      <c r="G877" s="3" t="str">
        <f>IF(OR(ISERROR(FIND("@",Hoja1!G877)),ISERROR(FIND(".",Hoja1!G877,FIND("@",Hoja1!G877)))),"Sí","No")</f>
        <v>No</v>
      </c>
      <c r="H877" s="3" t="str">
        <f>IF(LEN(Hoja1!F877)&lt;&gt;14,"Sí","No")</f>
        <v>No</v>
      </c>
      <c r="I877" s="3" t="str">
        <f>IF(Hoja1!C877&gt;Hoja1!H877,"Sí","No")</f>
        <v>No</v>
      </c>
      <c r="J877" s="3" t="str">
        <f>IF(SUMPRODUCT(--ISNUMBER(SEARCH({"0";"1";"2";"3";"4";"5";"6";"7";"8";"9"},Hoja1!D877)))=0,"Sí","No")</f>
        <v>No</v>
      </c>
      <c r="K877" s="3" t="str">
        <f t="shared" si="13"/>
        <v>No</v>
      </c>
    </row>
    <row r="878" spans="1:11" ht="15" customHeight="1" x14ac:dyDescent="0.3">
      <c r="A878" s="3" t="str">
        <f>Hoja1!A878</f>
        <v>C0877</v>
      </c>
      <c r="B878" s="3" t="str">
        <f>Hoja1!B878</f>
        <v>Bibiana Mata Alcolea</v>
      </c>
      <c r="C878" s="3" t="str">
        <f>IF(COUNTA(Hoja1!A878:I878)=0,"Sí","No")</f>
        <v>No</v>
      </c>
      <c r="D878" s="3" t="str">
        <f>IF(COUNTBLANK(Hoja1!A878:I878)&gt;0,"Sí","No")</f>
        <v>No</v>
      </c>
      <c r="E878" s="3" t="str">
        <f>IF(COUNTIF(Hoja1!$A$2:$A$1000,Hoja1!A878)&gt;1,"Sí","No")</f>
        <v>No</v>
      </c>
      <c r="F878" s="3" t="str">
        <f>IF(COUNTIF(Hoja1!$G$2:$G$1000,Hoja1!G878)&gt;1,"Sí","No")</f>
        <v>No</v>
      </c>
      <c r="G878" s="3" t="str">
        <f>IF(OR(ISERROR(FIND("@",Hoja1!G878)),ISERROR(FIND(".",Hoja1!G878,FIND("@",Hoja1!G878)))),"Sí","No")</f>
        <v>No</v>
      </c>
      <c r="H878" s="3" t="str">
        <f>IF(LEN(Hoja1!F878)&lt;&gt;14,"Sí","No")</f>
        <v>No</v>
      </c>
      <c r="I878" s="3" t="str">
        <f>IF(Hoja1!C878&gt;Hoja1!H878,"Sí","No")</f>
        <v>No</v>
      </c>
      <c r="J878" s="3" t="str">
        <f>IF(SUMPRODUCT(--ISNUMBER(SEARCH({"0";"1";"2";"3";"4";"5";"6";"7";"8";"9"},Hoja1!D878)))=0,"Sí","No")</f>
        <v>No</v>
      </c>
      <c r="K878" s="3" t="str">
        <f t="shared" si="13"/>
        <v>No</v>
      </c>
    </row>
    <row r="879" spans="1:11" ht="15" customHeight="1" x14ac:dyDescent="0.3">
      <c r="A879" s="3" t="str">
        <f>Hoja1!A879</f>
        <v>C0878</v>
      </c>
      <c r="B879" s="3" t="str">
        <f>Hoja1!B879</f>
        <v>Florentina Grande Quintero</v>
      </c>
      <c r="C879" s="3" t="str">
        <f>IF(COUNTA(Hoja1!A879:I879)=0,"Sí","No")</f>
        <v>No</v>
      </c>
      <c r="D879" s="3" t="str">
        <f>IF(COUNTBLANK(Hoja1!A879:I879)&gt;0,"Sí","No")</f>
        <v>No</v>
      </c>
      <c r="E879" s="3" t="str">
        <f>IF(COUNTIF(Hoja1!$A$2:$A$1000,Hoja1!A879)&gt;1,"Sí","No")</f>
        <v>No</v>
      </c>
      <c r="F879" s="3" t="str">
        <f>IF(COUNTIF(Hoja1!$G$2:$G$1000,Hoja1!G879)&gt;1,"Sí","No")</f>
        <v>No</v>
      </c>
      <c r="G879" s="3" t="str">
        <f>IF(OR(ISERROR(FIND("@",Hoja1!G879)),ISERROR(FIND(".",Hoja1!G879,FIND("@",Hoja1!G879)))),"Sí","No")</f>
        <v>No</v>
      </c>
      <c r="H879" s="3" t="str">
        <f>IF(LEN(Hoja1!F879)&lt;&gt;14,"Sí","No")</f>
        <v>No</v>
      </c>
      <c r="I879" s="3" t="str">
        <f>IF(Hoja1!C879&gt;Hoja1!H879,"Sí","No")</f>
        <v>No</v>
      </c>
      <c r="J879" s="3" t="str">
        <f>IF(SUMPRODUCT(--ISNUMBER(SEARCH({"0";"1";"2";"3";"4";"5";"6";"7";"8";"9"},Hoja1!D879)))=0,"Sí","No")</f>
        <v>No</v>
      </c>
      <c r="K879" s="3" t="str">
        <f t="shared" si="13"/>
        <v>No</v>
      </c>
    </row>
    <row r="880" spans="1:11" ht="15" customHeight="1" x14ac:dyDescent="0.3">
      <c r="A880" s="3" t="str">
        <f>Hoja1!A880</f>
        <v>C0879</v>
      </c>
      <c r="B880" s="3" t="str">
        <f>Hoja1!B880</f>
        <v>Cayetano Coello Fernandez</v>
      </c>
      <c r="C880" s="3" t="str">
        <f>IF(COUNTA(Hoja1!A880:I880)=0,"Sí","No")</f>
        <v>No</v>
      </c>
      <c r="D880" s="3" t="str">
        <f>IF(COUNTBLANK(Hoja1!A880:I880)&gt;0,"Sí","No")</f>
        <v>No</v>
      </c>
      <c r="E880" s="3" t="str">
        <f>IF(COUNTIF(Hoja1!$A$2:$A$1000,Hoja1!A880)&gt;1,"Sí","No")</f>
        <v>No</v>
      </c>
      <c r="F880" s="3" t="str">
        <f>IF(COUNTIF(Hoja1!$G$2:$G$1000,Hoja1!G880)&gt;1,"Sí","No")</f>
        <v>No</v>
      </c>
      <c r="G880" s="3" t="str">
        <f>IF(OR(ISERROR(FIND("@",Hoja1!G880)),ISERROR(FIND(".",Hoja1!G880,FIND("@",Hoja1!G880)))),"Sí","No")</f>
        <v>No</v>
      </c>
      <c r="H880" s="3" t="str">
        <f>IF(LEN(Hoja1!F880)&lt;&gt;14,"Sí","No")</f>
        <v>No</v>
      </c>
      <c r="I880" s="3" t="str">
        <f>IF(Hoja1!C880&gt;Hoja1!H880,"Sí","No")</f>
        <v>No</v>
      </c>
      <c r="J880" s="3" t="str">
        <f>IF(SUMPRODUCT(--ISNUMBER(SEARCH({"0";"1";"2";"3";"4";"5";"6";"7";"8";"9"},Hoja1!D880)))=0,"Sí","No")</f>
        <v>No</v>
      </c>
      <c r="K880" s="3" t="str">
        <f t="shared" si="13"/>
        <v>No</v>
      </c>
    </row>
    <row r="881" spans="1:11" ht="15" customHeight="1" x14ac:dyDescent="0.3">
      <c r="A881" s="3" t="str">
        <f>Hoja1!A881</f>
        <v>C0880</v>
      </c>
      <c r="B881" s="3" t="str">
        <f>Hoja1!B881</f>
        <v>Florinda Gascón Gonzalo</v>
      </c>
      <c r="C881" s="3" t="str">
        <f>IF(COUNTA(Hoja1!A881:I881)=0,"Sí","No")</f>
        <v>No</v>
      </c>
      <c r="D881" s="3" t="str">
        <f>IF(COUNTBLANK(Hoja1!A881:I881)&gt;0,"Sí","No")</f>
        <v>No</v>
      </c>
      <c r="E881" s="3" t="str">
        <f>IF(COUNTIF(Hoja1!$A$2:$A$1000,Hoja1!A881)&gt;1,"Sí","No")</f>
        <v>No</v>
      </c>
      <c r="F881" s="3" t="str">
        <f>IF(COUNTIF(Hoja1!$G$2:$G$1000,Hoja1!G881)&gt;1,"Sí","No")</f>
        <v>No</v>
      </c>
      <c r="G881" s="3" t="str">
        <f>IF(OR(ISERROR(FIND("@",Hoja1!G881)),ISERROR(FIND(".",Hoja1!G881,FIND("@",Hoja1!G881)))),"Sí","No")</f>
        <v>No</v>
      </c>
      <c r="H881" s="3" t="str">
        <f>IF(LEN(Hoja1!F881)&lt;&gt;14,"Sí","No")</f>
        <v>No</v>
      </c>
      <c r="I881" s="3" t="str">
        <f>IF(Hoja1!C881&gt;Hoja1!H881,"Sí","No")</f>
        <v>No</v>
      </c>
      <c r="J881" s="3" t="str">
        <f>IF(SUMPRODUCT(--ISNUMBER(SEARCH({"0";"1";"2";"3";"4";"5";"6";"7";"8";"9"},Hoja1!D881)))=0,"Sí","No")</f>
        <v>No</v>
      </c>
      <c r="K881" s="3" t="str">
        <f t="shared" si="13"/>
        <v>No</v>
      </c>
    </row>
    <row r="882" spans="1:11" ht="15" customHeight="1" x14ac:dyDescent="0.3">
      <c r="A882" s="3" t="str">
        <f>Hoja1!A882</f>
        <v>C0881</v>
      </c>
      <c r="B882" s="3" t="str">
        <f>Hoja1!B882</f>
        <v>Valeria Ríos</v>
      </c>
      <c r="C882" s="3" t="str">
        <f>IF(COUNTA(Hoja1!A882:I882)=0,"Sí","No")</f>
        <v>No</v>
      </c>
      <c r="D882" s="3" t="str">
        <f>IF(COUNTBLANK(Hoja1!A882:I882)&gt;0,"Sí","No")</f>
        <v>No</v>
      </c>
      <c r="E882" s="3" t="str">
        <f>IF(COUNTIF(Hoja1!$A$2:$A$1000,Hoja1!A882)&gt;1,"Sí","No")</f>
        <v>No</v>
      </c>
      <c r="F882" s="3" t="str">
        <f>IF(COUNTIF(Hoja1!$G$2:$G$1000,Hoja1!G882)&gt;1,"Sí","No")</f>
        <v>No</v>
      </c>
      <c r="G882" s="3" t="str">
        <f>IF(OR(ISERROR(FIND("@",Hoja1!G882)),ISERROR(FIND(".",Hoja1!G882,FIND("@",Hoja1!G882)))),"Sí","No")</f>
        <v>No</v>
      </c>
      <c r="H882" s="3" t="str">
        <f>IF(LEN(Hoja1!F882)&lt;&gt;14,"Sí","No")</f>
        <v>No</v>
      </c>
      <c r="I882" s="3" t="str">
        <f>IF(Hoja1!C882&gt;Hoja1!H882,"Sí","No")</f>
        <v>No</v>
      </c>
      <c r="J882" s="3" t="str">
        <f>IF(SUMPRODUCT(--ISNUMBER(SEARCH({"0";"1";"2";"3";"4";"5";"6";"7";"8";"9"},Hoja1!D882)))=0,"Sí","No")</f>
        <v>No</v>
      </c>
      <c r="K882" s="3" t="str">
        <f t="shared" si="13"/>
        <v>No</v>
      </c>
    </row>
    <row r="883" spans="1:11" ht="15" customHeight="1" x14ac:dyDescent="0.3">
      <c r="A883" s="3" t="str">
        <f>Hoja1!A883</f>
        <v>C0882</v>
      </c>
      <c r="B883" s="3" t="str">
        <f>Hoja1!B883</f>
        <v>Blanca Moya Fabregat</v>
      </c>
      <c r="C883" s="3" t="str">
        <f>IF(COUNTA(Hoja1!A883:I883)=0,"Sí","No")</f>
        <v>No</v>
      </c>
      <c r="D883" s="3" t="str">
        <f>IF(COUNTBLANK(Hoja1!A883:I883)&gt;0,"Sí","No")</f>
        <v>No</v>
      </c>
      <c r="E883" s="3" t="str">
        <f>IF(COUNTIF(Hoja1!$A$2:$A$1000,Hoja1!A883)&gt;1,"Sí","No")</f>
        <v>No</v>
      </c>
      <c r="F883" s="3" t="str">
        <f>IF(COUNTIF(Hoja1!$G$2:$G$1000,Hoja1!G883)&gt;1,"Sí","No")</f>
        <v>No</v>
      </c>
      <c r="G883" s="3" t="str">
        <f>IF(OR(ISERROR(FIND("@",Hoja1!G883)),ISERROR(FIND(".",Hoja1!G883,FIND("@",Hoja1!G883)))),"Sí","No")</f>
        <v>No</v>
      </c>
      <c r="H883" s="3" t="str">
        <f>IF(LEN(Hoja1!F883)&lt;&gt;14,"Sí","No")</f>
        <v>No</v>
      </c>
      <c r="I883" s="3" t="str">
        <f>IF(Hoja1!C883&gt;Hoja1!H883,"Sí","No")</f>
        <v>No</v>
      </c>
      <c r="J883" s="3" t="str">
        <f>IF(SUMPRODUCT(--ISNUMBER(SEARCH({"0";"1";"2";"3";"4";"5";"6";"7";"8";"9"},Hoja1!D883)))=0,"Sí","No")</f>
        <v>No</v>
      </c>
      <c r="K883" s="3" t="str">
        <f t="shared" si="13"/>
        <v>No</v>
      </c>
    </row>
    <row r="884" spans="1:11" ht="15" customHeight="1" x14ac:dyDescent="0.3">
      <c r="A884" s="3" t="str">
        <f>Hoja1!A884</f>
        <v>C0883</v>
      </c>
      <c r="B884" s="3" t="str">
        <f>Hoja1!B884</f>
        <v>Soraya Cáceres Marin</v>
      </c>
      <c r="C884" s="3" t="str">
        <f>IF(COUNTA(Hoja1!A884:I884)=0,"Sí","No")</f>
        <v>No</v>
      </c>
      <c r="D884" s="3" t="str">
        <f>IF(COUNTBLANK(Hoja1!A884:I884)&gt;0,"Sí","No")</f>
        <v>No</v>
      </c>
      <c r="E884" s="3" t="str">
        <f>IF(COUNTIF(Hoja1!$A$2:$A$1000,Hoja1!A884)&gt;1,"Sí","No")</f>
        <v>No</v>
      </c>
      <c r="F884" s="3" t="str">
        <f>IF(COUNTIF(Hoja1!$G$2:$G$1000,Hoja1!G884)&gt;1,"Sí","No")</f>
        <v>No</v>
      </c>
      <c r="G884" s="3" t="str">
        <f>IF(OR(ISERROR(FIND("@",Hoja1!G884)),ISERROR(FIND(".",Hoja1!G884,FIND("@",Hoja1!G884)))),"Sí","No")</f>
        <v>No</v>
      </c>
      <c r="H884" s="3" t="str">
        <f>IF(LEN(Hoja1!F884)&lt;&gt;14,"Sí","No")</f>
        <v>No</v>
      </c>
      <c r="I884" s="3" t="str">
        <f>IF(Hoja1!C884&gt;Hoja1!H884,"Sí","No")</f>
        <v>No</v>
      </c>
      <c r="J884" s="3" t="str">
        <f>IF(SUMPRODUCT(--ISNUMBER(SEARCH({"0";"1";"2";"3";"4";"5";"6";"7";"8";"9"},Hoja1!D884)))=0,"Sí","No")</f>
        <v>No</v>
      </c>
      <c r="K884" s="3" t="str">
        <f t="shared" si="13"/>
        <v>No</v>
      </c>
    </row>
    <row r="885" spans="1:11" ht="15" customHeight="1" x14ac:dyDescent="0.3">
      <c r="A885" s="3" t="str">
        <f>Hoja1!A885</f>
        <v>C0884</v>
      </c>
      <c r="B885" s="3" t="str">
        <f>Hoja1!B885</f>
        <v>Rufina Rosselló Sales</v>
      </c>
      <c r="C885" s="3" t="str">
        <f>IF(COUNTA(Hoja1!A885:I885)=0,"Sí","No")</f>
        <v>No</v>
      </c>
      <c r="D885" s="3" t="str">
        <f>IF(COUNTBLANK(Hoja1!A885:I885)&gt;0,"Sí","No")</f>
        <v>No</v>
      </c>
      <c r="E885" s="3" t="str">
        <f>IF(COUNTIF(Hoja1!$A$2:$A$1000,Hoja1!A885)&gt;1,"Sí","No")</f>
        <v>No</v>
      </c>
      <c r="F885" s="3" t="str">
        <f>IF(COUNTIF(Hoja1!$G$2:$G$1000,Hoja1!G885)&gt;1,"Sí","No")</f>
        <v>No</v>
      </c>
      <c r="G885" s="3" t="str">
        <f>IF(OR(ISERROR(FIND("@",Hoja1!G885)),ISERROR(FIND(".",Hoja1!G885,FIND("@",Hoja1!G885)))),"Sí","No")</f>
        <v>No</v>
      </c>
      <c r="H885" s="3" t="str">
        <f>IF(LEN(Hoja1!F885)&lt;&gt;14,"Sí","No")</f>
        <v>No</v>
      </c>
      <c r="I885" s="3" t="str">
        <f>IF(Hoja1!C885&gt;Hoja1!H885,"Sí","No")</f>
        <v>No</v>
      </c>
      <c r="J885" s="3" t="str">
        <f>IF(SUMPRODUCT(--ISNUMBER(SEARCH({"0";"1";"2";"3";"4";"5";"6";"7";"8";"9"},Hoja1!D885)))=0,"Sí","No")</f>
        <v>No</v>
      </c>
      <c r="K885" s="3" t="str">
        <f t="shared" si="13"/>
        <v>No</v>
      </c>
    </row>
    <row r="886" spans="1:11" ht="15" customHeight="1" x14ac:dyDescent="0.3">
      <c r="A886" s="3" t="str">
        <f>Hoja1!A886</f>
        <v>C0885</v>
      </c>
      <c r="B886" s="3" t="str">
        <f>Hoja1!B886</f>
        <v>Abril Almazán Gargallo</v>
      </c>
      <c r="C886" s="3" t="str">
        <f>IF(COUNTA(Hoja1!A886:I886)=0,"Sí","No")</f>
        <v>No</v>
      </c>
      <c r="D886" s="3" t="str">
        <f>IF(COUNTBLANK(Hoja1!A886:I886)&gt;0,"Sí","No")</f>
        <v>No</v>
      </c>
      <c r="E886" s="3" t="str">
        <f>IF(COUNTIF(Hoja1!$A$2:$A$1000,Hoja1!A886)&gt;1,"Sí","No")</f>
        <v>No</v>
      </c>
      <c r="F886" s="3" t="str">
        <f>IF(COUNTIF(Hoja1!$G$2:$G$1000,Hoja1!G886)&gt;1,"Sí","No")</f>
        <v>No</v>
      </c>
      <c r="G886" s="3" t="str">
        <f>IF(OR(ISERROR(FIND("@",Hoja1!G886)),ISERROR(FIND(".",Hoja1!G886,FIND("@",Hoja1!G886)))),"Sí","No")</f>
        <v>No</v>
      </c>
      <c r="H886" s="3" t="str">
        <f>IF(LEN(Hoja1!F886)&lt;&gt;14,"Sí","No")</f>
        <v>No</v>
      </c>
      <c r="I886" s="3" t="str">
        <f>IF(Hoja1!C886&gt;Hoja1!H886,"Sí","No")</f>
        <v>No</v>
      </c>
      <c r="J886" s="3" t="str">
        <f>IF(SUMPRODUCT(--ISNUMBER(SEARCH({"0";"1";"2";"3";"4";"5";"6";"7";"8";"9"},Hoja1!D886)))=0,"Sí","No")</f>
        <v>No</v>
      </c>
      <c r="K886" s="3" t="str">
        <f t="shared" si="13"/>
        <v>No</v>
      </c>
    </row>
    <row r="887" spans="1:11" ht="15" customHeight="1" x14ac:dyDescent="0.3">
      <c r="A887" s="3" t="str">
        <f>Hoja1!A887</f>
        <v>C0886</v>
      </c>
      <c r="B887" s="3" t="str">
        <f>Hoja1!B887</f>
        <v>Sandalio Pinto Alcázar</v>
      </c>
      <c r="C887" s="3" t="str">
        <f>IF(COUNTA(Hoja1!A887:I887)=0,"Sí","No")</f>
        <v>No</v>
      </c>
      <c r="D887" s="3" t="str">
        <f>IF(COUNTBLANK(Hoja1!A887:I887)&gt;0,"Sí","No")</f>
        <v>No</v>
      </c>
      <c r="E887" s="3" t="str">
        <f>IF(COUNTIF(Hoja1!$A$2:$A$1000,Hoja1!A887)&gt;1,"Sí","No")</f>
        <v>No</v>
      </c>
      <c r="F887" s="3" t="str">
        <f>IF(COUNTIF(Hoja1!$G$2:$G$1000,Hoja1!G887)&gt;1,"Sí","No")</f>
        <v>No</v>
      </c>
      <c r="G887" s="3" t="str">
        <f>IF(OR(ISERROR(FIND("@",Hoja1!G887)),ISERROR(FIND(".",Hoja1!G887,FIND("@",Hoja1!G887)))),"Sí","No")</f>
        <v>No</v>
      </c>
      <c r="H887" s="3" t="str">
        <f>IF(LEN(Hoja1!F887)&lt;&gt;14,"Sí","No")</f>
        <v>No</v>
      </c>
      <c r="I887" s="3" t="str">
        <f>IF(Hoja1!C887&gt;Hoja1!H887,"Sí","No")</f>
        <v>No</v>
      </c>
      <c r="J887" s="3" t="str">
        <f>IF(SUMPRODUCT(--ISNUMBER(SEARCH({"0";"1";"2";"3";"4";"5";"6";"7";"8";"9"},Hoja1!D887)))=0,"Sí","No")</f>
        <v>No</v>
      </c>
      <c r="K887" s="3" t="str">
        <f t="shared" si="13"/>
        <v>No</v>
      </c>
    </row>
    <row r="888" spans="1:11" ht="15" customHeight="1" x14ac:dyDescent="0.3">
      <c r="A888" s="3" t="str">
        <f>Hoja1!A888</f>
        <v>C0887</v>
      </c>
      <c r="B888" s="3" t="str">
        <f>Hoja1!B888</f>
        <v>Urbano Rosselló Llabrés</v>
      </c>
      <c r="C888" s="3" t="str">
        <f>IF(COUNTA(Hoja1!A888:I888)=0,"Sí","No")</f>
        <v>No</v>
      </c>
      <c r="D888" s="3" t="str">
        <f>IF(COUNTBLANK(Hoja1!A888:I888)&gt;0,"Sí","No")</f>
        <v>No</v>
      </c>
      <c r="E888" s="3" t="str">
        <f>IF(COUNTIF(Hoja1!$A$2:$A$1000,Hoja1!A888)&gt;1,"Sí","No")</f>
        <v>No</v>
      </c>
      <c r="F888" s="3" t="str">
        <f>IF(COUNTIF(Hoja1!$G$2:$G$1000,Hoja1!G888)&gt;1,"Sí","No")</f>
        <v>No</v>
      </c>
      <c r="G888" s="3" t="str">
        <f>IF(OR(ISERROR(FIND("@",Hoja1!G888)),ISERROR(FIND(".",Hoja1!G888,FIND("@",Hoja1!G888)))),"Sí","No")</f>
        <v>No</v>
      </c>
      <c r="H888" s="3" t="str">
        <f>IF(LEN(Hoja1!F888)&lt;&gt;14,"Sí","No")</f>
        <v>No</v>
      </c>
      <c r="I888" s="3" t="str">
        <f>IF(Hoja1!C888&gt;Hoja1!H888,"Sí","No")</f>
        <v>No</v>
      </c>
      <c r="J888" s="3" t="str">
        <f>IF(SUMPRODUCT(--ISNUMBER(SEARCH({"0";"1";"2";"3";"4";"5";"6";"7";"8";"9"},Hoja1!D888)))=0,"Sí","No")</f>
        <v>No</v>
      </c>
      <c r="K888" s="3" t="str">
        <f t="shared" si="13"/>
        <v>No</v>
      </c>
    </row>
    <row r="889" spans="1:11" ht="15" customHeight="1" x14ac:dyDescent="0.3">
      <c r="A889" s="3" t="str">
        <f>Hoja1!A889</f>
        <v>C0888</v>
      </c>
      <c r="B889" s="3" t="str">
        <f>Hoja1!B889</f>
        <v>Aurelio Ferreras Granados</v>
      </c>
      <c r="C889" s="3" t="str">
        <f>IF(COUNTA(Hoja1!A889:I889)=0,"Sí","No")</f>
        <v>No</v>
      </c>
      <c r="D889" s="3" t="str">
        <f>IF(COUNTBLANK(Hoja1!A889:I889)&gt;0,"Sí","No")</f>
        <v>No</v>
      </c>
      <c r="E889" s="3" t="str">
        <f>IF(COUNTIF(Hoja1!$A$2:$A$1000,Hoja1!A889)&gt;1,"Sí","No")</f>
        <v>No</v>
      </c>
      <c r="F889" s="3" t="str">
        <f>IF(COUNTIF(Hoja1!$G$2:$G$1000,Hoja1!G889)&gt;1,"Sí","No")</f>
        <v>No</v>
      </c>
      <c r="G889" s="3" t="str">
        <f>IF(OR(ISERROR(FIND("@",Hoja1!G889)),ISERROR(FIND(".",Hoja1!G889,FIND("@",Hoja1!G889)))),"Sí","No")</f>
        <v>No</v>
      </c>
      <c r="H889" s="3" t="str">
        <f>IF(LEN(Hoja1!F889)&lt;&gt;14,"Sí","No")</f>
        <v>No</v>
      </c>
      <c r="I889" s="3" t="str">
        <f>IF(Hoja1!C889&gt;Hoja1!H889,"Sí","No")</f>
        <v>No</v>
      </c>
      <c r="J889" s="3" t="str">
        <f>IF(SUMPRODUCT(--ISNUMBER(SEARCH({"0";"1";"2";"3";"4";"5";"6";"7";"8";"9"},Hoja1!D889)))=0,"Sí","No")</f>
        <v>No</v>
      </c>
      <c r="K889" s="3" t="str">
        <f t="shared" si="13"/>
        <v>No</v>
      </c>
    </row>
    <row r="890" spans="1:11" ht="15" customHeight="1" x14ac:dyDescent="0.3">
      <c r="A890" s="3" t="str">
        <f>Hoja1!A890</f>
        <v>C0889</v>
      </c>
      <c r="B890" s="3" t="str">
        <f>Hoja1!B890</f>
        <v>Aroa Pujol Belmonte</v>
      </c>
      <c r="C890" s="3" t="str">
        <f>IF(COUNTA(Hoja1!A890:I890)=0,"Sí","No")</f>
        <v>No</v>
      </c>
      <c r="D890" s="3" t="str">
        <f>IF(COUNTBLANK(Hoja1!A890:I890)&gt;0,"Sí","No")</f>
        <v>No</v>
      </c>
      <c r="E890" s="3" t="str">
        <f>IF(COUNTIF(Hoja1!$A$2:$A$1000,Hoja1!A890)&gt;1,"Sí","No")</f>
        <v>No</v>
      </c>
      <c r="F890" s="3" t="str">
        <f>IF(COUNTIF(Hoja1!$G$2:$G$1000,Hoja1!G890)&gt;1,"Sí","No")</f>
        <v>No</v>
      </c>
      <c r="G890" s="3" t="str">
        <f>IF(OR(ISERROR(FIND("@",Hoja1!G890)),ISERROR(FIND(".",Hoja1!G890,FIND("@",Hoja1!G890)))),"Sí","No")</f>
        <v>No</v>
      </c>
      <c r="H890" s="3" t="str">
        <f>IF(LEN(Hoja1!F890)&lt;&gt;14,"Sí","No")</f>
        <v>No</v>
      </c>
      <c r="I890" s="3" t="str">
        <f>IF(Hoja1!C890&gt;Hoja1!H890,"Sí","No")</f>
        <v>No</v>
      </c>
      <c r="J890" s="3" t="str">
        <f>IF(SUMPRODUCT(--ISNUMBER(SEARCH({"0";"1";"2";"3";"4";"5";"6";"7";"8";"9"},Hoja1!D890)))=0,"Sí","No")</f>
        <v>No</v>
      </c>
      <c r="K890" s="3" t="str">
        <f t="shared" si="13"/>
        <v>No</v>
      </c>
    </row>
    <row r="891" spans="1:11" ht="15" customHeight="1" x14ac:dyDescent="0.3">
      <c r="A891" s="3" t="str">
        <f>Hoja1!A891</f>
        <v>C0890</v>
      </c>
      <c r="B891" s="3" t="str">
        <f>Hoja1!B891</f>
        <v>Calista de Abril</v>
      </c>
      <c r="C891" s="3" t="str">
        <f>IF(COUNTA(Hoja1!A891:I891)=0,"Sí","No")</f>
        <v>No</v>
      </c>
      <c r="D891" s="3" t="str">
        <f>IF(COUNTBLANK(Hoja1!A891:I891)&gt;0,"Sí","No")</f>
        <v>No</v>
      </c>
      <c r="E891" s="3" t="str">
        <f>IF(COUNTIF(Hoja1!$A$2:$A$1000,Hoja1!A891)&gt;1,"Sí","No")</f>
        <v>No</v>
      </c>
      <c r="F891" s="3" t="str">
        <f>IF(COUNTIF(Hoja1!$G$2:$G$1000,Hoja1!G891)&gt;1,"Sí","No")</f>
        <v>No</v>
      </c>
      <c r="G891" s="3" t="str">
        <f>IF(OR(ISERROR(FIND("@",Hoja1!G891)),ISERROR(FIND(".",Hoja1!G891,FIND("@",Hoja1!G891)))),"Sí","No")</f>
        <v>No</v>
      </c>
      <c r="H891" s="3" t="str">
        <f>IF(LEN(Hoja1!F891)&lt;&gt;14,"Sí","No")</f>
        <v>No</v>
      </c>
      <c r="I891" s="3" t="str">
        <f>IF(Hoja1!C891&gt;Hoja1!H891,"Sí","No")</f>
        <v>No</v>
      </c>
      <c r="J891" s="3" t="str">
        <f>IF(SUMPRODUCT(--ISNUMBER(SEARCH({"0";"1";"2";"3";"4";"5";"6";"7";"8";"9"},Hoja1!D891)))=0,"Sí","No")</f>
        <v>No</v>
      </c>
      <c r="K891" s="3" t="str">
        <f t="shared" si="13"/>
        <v>No</v>
      </c>
    </row>
    <row r="892" spans="1:11" ht="15" customHeight="1" x14ac:dyDescent="0.3">
      <c r="A892" s="3" t="str">
        <f>Hoja1!A892</f>
        <v>C0891</v>
      </c>
      <c r="B892" s="3" t="str">
        <f>Hoja1!B892</f>
        <v>Teófilo Contreras Téllez</v>
      </c>
      <c r="C892" s="3" t="str">
        <f>IF(COUNTA(Hoja1!A892:I892)=0,"Sí","No")</f>
        <v>No</v>
      </c>
      <c r="D892" s="3" t="str">
        <f>IF(COUNTBLANK(Hoja1!A892:I892)&gt;0,"Sí","No")</f>
        <v>No</v>
      </c>
      <c r="E892" s="3" t="str">
        <f>IF(COUNTIF(Hoja1!$A$2:$A$1000,Hoja1!A892)&gt;1,"Sí","No")</f>
        <v>No</v>
      </c>
      <c r="F892" s="3" t="str">
        <f>IF(COUNTIF(Hoja1!$G$2:$G$1000,Hoja1!G892)&gt;1,"Sí","No")</f>
        <v>No</v>
      </c>
      <c r="G892" s="3" t="str">
        <f>IF(OR(ISERROR(FIND("@",Hoja1!G892)),ISERROR(FIND(".",Hoja1!G892,FIND("@",Hoja1!G892)))),"Sí","No")</f>
        <v>No</v>
      </c>
      <c r="H892" s="3" t="str">
        <f>IF(LEN(Hoja1!F892)&lt;&gt;14,"Sí","No")</f>
        <v>No</v>
      </c>
      <c r="I892" s="3" t="str">
        <f>IF(Hoja1!C892&gt;Hoja1!H892,"Sí","No")</f>
        <v>No</v>
      </c>
      <c r="J892" s="3" t="str">
        <f>IF(SUMPRODUCT(--ISNUMBER(SEARCH({"0";"1";"2";"3";"4";"5";"6";"7";"8";"9"},Hoja1!D892)))=0,"Sí","No")</f>
        <v>No</v>
      </c>
      <c r="K892" s="3" t="str">
        <f t="shared" si="13"/>
        <v>No</v>
      </c>
    </row>
    <row r="893" spans="1:11" ht="15" customHeight="1" x14ac:dyDescent="0.3">
      <c r="A893" s="3" t="str">
        <f>Hoja1!A893</f>
        <v>C0892</v>
      </c>
      <c r="B893" s="3" t="str">
        <f>Hoja1!B893</f>
        <v>Milagros Cabañas</v>
      </c>
      <c r="C893" s="3" t="str">
        <f>IF(COUNTA(Hoja1!A893:I893)=0,"Sí","No")</f>
        <v>No</v>
      </c>
      <c r="D893" s="3" t="str">
        <f>IF(COUNTBLANK(Hoja1!A893:I893)&gt;0,"Sí","No")</f>
        <v>No</v>
      </c>
      <c r="E893" s="3" t="str">
        <f>IF(COUNTIF(Hoja1!$A$2:$A$1000,Hoja1!A893)&gt;1,"Sí","No")</f>
        <v>No</v>
      </c>
      <c r="F893" s="3" t="str">
        <f>IF(COUNTIF(Hoja1!$G$2:$G$1000,Hoja1!G893)&gt;1,"Sí","No")</f>
        <v>Sí</v>
      </c>
      <c r="G893" s="3" t="str">
        <f>IF(OR(ISERROR(FIND("@",Hoja1!G893)),ISERROR(FIND(".",Hoja1!G893,FIND("@",Hoja1!G893)))),"Sí","No")</f>
        <v>No</v>
      </c>
      <c r="H893" s="3" t="str">
        <f>IF(LEN(Hoja1!F893)&lt;&gt;14,"Sí","No")</f>
        <v>No</v>
      </c>
      <c r="I893" s="3" t="str">
        <f>IF(Hoja1!C893&gt;Hoja1!H893,"Sí","No")</f>
        <v>No</v>
      </c>
      <c r="J893" s="3" t="str">
        <f>IF(SUMPRODUCT(--ISNUMBER(SEARCH({"0";"1";"2";"3";"4";"5";"6";"7";"8";"9"},Hoja1!D893)))=0,"Sí","No")</f>
        <v>No</v>
      </c>
      <c r="K893" s="3" t="str">
        <f t="shared" si="13"/>
        <v>Sí</v>
      </c>
    </row>
    <row r="894" spans="1:11" ht="15" customHeight="1" x14ac:dyDescent="0.3">
      <c r="A894" s="3" t="str">
        <f>Hoja1!A894</f>
        <v>C0893</v>
      </c>
      <c r="B894" s="3" t="str">
        <f>Hoja1!B894</f>
        <v>Gonzalo Sans Miró</v>
      </c>
      <c r="C894" s="3" t="str">
        <f>IF(COUNTA(Hoja1!A894:I894)=0,"Sí","No")</f>
        <v>No</v>
      </c>
      <c r="D894" s="3" t="str">
        <f>IF(COUNTBLANK(Hoja1!A894:I894)&gt;0,"Sí","No")</f>
        <v>No</v>
      </c>
      <c r="E894" s="3" t="str">
        <f>IF(COUNTIF(Hoja1!$A$2:$A$1000,Hoja1!A894)&gt;1,"Sí","No")</f>
        <v>No</v>
      </c>
      <c r="F894" s="3" t="str">
        <f>IF(COUNTIF(Hoja1!$G$2:$G$1000,Hoja1!G894)&gt;1,"Sí","No")</f>
        <v>No</v>
      </c>
      <c r="G894" s="3" t="str">
        <f>IF(OR(ISERROR(FIND("@",Hoja1!G894)),ISERROR(FIND(".",Hoja1!G894,FIND("@",Hoja1!G894)))),"Sí","No")</f>
        <v>No</v>
      </c>
      <c r="H894" s="3" t="str">
        <f>IF(LEN(Hoja1!F894)&lt;&gt;14,"Sí","No")</f>
        <v>No</v>
      </c>
      <c r="I894" s="3" t="str">
        <f>IF(Hoja1!C894&gt;Hoja1!H894,"Sí","No")</f>
        <v>No</v>
      </c>
      <c r="J894" s="3" t="str">
        <f>IF(SUMPRODUCT(--ISNUMBER(SEARCH({"0";"1";"2";"3";"4";"5";"6";"7";"8";"9"},Hoja1!D894)))=0,"Sí","No")</f>
        <v>No</v>
      </c>
      <c r="K894" s="3" t="str">
        <f t="shared" si="13"/>
        <v>No</v>
      </c>
    </row>
    <row r="895" spans="1:11" ht="15" customHeight="1" x14ac:dyDescent="0.3">
      <c r="A895" s="3" t="str">
        <f>Hoja1!A895</f>
        <v>C0894</v>
      </c>
      <c r="B895" s="3" t="str">
        <f>Hoja1!B895</f>
        <v>Sofía Bou Zamorano</v>
      </c>
      <c r="C895" s="3" t="str">
        <f>IF(COUNTA(Hoja1!A895:I895)=0,"Sí","No")</f>
        <v>No</v>
      </c>
      <c r="D895" s="3" t="str">
        <f>IF(COUNTBLANK(Hoja1!A895:I895)&gt;0,"Sí","No")</f>
        <v>No</v>
      </c>
      <c r="E895" s="3" t="str">
        <f>IF(COUNTIF(Hoja1!$A$2:$A$1000,Hoja1!A895)&gt;1,"Sí","No")</f>
        <v>No</v>
      </c>
      <c r="F895" s="3" t="str">
        <f>IF(COUNTIF(Hoja1!$G$2:$G$1000,Hoja1!G895)&gt;1,"Sí","No")</f>
        <v>No</v>
      </c>
      <c r="G895" s="3" t="str">
        <f>IF(OR(ISERROR(FIND("@",Hoja1!G895)),ISERROR(FIND(".",Hoja1!G895,FIND("@",Hoja1!G895)))),"Sí","No")</f>
        <v>No</v>
      </c>
      <c r="H895" s="3" t="str">
        <f>IF(LEN(Hoja1!F895)&lt;&gt;14,"Sí","No")</f>
        <v>No</v>
      </c>
      <c r="I895" s="3" t="str">
        <f>IF(Hoja1!C895&gt;Hoja1!H895,"Sí","No")</f>
        <v>No</v>
      </c>
      <c r="J895" s="3" t="str">
        <f>IF(SUMPRODUCT(--ISNUMBER(SEARCH({"0";"1";"2";"3";"4";"5";"6";"7";"8";"9"},Hoja1!D895)))=0,"Sí","No")</f>
        <v>No</v>
      </c>
      <c r="K895" s="3" t="str">
        <f t="shared" si="13"/>
        <v>No</v>
      </c>
    </row>
    <row r="896" spans="1:11" ht="15" customHeight="1" x14ac:dyDescent="0.3">
      <c r="A896" s="3" t="str">
        <f>Hoja1!A896</f>
        <v>C0895</v>
      </c>
      <c r="B896" s="3" t="str">
        <f>Hoja1!B896</f>
        <v>Leandro Gabino Cruz Izaguirre</v>
      </c>
      <c r="C896" s="3" t="str">
        <f>IF(COUNTA(Hoja1!A896:I896)=0,"Sí","No")</f>
        <v>No</v>
      </c>
      <c r="D896" s="3" t="str">
        <f>IF(COUNTBLANK(Hoja1!A896:I896)&gt;0,"Sí","No")</f>
        <v>No</v>
      </c>
      <c r="E896" s="3" t="str">
        <f>IF(COUNTIF(Hoja1!$A$2:$A$1000,Hoja1!A896)&gt;1,"Sí","No")</f>
        <v>No</v>
      </c>
      <c r="F896" s="3" t="str">
        <f>IF(COUNTIF(Hoja1!$G$2:$G$1000,Hoja1!G896)&gt;1,"Sí","No")</f>
        <v>No</v>
      </c>
      <c r="G896" s="3" t="str">
        <f>IF(OR(ISERROR(FIND("@",Hoja1!G896)),ISERROR(FIND(".",Hoja1!G896,FIND("@",Hoja1!G896)))),"Sí","No")</f>
        <v>No</v>
      </c>
      <c r="H896" s="3" t="str">
        <f>IF(LEN(Hoja1!F896)&lt;&gt;14,"Sí","No")</f>
        <v>No</v>
      </c>
      <c r="I896" s="3" t="str">
        <f>IF(Hoja1!C896&gt;Hoja1!H896,"Sí","No")</f>
        <v>No</v>
      </c>
      <c r="J896" s="3" t="str">
        <f>IF(SUMPRODUCT(--ISNUMBER(SEARCH({"0";"1";"2";"3";"4";"5";"6";"7";"8";"9"},Hoja1!D896)))=0,"Sí","No")</f>
        <v>No</v>
      </c>
      <c r="K896" s="3" t="str">
        <f t="shared" si="13"/>
        <v>No</v>
      </c>
    </row>
    <row r="897" spans="1:11" ht="15" customHeight="1" x14ac:dyDescent="0.3">
      <c r="A897" s="3" t="str">
        <f>Hoja1!A897</f>
        <v>C0896</v>
      </c>
      <c r="B897" s="3" t="str">
        <f>Hoja1!B897</f>
        <v>Angelina Royo Canals</v>
      </c>
      <c r="C897" s="3" t="str">
        <f>IF(COUNTA(Hoja1!A897:I897)=0,"Sí","No")</f>
        <v>No</v>
      </c>
      <c r="D897" s="3" t="str">
        <f>IF(COUNTBLANK(Hoja1!A897:I897)&gt;0,"Sí","No")</f>
        <v>No</v>
      </c>
      <c r="E897" s="3" t="str">
        <f>IF(COUNTIF(Hoja1!$A$2:$A$1000,Hoja1!A897)&gt;1,"Sí","No")</f>
        <v>No</v>
      </c>
      <c r="F897" s="3" t="str">
        <f>IF(COUNTIF(Hoja1!$G$2:$G$1000,Hoja1!G897)&gt;1,"Sí","No")</f>
        <v>No</v>
      </c>
      <c r="G897" s="3" t="str">
        <f>IF(OR(ISERROR(FIND("@",Hoja1!G897)),ISERROR(FIND(".",Hoja1!G897,FIND("@",Hoja1!G897)))),"Sí","No")</f>
        <v>No</v>
      </c>
      <c r="H897" s="3" t="str">
        <f>IF(LEN(Hoja1!F897)&lt;&gt;14,"Sí","No")</f>
        <v>No</v>
      </c>
      <c r="I897" s="3" t="str">
        <f>IF(Hoja1!C897&gt;Hoja1!H897,"Sí","No")</f>
        <v>No</v>
      </c>
      <c r="J897" s="3" t="str">
        <f>IF(SUMPRODUCT(--ISNUMBER(SEARCH({"0";"1";"2";"3";"4";"5";"6";"7";"8";"9"},Hoja1!D897)))=0,"Sí","No")</f>
        <v>No</v>
      </c>
      <c r="K897" s="3" t="str">
        <f t="shared" si="13"/>
        <v>No</v>
      </c>
    </row>
    <row r="898" spans="1:11" ht="15" customHeight="1" x14ac:dyDescent="0.3">
      <c r="A898" s="3" t="str">
        <f>Hoja1!A898</f>
        <v>C0897</v>
      </c>
      <c r="B898" s="3" t="str">
        <f>Hoja1!B898</f>
        <v>Pío Fonseca-Granados</v>
      </c>
      <c r="C898" s="3" t="str">
        <f>IF(COUNTA(Hoja1!A898:I898)=0,"Sí","No")</f>
        <v>No</v>
      </c>
      <c r="D898" s="3" t="str">
        <f>IF(COUNTBLANK(Hoja1!A898:I898)&gt;0,"Sí","No")</f>
        <v>No</v>
      </c>
      <c r="E898" s="3" t="str">
        <f>IF(COUNTIF(Hoja1!$A$2:$A$1000,Hoja1!A898)&gt;1,"Sí","No")</f>
        <v>No</v>
      </c>
      <c r="F898" s="3" t="str">
        <f>IF(COUNTIF(Hoja1!$G$2:$G$1000,Hoja1!G898)&gt;1,"Sí","No")</f>
        <v>No</v>
      </c>
      <c r="G898" s="3" t="str">
        <f>IF(OR(ISERROR(FIND("@",Hoja1!G898)),ISERROR(FIND(".",Hoja1!G898,FIND("@",Hoja1!G898)))),"Sí","No")</f>
        <v>No</v>
      </c>
      <c r="H898" s="3" t="str">
        <f>IF(LEN(Hoja1!F898)&lt;&gt;14,"Sí","No")</f>
        <v>No</v>
      </c>
      <c r="I898" s="3" t="str">
        <f>IF(Hoja1!C898&gt;Hoja1!H898,"Sí","No")</f>
        <v>No</v>
      </c>
      <c r="J898" s="3" t="str">
        <f>IF(SUMPRODUCT(--ISNUMBER(SEARCH({"0";"1";"2";"3";"4";"5";"6";"7";"8";"9"},Hoja1!D898)))=0,"Sí","No")</f>
        <v>No</v>
      </c>
      <c r="K898" s="3" t="str">
        <f t="shared" ref="K898:K961" si="14">IF(COUNTIF(C898:J898,"Sí")&gt;0,"Sí","No")</f>
        <v>No</v>
      </c>
    </row>
    <row r="899" spans="1:11" ht="15" customHeight="1" x14ac:dyDescent="0.3">
      <c r="A899" s="3" t="str">
        <f>Hoja1!A899</f>
        <v>C0898</v>
      </c>
      <c r="B899" s="3" t="str">
        <f>Hoja1!B899</f>
        <v>Luis Miguel Cuadrado Gual</v>
      </c>
      <c r="C899" s="3" t="str">
        <f>IF(COUNTA(Hoja1!A899:I899)=0,"Sí","No")</f>
        <v>No</v>
      </c>
      <c r="D899" s="3" t="str">
        <f>IF(COUNTBLANK(Hoja1!A899:I899)&gt;0,"Sí","No")</f>
        <v>No</v>
      </c>
      <c r="E899" s="3" t="str">
        <f>IF(COUNTIF(Hoja1!$A$2:$A$1000,Hoja1!A899)&gt;1,"Sí","No")</f>
        <v>No</v>
      </c>
      <c r="F899" s="3" t="str">
        <f>IF(COUNTIF(Hoja1!$G$2:$G$1000,Hoja1!G899)&gt;1,"Sí","No")</f>
        <v>No</v>
      </c>
      <c r="G899" s="3" t="str">
        <f>IF(OR(ISERROR(FIND("@",Hoja1!G899)),ISERROR(FIND(".",Hoja1!G899,FIND("@",Hoja1!G899)))),"Sí","No")</f>
        <v>No</v>
      </c>
      <c r="H899" s="3" t="str">
        <f>IF(LEN(Hoja1!F899)&lt;&gt;14,"Sí","No")</f>
        <v>No</v>
      </c>
      <c r="I899" s="3" t="str">
        <f>IF(Hoja1!C899&gt;Hoja1!H899,"Sí","No")</f>
        <v>No</v>
      </c>
      <c r="J899" s="3" t="str">
        <f>IF(SUMPRODUCT(--ISNUMBER(SEARCH({"0";"1";"2";"3";"4";"5";"6";"7";"8";"9"},Hoja1!D899)))=0,"Sí","No")</f>
        <v>No</v>
      </c>
      <c r="K899" s="3" t="str">
        <f t="shared" si="14"/>
        <v>No</v>
      </c>
    </row>
    <row r="900" spans="1:11" ht="15" customHeight="1" x14ac:dyDescent="0.3">
      <c r="A900" s="3" t="str">
        <f>Hoja1!A900</f>
        <v>C0899</v>
      </c>
      <c r="B900" s="3" t="str">
        <f>Hoja1!B900</f>
        <v>Blanca Lucas Cortés</v>
      </c>
      <c r="C900" s="3" t="str">
        <f>IF(COUNTA(Hoja1!A900:I900)=0,"Sí","No")</f>
        <v>No</v>
      </c>
      <c r="D900" s="3" t="str">
        <f>IF(COUNTBLANK(Hoja1!A900:I900)&gt;0,"Sí","No")</f>
        <v>No</v>
      </c>
      <c r="E900" s="3" t="str">
        <f>IF(COUNTIF(Hoja1!$A$2:$A$1000,Hoja1!A900)&gt;1,"Sí","No")</f>
        <v>No</v>
      </c>
      <c r="F900" s="3" t="str">
        <f>IF(COUNTIF(Hoja1!$G$2:$G$1000,Hoja1!G900)&gt;1,"Sí","No")</f>
        <v>No</v>
      </c>
      <c r="G900" s="3" t="str">
        <f>IF(OR(ISERROR(FIND("@",Hoja1!G900)),ISERROR(FIND(".",Hoja1!G900,FIND("@",Hoja1!G900)))),"Sí","No")</f>
        <v>No</v>
      </c>
      <c r="H900" s="3" t="str">
        <f>IF(LEN(Hoja1!F900)&lt;&gt;14,"Sí","No")</f>
        <v>No</v>
      </c>
      <c r="I900" s="3" t="str">
        <f>IF(Hoja1!C900&gt;Hoja1!H900,"Sí","No")</f>
        <v>No</v>
      </c>
      <c r="J900" s="3" t="str">
        <f>IF(SUMPRODUCT(--ISNUMBER(SEARCH({"0";"1";"2";"3";"4";"5";"6";"7";"8";"9"},Hoja1!D900)))=0,"Sí","No")</f>
        <v>No</v>
      </c>
      <c r="K900" s="3" t="str">
        <f t="shared" si="14"/>
        <v>No</v>
      </c>
    </row>
    <row r="901" spans="1:11" ht="15" customHeight="1" x14ac:dyDescent="0.3">
      <c r="A901" s="3" t="str">
        <f>Hoja1!A901</f>
        <v>C0900</v>
      </c>
      <c r="B901" s="3" t="str">
        <f>Hoja1!B901</f>
        <v>José Luis Arévalo</v>
      </c>
      <c r="C901" s="3" t="str">
        <f>IF(COUNTA(Hoja1!A901:I901)=0,"Sí","No")</f>
        <v>No</v>
      </c>
      <c r="D901" s="3" t="str">
        <f>IF(COUNTBLANK(Hoja1!A901:I901)&gt;0,"Sí","No")</f>
        <v>No</v>
      </c>
      <c r="E901" s="3" t="str">
        <f>IF(COUNTIF(Hoja1!$A$2:$A$1000,Hoja1!A901)&gt;1,"Sí","No")</f>
        <v>No</v>
      </c>
      <c r="F901" s="3" t="str">
        <f>IF(COUNTIF(Hoja1!$G$2:$G$1000,Hoja1!G901)&gt;1,"Sí","No")</f>
        <v>No</v>
      </c>
      <c r="G901" s="3" t="str">
        <f>IF(OR(ISERROR(FIND("@",Hoja1!G901)),ISERROR(FIND(".",Hoja1!G901,FIND("@",Hoja1!G901)))),"Sí","No")</f>
        <v>No</v>
      </c>
      <c r="H901" s="3" t="str">
        <f>IF(LEN(Hoja1!F901)&lt;&gt;14,"Sí","No")</f>
        <v>No</v>
      </c>
      <c r="I901" s="3" t="str">
        <f>IF(Hoja1!C901&gt;Hoja1!H901,"Sí","No")</f>
        <v>No</v>
      </c>
      <c r="J901" s="3" t="str">
        <f>IF(SUMPRODUCT(--ISNUMBER(SEARCH({"0";"1";"2";"3";"4";"5";"6";"7";"8";"9"},Hoja1!D901)))=0,"Sí","No")</f>
        <v>No</v>
      </c>
      <c r="K901" s="3" t="str">
        <f t="shared" si="14"/>
        <v>No</v>
      </c>
    </row>
    <row r="902" spans="1:11" ht="15" customHeight="1" x14ac:dyDescent="0.3">
      <c r="A902" s="3" t="str">
        <f>Hoja1!A902</f>
        <v>C0901</v>
      </c>
      <c r="B902" s="3" t="str">
        <f>Hoja1!B902</f>
        <v>Leonel Sierra Fajardo</v>
      </c>
      <c r="C902" s="3" t="str">
        <f>IF(COUNTA(Hoja1!A902:I902)=0,"Sí","No")</f>
        <v>No</v>
      </c>
      <c r="D902" s="3" t="str">
        <f>IF(COUNTBLANK(Hoja1!A902:I902)&gt;0,"Sí","No")</f>
        <v>No</v>
      </c>
      <c r="E902" s="3" t="str">
        <f>IF(COUNTIF(Hoja1!$A$2:$A$1000,Hoja1!A902)&gt;1,"Sí","No")</f>
        <v>No</v>
      </c>
      <c r="F902" s="3" t="str">
        <f>IF(COUNTIF(Hoja1!$G$2:$G$1000,Hoja1!G902)&gt;1,"Sí","No")</f>
        <v>No</v>
      </c>
      <c r="G902" s="3" t="str">
        <f>IF(OR(ISERROR(FIND("@",Hoja1!G902)),ISERROR(FIND(".",Hoja1!G902,FIND("@",Hoja1!G902)))),"Sí","No")</f>
        <v>No</v>
      </c>
      <c r="H902" s="3" t="str">
        <f>IF(LEN(Hoja1!F902)&lt;&gt;14,"Sí","No")</f>
        <v>No</v>
      </c>
      <c r="I902" s="3" t="str">
        <f>IF(Hoja1!C902&gt;Hoja1!H902,"Sí","No")</f>
        <v>No</v>
      </c>
      <c r="J902" s="3" t="str">
        <f>IF(SUMPRODUCT(--ISNUMBER(SEARCH({"0";"1";"2";"3";"4";"5";"6";"7";"8";"9"},Hoja1!D902)))=0,"Sí","No")</f>
        <v>No</v>
      </c>
      <c r="K902" s="3" t="str">
        <f t="shared" si="14"/>
        <v>No</v>
      </c>
    </row>
    <row r="903" spans="1:11" ht="15" customHeight="1" x14ac:dyDescent="0.3">
      <c r="A903" s="3" t="str">
        <f>Hoja1!A903</f>
        <v>C0902</v>
      </c>
      <c r="B903" s="3" t="str">
        <f>Hoja1!B903</f>
        <v>Calixto Palacio Casas</v>
      </c>
      <c r="C903" s="3" t="str">
        <f>IF(COUNTA(Hoja1!A903:I903)=0,"Sí","No")</f>
        <v>No</v>
      </c>
      <c r="D903" s="3" t="str">
        <f>IF(COUNTBLANK(Hoja1!A903:I903)&gt;0,"Sí","No")</f>
        <v>No</v>
      </c>
      <c r="E903" s="3" t="str">
        <f>IF(COUNTIF(Hoja1!$A$2:$A$1000,Hoja1!A903)&gt;1,"Sí","No")</f>
        <v>No</v>
      </c>
      <c r="F903" s="3" t="str">
        <f>IF(COUNTIF(Hoja1!$G$2:$G$1000,Hoja1!G903)&gt;1,"Sí","No")</f>
        <v>No</v>
      </c>
      <c r="G903" s="3" t="str">
        <f>IF(OR(ISERROR(FIND("@",Hoja1!G903)),ISERROR(FIND(".",Hoja1!G903,FIND("@",Hoja1!G903)))),"Sí","No")</f>
        <v>No</v>
      </c>
      <c r="H903" s="3" t="str">
        <f>IF(LEN(Hoja1!F903)&lt;&gt;14,"Sí","No")</f>
        <v>No</v>
      </c>
      <c r="I903" s="3" t="str">
        <f>IF(Hoja1!C903&gt;Hoja1!H903,"Sí","No")</f>
        <v>No</v>
      </c>
      <c r="J903" s="3" t="str">
        <f>IF(SUMPRODUCT(--ISNUMBER(SEARCH({"0";"1";"2";"3";"4";"5";"6";"7";"8";"9"},Hoja1!D903)))=0,"Sí","No")</f>
        <v>No</v>
      </c>
      <c r="K903" s="3" t="str">
        <f t="shared" si="14"/>
        <v>No</v>
      </c>
    </row>
    <row r="904" spans="1:11" ht="15" customHeight="1" x14ac:dyDescent="0.3">
      <c r="A904" s="3" t="str">
        <f>Hoja1!A904</f>
        <v>C0903</v>
      </c>
      <c r="B904" s="3" t="str">
        <f>Hoja1!B904</f>
        <v>Eugenio Pla Alegre</v>
      </c>
      <c r="C904" s="3" t="str">
        <f>IF(COUNTA(Hoja1!A904:I904)=0,"Sí","No")</f>
        <v>No</v>
      </c>
      <c r="D904" s="3" t="str">
        <f>IF(COUNTBLANK(Hoja1!A904:I904)&gt;0,"Sí","No")</f>
        <v>No</v>
      </c>
      <c r="E904" s="3" t="str">
        <f>IF(COUNTIF(Hoja1!$A$2:$A$1000,Hoja1!A904)&gt;1,"Sí","No")</f>
        <v>No</v>
      </c>
      <c r="F904" s="3" t="str">
        <f>IF(COUNTIF(Hoja1!$G$2:$G$1000,Hoja1!G904)&gt;1,"Sí","No")</f>
        <v>No</v>
      </c>
      <c r="G904" s="3" t="str">
        <f>IF(OR(ISERROR(FIND("@",Hoja1!G904)),ISERROR(FIND(".",Hoja1!G904,FIND("@",Hoja1!G904)))),"Sí","No")</f>
        <v>No</v>
      </c>
      <c r="H904" s="3" t="str">
        <f>IF(LEN(Hoja1!F904)&lt;&gt;14,"Sí","No")</f>
        <v>No</v>
      </c>
      <c r="I904" s="3" t="str">
        <f>IF(Hoja1!C904&gt;Hoja1!H904,"Sí","No")</f>
        <v>No</v>
      </c>
      <c r="J904" s="3" t="str">
        <f>IF(SUMPRODUCT(--ISNUMBER(SEARCH({"0";"1";"2";"3";"4";"5";"6";"7";"8";"9"},Hoja1!D904)))=0,"Sí","No")</f>
        <v>No</v>
      </c>
      <c r="K904" s="3" t="str">
        <f t="shared" si="14"/>
        <v>No</v>
      </c>
    </row>
    <row r="905" spans="1:11" ht="15" customHeight="1" x14ac:dyDescent="0.3">
      <c r="A905" s="3" t="str">
        <f>Hoja1!A905</f>
        <v>C0904</v>
      </c>
      <c r="B905" s="3" t="str">
        <f>Hoja1!B905</f>
        <v>Daniela Arana</v>
      </c>
      <c r="C905" s="3" t="str">
        <f>IF(COUNTA(Hoja1!A905:I905)=0,"Sí","No")</f>
        <v>No</v>
      </c>
      <c r="D905" s="3" t="str">
        <f>IF(COUNTBLANK(Hoja1!A905:I905)&gt;0,"Sí","No")</f>
        <v>No</v>
      </c>
      <c r="E905" s="3" t="str">
        <f>IF(COUNTIF(Hoja1!$A$2:$A$1000,Hoja1!A905)&gt;1,"Sí","No")</f>
        <v>No</v>
      </c>
      <c r="F905" s="3" t="str">
        <f>IF(COUNTIF(Hoja1!$G$2:$G$1000,Hoja1!G905)&gt;1,"Sí","No")</f>
        <v>No</v>
      </c>
      <c r="G905" s="3" t="str">
        <f>IF(OR(ISERROR(FIND("@",Hoja1!G905)),ISERROR(FIND(".",Hoja1!G905,FIND("@",Hoja1!G905)))),"Sí","No")</f>
        <v>No</v>
      </c>
      <c r="H905" s="3" t="str">
        <f>IF(LEN(Hoja1!F905)&lt;&gt;14,"Sí","No")</f>
        <v>No</v>
      </c>
      <c r="I905" s="3" t="str">
        <f>IF(Hoja1!C905&gt;Hoja1!H905,"Sí","No")</f>
        <v>No</v>
      </c>
      <c r="J905" s="3" t="str">
        <f>IF(SUMPRODUCT(--ISNUMBER(SEARCH({"0";"1";"2";"3";"4";"5";"6";"7";"8";"9"},Hoja1!D905)))=0,"Sí","No")</f>
        <v>No</v>
      </c>
      <c r="K905" s="3" t="str">
        <f t="shared" si="14"/>
        <v>No</v>
      </c>
    </row>
    <row r="906" spans="1:11" ht="15" customHeight="1" x14ac:dyDescent="0.3">
      <c r="A906" s="3" t="str">
        <f>Hoja1!A906</f>
        <v>C0905</v>
      </c>
      <c r="B906" s="3" t="str">
        <f>Hoja1!B906</f>
        <v>Amancio Casares Francisco</v>
      </c>
      <c r="C906" s="3" t="str">
        <f>IF(COUNTA(Hoja1!A906:I906)=0,"Sí","No")</f>
        <v>No</v>
      </c>
      <c r="D906" s="3" t="str">
        <f>IF(COUNTBLANK(Hoja1!A906:I906)&gt;0,"Sí","No")</f>
        <v>No</v>
      </c>
      <c r="E906" s="3" t="str">
        <f>IF(COUNTIF(Hoja1!$A$2:$A$1000,Hoja1!A906)&gt;1,"Sí","No")</f>
        <v>No</v>
      </c>
      <c r="F906" s="3" t="str">
        <f>IF(COUNTIF(Hoja1!$G$2:$G$1000,Hoja1!G906)&gt;1,"Sí","No")</f>
        <v>No</v>
      </c>
      <c r="G906" s="3" t="str">
        <f>IF(OR(ISERROR(FIND("@",Hoja1!G906)),ISERROR(FIND(".",Hoja1!G906,FIND("@",Hoja1!G906)))),"Sí","No")</f>
        <v>No</v>
      </c>
      <c r="H906" s="3" t="str">
        <f>IF(LEN(Hoja1!F906)&lt;&gt;14,"Sí","No")</f>
        <v>No</v>
      </c>
      <c r="I906" s="3" t="str">
        <f>IF(Hoja1!C906&gt;Hoja1!H906,"Sí","No")</f>
        <v>No</v>
      </c>
      <c r="J906" s="3" t="str">
        <f>IF(SUMPRODUCT(--ISNUMBER(SEARCH({"0";"1";"2";"3";"4";"5";"6";"7";"8";"9"},Hoja1!D906)))=0,"Sí","No")</f>
        <v>No</v>
      </c>
      <c r="K906" s="3" t="str">
        <f t="shared" si="14"/>
        <v>No</v>
      </c>
    </row>
    <row r="907" spans="1:11" ht="15" customHeight="1" x14ac:dyDescent="0.3">
      <c r="A907" s="3" t="str">
        <f>Hoja1!A907</f>
        <v>C0906</v>
      </c>
      <c r="B907" s="3" t="str">
        <f>Hoja1!B907</f>
        <v>Leopoldo Lamas Vilaplana</v>
      </c>
      <c r="C907" s="3" t="str">
        <f>IF(COUNTA(Hoja1!A907:I907)=0,"Sí","No")</f>
        <v>No</v>
      </c>
      <c r="D907" s="3" t="str">
        <f>IF(COUNTBLANK(Hoja1!A907:I907)&gt;0,"Sí","No")</f>
        <v>No</v>
      </c>
      <c r="E907" s="3" t="str">
        <f>IF(COUNTIF(Hoja1!$A$2:$A$1000,Hoja1!A907)&gt;1,"Sí","No")</f>
        <v>No</v>
      </c>
      <c r="F907" s="3" t="str">
        <f>IF(COUNTIF(Hoja1!$G$2:$G$1000,Hoja1!G907)&gt;1,"Sí","No")</f>
        <v>No</v>
      </c>
      <c r="G907" s="3" t="str">
        <f>IF(OR(ISERROR(FIND("@",Hoja1!G907)),ISERROR(FIND(".",Hoja1!G907,FIND("@",Hoja1!G907)))),"Sí","No")</f>
        <v>No</v>
      </c>
      <c r="H907" s="3" t="str">
        <f>IF(LEN(Hoja1!F907)&lt;&gt;14,"Sí","No")</f>
        <v>No</v>
      </c>
      <c r="I907" s="3" t="str">
        <f>IF(Hoja1!C907&gt;Hoja1!H907,"Sí","No")</f>
        <v>No</v>
      </c>
      <c r="J907" s="3" t="str">
        <f>IF(SUMPRODUCT(--ISNUMBER(SEARCH({"0";"1";"2";"3";"4";"5";"6";"7";"8";"9"},Hoja1!D907)))=0,"Sí","No")</f>
        <v>No</v>
      </c>
      <c r="K907" s="3" t="str">
        <f t="shared" si="14"/>
        <v>No</v>
      </c>
    </row>
    <row r="908" spans="1:11" ht="15" customHeight="1" x14ac:dyDescent="0.3">
      <c r="A908" s="3" t="str">
        <f>Hoja1!A908</f>
        <v>C0907</v>
      </c>
      <c r="B908" s="3" t="str">
        <f>Hoja1!B908</f>
        <v>Pascual del Haro</v>
      </c>
      <c r="C908" s="3" t="str">
        <f>IF(COUNTA(Hoja1!A908:I908)=0,"Sí","No")</f>
        <v>No</v>
      </c>
      <c r="D908" s="3" t="str">
        <f>IF(COUNTBLANK(Hoja1!A908:I908)&gt;0,"Sí","No")</f>
        <v>No</v>
      </c>
      <c r="E908" s="3" t="str">
        <f>IF(COUNTIF(Hoja1!$A$2:$A$1000,Hoja1!A908)&gt;1,"Sí","No")</f>
        <v>No</v>
      </c>
      <c r="F908" s="3" t="str">
        <f>IF(COUNTIF(Hoja1!$G$2:$G$1000,Hoja1!G908)&gt;1,"Sí","No")</f>
        <v>No</v>
      </c>
      <c r="G908" s="3" t="str">
        <f>IF(OR(ISERROR(FIND("@",Hoja1!G908)),ISERROR(FIND(".",Hoja1!G908,FIND("@",Hoja1!G908)))),"Sí","No")</f>
        <v>No</v>
      </c>
      <c r="H908" s="3" t="str">
        <f>IF(LEN(Hoja1!F908)&lt;&gt;14,"Sí","No")</f>
        <v>No</v>
      </c>
      <c r="I908" s="3" t="str">
        <f>IF(Hoja1!C908&gt;Hoja1!H908,"Sí","No")</f>
        <v>No</v>
      </c>
      <c r="J908" s="3" t="str">
        <f>IF(SUMPRODUCT(--ISNUMBER(SEARCH({"0";"1";"2";"3";"4";"5";"6";"7";"8";"9"},Hoja1!D908)))=0,"Sí","No")</f>
        <v>No</v>
      </c>
      <c r="K908" s="3" t="str">
        <f t="shared" si="14"/>
        <v>No</v>
      </c>
    </row>
    <row r="909" spans="1:11" ht="15" customHeight="1" x14ac:dyDescent="0.3">
      <c r="A909" s="3" t="str">
        <f>Hoja1!A909</f>
        <v>C0908</v>
      </c>
      <c r="B909" s="3" t="str">
        <f>Hoja1!B909</f>
        <v>Dionisia Llamas</v>
      </c>
      <c r="C909" s="3" t="str">
        <f>IF(COUNTA(Hoja1!A909:I909)=0,"Sí","No")</f>
        <v>No</v>
      </c>
      <c r="D909" s="3" t="str">
        <f>IF(COUNTBLANK(Hoja1!A909:I909)&gt;0,"Sí","No")</f>
        <v>No</v>
      </c>
      <c r="E909" s="3" t="str">
        <f>IF(COUNTIF(Hoja1!$A$2:$A$1000,Hoja1!A909)&gt;1,"Sí","No")</f>
        <v>No</v>
      </c>
      <c r="F909" s="3" t="str">
        <f>IF(COUNTIF(Hoja1!$G$2:$G$1000,Hoja1!G909)&gt;1,"Sí","No")</f>
        <v>No</v>
      </c>
      <c r="G909" s="3" t="str">
        <f>IF(OR(ISERROR(FIND("@",Hoja1!G909)),ISERROR(FIND(".",Hoja1!G909,FIND("@",Hoja1!G909)))),"Sí","No")</f>
        <v>No</v>
      </c>
      <c r="H909" s="3" t="str">
        <f>IF(LEN(Hoja1!F909)&lt;&gt;14,"Sí","No")</f>
        <v>No</v>
      </c>
      <c r="I909" s="3" t="str">
        <f>IF(Hoja1!C909&gt;Hoja1!H909,"Sí","No")</f>
        <v>No</v>
      </c>
      <c r="J909" s="3" t="str">
        <f>IF(SUMPRODUCT(--ISNUMBER(SEARCH({"0";"1";"2";"3";"4";"5";"6";"7";"8";"9"},Hoja1!D909)))=0,"Sí","No")</f>
        <v>No</v>
      </c>
      <c r="K909" s="3" t="str">
        <f t="shared" si="14"/>
        <v>No</v>
      </c>
    </row>
    <row r="910" spans="1:11" ht="15" customHeight="1" x14ac:dyDescent="0.3">
      <c r="A910" s="3" t="str">
        <f>Hoja1!A910</f>
        <v>C0909</v>
      </c>
      <c r="B910" s="3" t="str">
        <f>Hoja1!B910</f>
        <v>Amada Falcó Llabrés</v>
      </c>
      <c r="C910" s="3" t="str">
        <f>IF(COUNTA(Hoja1!A910:I910)=0,"Sí","No")</f>
        <v>No</v>
      </c>
      <c r="D910" s="3" t="str">
        <f>IF(COUNTBLANK(Hoja1!A910:I910)&gt;0,"Sí","No")</f>
        <v>No</v>
      </c>
      <c r="E910" s="3" t="str">
        <f>IF(COUNTIF(Hoja1!$A$2:$A$1000,Hoja1!A910)&gt;1,"Sí","No")</f>
        <v>No</v>
      </c>
      <c r="F910" s="3" t="str">
        <f>IF(COUNTIF(Hoja1!$G$2:$G$1000,Hoja1!G910)&gt;1,"Sí","No")</f>
        <v>No</v>
      </c>
      <c r="G910" s="3" t="str">
        <f>IF(OR(ISERROR(FIND("@",Hoja1!G910)),ISERROR(FIND(".",Hoja1!G910,FIND("@",Hoja1!G910)))),"Sí","No")</f>
        <v>No</v>
      </c>
      <c r="H910" s="3" t="str">
        <f>IF(LEN(Hoja1!F910)&lt;&gt;14,"Sí","No")</f>
        <v>No</v>
      </c>
      <c r="I910" s="3" t="str">
        <f>IF(Hoja1!C910&gt;Hoja1!H910,"Sí","No")</f>
        <v>No</v>
      </c>
      <c r="J910" s="3" t="str">
        <f>IF(SUMPRODUCT(--ISNUMBER(SEARCH({"0";"1";"2";"3";"4";"5";"6";"7";"8";"9"},Hoja1!D910)))=0,"Sí","No")</f>
        <v>No</v>
      </c>
      <c r="K910" s="3" t="str">
        <f t="shared" si="14"/>
        <v>No</v>
      </c>
    </row>
    <row r="911" spans="1:11" ht="15" customHeight="1" x14ac:dyDescent="0.3">
      <c r="A911" s="3" t="str">
        <f>Hoja1!A911</f>
        <v>C0910</v>
      </c>
      <c r="B911" s="3" t="str">
        <f>Hoja1!B911</f>
        <v>Óscar Enríquez Acedo</v>
      </c>
      <c r="C911" s="3" t="str">
        <f>IF(COUNTA(Hoja1!A911:I911)=0,"Sí","No")</f>
        <v>No</v>
      </c>
      <c r="D911" s="3" t="str">
        <f>IF(COUNTBLANK(Hoja1!A911:I911)&gt;0,"Sí","No")</f>
        <v>No</v>
      </c>
      <c r="E911" s="3" t="str">
        <f>IF(COUNTIF(Hoja1!$A$2:$A$1000,Hoja1!A911)&gt;1,"Sí","No")</f>
        <v>No</v>
      </c>
      <c r="F911" s="3" t="str">
        <f>IF(COUNTIF(Hoja1!$G$2:$G$1000,Hoja1!G911)&gt;1,"Sí","No")</f>
        <v>No</v>
      </c>
      <c r="G911" s="3" t="str">
        <f>IF(OR(ISERROR(FIND("@",Hoja1!G911)),ISERROR(FIND(".",Hoja1!G911,FIND("@",Hoja1!G911)))),"Sí","No")</f>
        <v>No</v>
      </c>
      <c r="H911" s="3" t="str">
        <f>IF(LEN(Hoja1!F911)&lt;&gt;14,"Sí","No")</f>
        <v>No</v>
      </c>
      <c r="I911" s="3" t="str">
        <f>IF(Hoja1!C911&gt;Hoja1!H911,"Sí","No")</f>
        <v>No</v>
      </c>
      <c r="J911" s="3" t="str">
        <f>IF(SUMPRODUCT(--ISNUMBER(SEARCH({"0";"1";"2";"3";"4";"5";"6";"7";"8";"9"},Hoja1!D911)))=0,"Sí","No")</f>
        <v>No</v>
      </c>
      <c r="K911" s="3" t="str">
        <f t="shared" si="14"/>
        <v>No</v>
      </c>
    </row>
    <row r="912" spans="1:11" ht="15" customHeight="1" x14ac:dyDescent="0.3">
      <c r="A912" s="3" t="str">
        <f>Hoja1!A912</f>
        <v>C0911</v>
      </c>
      <c r="B912" s="3" t="str">
        <f>Hoja1!B912</f>
        <v>Cecilio Bastida Seguí</v>
      </c>
      <c r="C912" s="3" t="str">
        <f>IF(COUNTA(Hoja1!A912:I912)=0,"Sí","No")</f>
        <v>No</v>
      </c>
      <c r="D912" s="3" t="str">
        <f>IF(COUNTBLANK(Hoja1!A912:I912)&gt;0,"Sí","No")</f>
        <v>No</v>
      </c>
      <c r="E912" s="3" t="str">
        <f>IF(COUNTIF(Hoja1!$A$2:$A$1000,Hoja1!A912)&gt;1,"Sí","No")</f>
        <v>No</v>
      </c>
      <c r="F912" s="3" t="str">
        <f>IF(COUNTIF(Hoja1!$G$2:$G$1000,Hoja1!G912)&gt;1,"Sí","No")</f>
        <v>No</v>
      </c>
      <c r="G912" s="3" t="str">
        <f>IF(OR(ISERROR(FIND("@",Hoja1!G912)),ISERROR(FIND(".",Hoja1!G912,FIND("@",Hoja1!G912)))),"Sí","No")</f>
        <v>No</v>
      </c>
      <c r="H912" s="3" t="str">
        <f>IF(LEN(Hoja1!F912)&lt;&gt;14,"Sí","No")</f>
        <v>No</v>
      </c>
      <c r="I912" s="3" t="str">
        <f>IF(Hoja1!C912&gt;Hoja1!H912,"Sí","No")</f>
        <v>No</v>
      </c>
      <c r="J912" s="3" t="str">
        <f>IF(SUMPRODUCT(--ISNUMBER(SEARCH({"0";"1";"2";"3";"4";"5";"6";"7";"8";"9"},Hoja1!D912)))=0,"Sí","No")</f>
        <v>No</v>
      </c>
      <c r="K912" s="3" t="str">
        <f t="shared" si="14"/>
        <v>No</v>
      </c>
    </row>
    <row r="913" spans="1:11" ht="15" customHeight="1" x14ac:dyDescent="0.3">
      <c r="A913" s="3" t="str">
        <f>Hoja1!A913</f>
        <v>C0912</v>
      </c>
      <c r="B913" s="3" t="str">
        <f>Hoja1!B913</f>
        <v>Leocadia Aznar Revilla</v>
      </c>
      <c r="C913" s="3" t="str">
        <f>IF(COUNTA(Hoja1!A913:I913)=0,"Sí","No")</f>
        <v>No</v>
      </c>
      <c r="D913" s="3" t="str">
        <f>IF(COUNTBLANK(Hoja1!A913:I913)&gt;0,"Sí","No")</f>
        <v>No</v>
      </c>
      <c r="E913" s="3" t="str">
        <f>IF(COUNTIF(Hoja1!$A$2:$A$1000,Hoja1!A913)&gt;1,"Sí","No")</f>
        <v>No</v>
      </c>
      <c r="F913" s="3" t="str">
        <f>IF(COUNTIF(Hoja1!$G$2:$G$1000,Hoja1!G913)&gt;1,"Sí","No")</f>
        <v>No</v>
      </c>
      <c r="G913" s="3" t="str">
        <f>IF(OR(ISERROR(FIND("@",Hoja1!G913)),ISERROR(FIND(".",Hoja1!G913,FIND("@",Hoja1!G913)))),"Sí","No")</f>
        <v>No</v>
      </c>
      <c r="H913" s="3" t="str">
        <f>IF(LEN(Hoja1!F913)&lt;&gt;14,"Sí","No")</f>
        <v>No</v>
      </c>
      <c r="I913" s="3" t="str">
        <f>IF(Hoja1!C913&gt;Hoja1!H913,"Sí","No")</f>
        <v>No</v>
      </c>
      <c r="J913" s="3" t="str">
        <f>IF(SUMPRODUCT(--ISNUMBER(SEARCH({"0";"1";"2";"3";"4";"5";"6";"7";"8";"9"},Hoja1!D913)))=0,"Sí","No")</f>
        <v>No</v>
      </c>
      <c r="K913" s="3" t="str">
        <f t="shared" si="14"/>
        <v>No</v>
      </c>
    </row>
    <row r="914" spans="1:11" ht="15" customHeight="1" x14ac:dyDescent="0.3">
      <c r="A914" s="3" t="str">
        <f>Hoja1!A914</f>
        <v>C0913</v>
      </c>
      <c r="B914" s="3" t="str">
        <f>Hoja1!B914</f>
        <v>Anabel Iniesta Hierro</v>
      </c>
      <c r="C914" s="3" t="str">
        <f>IF(COUNTA(Hoja1!A914:I914)=0,"Sí","No")</f>
        <v>No</v>
      </c>
      <c r="D914" s="3" t="str">
        <f>IF(COUNTBLANK(Hoja1!A914:I914)&gt;0,"Sí","No")</f>
        <v>No</v>
      </c>
      <c r="E914" s="3" t="str">
        <f>IF(COUNTIF(Hoja1!$A$2:$A$1000,Hoja1!A914)&gt;1,"Sí","No")</f>
        <v>No</v>
      </c>
      <c r="F914" s="3" t="str">
        <f>IF(COUNTIF(Hoja1!$G$2:$G$1000,Hoja1!G914)&gt;1,"Sí","No")</f>
        <v>Sí</v>
      </c>
      <c r="G914" s="3" t="str">
        <f>IF(OR(ISERROR(FIND("@",Hoja1!G914)),ISERROR(FIND(".",Hoja1!G914,FIND("@",Hoja1!G914)))),"Sí","No")</f>
        <v>No</v>
      </c>
      <c r="H914" s="3" t="str">
        <f>IF(LEN(Hoja1!F914)&lt;&gt;14,"Sí","No")</f>
        <v>No</v>
      </c>
      <c r="I914" s="3" t="str">
        <f>IF(Hoja1!C914&gt;Hoja1!H914,"Sí","No")</f>
        <v>No</v>
      </c>
      <c r="J914" s="3" t="str">
        <f>IF(SUMPRODUCT(--ISNUMBER(SEARCH({"0";"1";"2";"3";"4";"5";"6";"7";"8";"9"},Hoja1!D914)))=0,"Sí","No")</f>
        <v>No</v>
      </c>
      <c r="K914" s="3" t="str">
        <f t="shared" si="14"/>
        <v>Sí</v>
      </c>
    </row>
    <row r="915" spans="1:11" ht="15" customHeight="1" x14ac:dyDescent="0.3">
      <c r="A915" s="3" t="str">
        <f>Hoja1!A915</f>
        <v>C0914</v>
      </c>
      <c r="B915" s="3" t="str">
        <f>Hoja1!B915</f>
        <v>Lilia Narváez Batalla</v>
      </c>
      <c r="C915" s="3" t="str">
        <f>IF(COUNTA(Hoja1!A915:I915)=0,"Sí","No")</f>
        <v>No</v>
      </c>
      <c r="D915" s="3" t="str">
        <f>IF(COUNTBLANK(Hoja1!A915:I915)&gt;0,"Sí","No")</f>
        <v>No</v>
      </c>
      <c r="E915" s="3" t="str">
        <f>IF(COUNTIF(Hoja1!$A$2:$A$1000,Hoja1!A915)&gt;1,"Sí","No")</f>
        <v>No</v>
      </c>
      <c r="F915" s="3" t="str">
        <f>IF(COUNTIF(Hoja1!$G$2:$G$1000,Hoja1!G915)&gt;1,"Sí","No")</f>
        <v>No</v>
      </c>
      <c r="G915" s="3" t="str">
        <f>IF(OR(ISERROR(FIND("@",Hoja1!G915)),ISERROR(FIND(".",Hoja1!G915,FIND("@",Hoja1!G915)))),"Sí","No")</f>
        <v>No</v>
      </c>
      <c r="H915" s="3" t="str">
        <f>IF(LEN(Hoja1!F915)&lt;&gt;14,"Sí","No")</f>
        <v>No</v>
      </c>
      <c r="I915" s="3" t="str">
        <f>IF(Hoja1!C915&gt;Hoja1!H915,"Sí","No")</f>
        <v>No</v>
      </c>
      <c r="J915" s="3" t="str">
        <f>IF(SUMPRODUCT(--ISNUMBER(SEARCH({"0";"1";"2";"3";"4";"5";"6";"7";"8";"9"},Hoja1!D915)))=0,"Sí","No")</f>
        <v>No</v>
      </c>
      <c r="K915" s="3" t="str">
        <f t="shared" si="14"/>
        <v>No</v>
      </c>
    </row>
    <row r="916" spans="1:11" ht="15" customHeight="1" x14ac:dyDescent="0.3">
      <c r="A916" s="3" t="str">
        <f>Hoja1!A916</f>
        <v>C0915</v>
      </c>
      <c r="B916" s="3" t="str">
        <f>Hoja1!B916</f>
        <v>Adriana Egea Luís</v>
      </c>
      <c r="C916" s="3" t="str">
        <f>IF(COUNTA(Hoja1!A916:I916)=0,"Sí","No")</f>
        <v>No</v>
      </c>
      <c r="D916" s="3" t="str">
        <f>IF(COUNTBLANK(Hoja1!A916:I916)&gt;0,"Sí","No")</f>
        <v>No</v>
      </c>
      <c r="E916" s="3" t="str">
        <f>IF(COUNTIF(Hoja1!$A$2:$A$1000,Hoja1!A916)&gt;1,"Sí","No")</f>
        <v>No</v>
      </c>
      <c r="F916" s="3" t="str">
        <f>IF(COUNTIF(Hoja1!$G$2:$G$1000,Hoja1!G916)&gt;1,"Sí","No")</f>
        <v>No</v>
      </c>
      <c r="G916" s="3" t="str">
        <f>IF(OR(ISERROR(FIND("@",Hoja1!G916)),ISERROR(FIND(".",Hoja1!G916,FIND("@",Hoja1!G916)))),"Sí","No")</f>
        <v>No</v>
      </c>
      <c r="H916" s="3" t="str">
        <f>IF(LEN(Hoja1!F916)&lt;&gt;14,"Sí","No")</f>
        <v>No</v>
      </c>
      <c r="I916" s="3" t="str">
        <f>IF(Hoja1!C916&gt;Hoja1!H916,"Sí","No")</f>
        <v>No</v>
      </c>
      <c r="J916" s="3" t="str">
        <f>IF(SUMPRODUCT(--ISNUMBER(SEARCH({"0";"1";"2";"3";"4";"5";"6";"7";"8";"9"},Hoja1!D916)))=0,"Sí","No")</f>
        <v>No</v>
      </c>
      <c r="K916" s="3" t="str">
        <f t="shared" si="14"/>
        <v>No</v>
      </c>
    </row>
    <row r="917" spans="1:11" ht="15" customHeight="1" x14ac:dyDescent="0.3">
      <c r="A917" s="3" t="str">
        <f>Hoja1!A917</f>
        <v>C0916</v>
      </c>
      <c r="B917" s="3" t="str">
        <f>Hoja1!B917</f>
        <v>Pepita del Gallart</v>
      </c>
      <c r="C917" s="3" t="str">
        <f>IF(COUNTA(Hoja1!A917:I917)=0,"Sí","No")</f>
        <v>No</v>
      </c>
      <c r="D917" s="3" t="str">
        <f>IF(COUNTBLANK(Hoja1!A917:I917)&gt;0,"Sí","No")</f>
        <v>No</v>
      </c>
      <c r="E917" s="3" t="str">
        <f>IF(COUNTIF(Hoja1!$A$2:$A$1000,Hoja1!A917)&gt;1,"Sí","No")</f>
        <v>No</v>
      </c>
      <c r="F917" s="3" t="str">
        <f>IF(COUNTIF(Hoja1!$G$2:$G$1000,Hoja1!G917)&gt;1,"Sí","No")</f>
        <v>No</v>
      </c>
      <c r="G917" s="3" t="str">
        <f>IF(OR(ISERROR(FIND("@",Hoja1!G917)),ISERROR(FIND(".",Hoja1!G917,FIND("@",Hoja1!G917)))),"Sí","No")</f>
        <v>No</v>
      </c>
      <c r="H917" s="3" t="str">
        <f>IF(LEN(Hoja1!F917)&lt;&gt;14,"Sí","No")</f>
        <v>No</v>
      </c>
      <c r="I917" s="3" t="str">
        <f>IF(Hoja1!C917&gt;Hoja1!H917,"Sí","No")</f>
        <v>No</v>
      </c>
      <c r="J917" s="3" t="str">
        <f>IF(SUMPRODUCT(--ISNUMBER(SEARCH({"0";"1";"2";"3";"4";"5";"6";"7";"8";"9"},Hoja1!D917)))=0,"Sí","No")</f>
        <v>No</v>
      </c>
      <c r="K917" s="3" t="str">
        <f t="shared" si="14"/>
        <v>No</v>
      </c>
    </row>
    <row r="918" spans="1:11" ht="15" customHeight="1" x14ac:dyDescent="0.3">
      <c r="A918" s="3" t="str">
        <f>Hoja1!A918</f>
        <v>C0917</v>
      </c>
      <c r="B918" s="3" t="str">
        <f>Hoja1!B918</f>
        <v>Luis Ángel Téllez Conde</v>
      </c>
      <c r="C918" s="3" t="str">
        <f>IF(COUNTA(Hoja1!A918:I918)=0,"Sí","No")</f>
        <v>No</v>
      </c>
      <c r="D918" s="3" t="str">
        <f>IF(COUNTBLANK(Hoja1!A918:I918)&gt;0,"Sí","No")</f>
        <v>No</v>
      </c>
      <c r="E918" s="3" t="str">
        <f>IF(COUNTIF(Hoja1!$A$2:$A$1000,Hoja1!A918)&gt;1,"Sí","No")</f>
        <v>No</v>
      </c>
      <c r="F918" s="3" t="str">
        <f>IF(COUNTIF(Hoja1!$G$2:$G$1000,Hoja1!G918)&gt;1,"Sí","No")</f>
        <v>No</v>
      </c>
      <c r="G918" s="3" t="str">
        <f>IF(OR(ISERROR(FIND("@",Hoja1!G918)),ISERROR(FIND(".",Hoja1!G918,FIND("@",Hoja1!G918)))),"Sí","No")</f>
        <v>No</v>
      </c>
      <c r="H918" s="3" t="str">
        <f>IF(LEN(Hoja1!F918)&lt;&gt;14,"Sí","No")</f>
        <v>No</v>
      </c>
      <c r="I918" s="3" t="str">
        <f>IF(Hoja1!C918&gt;Hoja1!H918,"Sí","No")</f>
        <v>No</v>
      </c>
      <c r="J918" s="3" t="str">
        <f>IF(SUMPRODUCT(--ISNUMBER(SEARCH({"0";"1";"2";"3";"4";"5";"6";"7";"8";"9"},Hoja1!D918)))=0,"Sí","No")</f>
        <v>No</v>
      </c>
      <c r="K918" s="3" t="str">
        <f t="shared" si="14"/>
        <v>No</v>
      </c>
    </row>
    <row r="919" spans="1:11" ht="15" customHeight="1" x14ac:dyDescent="0.3">
      <c r="A919" s="3" t="str">
        <f>Hoja1!A919</f>
        <v>C0918</v>
      </c>
      <c r="B919" s="3" t="str">
        <f>Hoja1!B919</f>
        <v>Angelina Sanmiguel Gallo</v>
      </c>
      <c r="C919" s="3" t="str">
        <f>IF(COUNTA(Hoja1!A919:I919)=0,"Sí","No")</f>
        <v>No</v>
      </c>
      <c r="D919" s="3" t="str">
        <f>IF(COUNTBLANK(Hoja1!A919:I919)&gt;0,"Sí","No")</f>
        <v>No</v>
      </c>
      <c r="E919" s="3" t="str">
        <f>IF(COUNTIF(Hoja1!$A$2:$A$1000,Hoja1!A919)&gt;1,"Sí","No")</f>
        <v>No</v>
      </c>
      <c r="F919" s="3" t="str">
        <f>IF(COUNTIF(Hoja1!$G$2:$G$1000,Hoja1!G919)&gt;1,"Sí","No")</f>
        <v>No</v>
      </c>
      <c r="G919" s="3" t="str">
        <f>IF(OR(ISERROR(FIND("@",Hoja1!G919)),ISERROR(FIND(".",Hoja1!G919,FIND("@",Hoja1!G919)))),"Sí","No")</f>
        <v>No</v>
      </c>
      <c r="H919" s="3" t="str">
        <f>IF(LEN(Hoja1!F919)&lt;&gt;14,"Sí","No")</f>
        <v>No</v>
      </c>
      <c r="I919" s="3" t="str">
        <f>IF(Hoja1!C919&gt;Hoja1!H919,"Sí","No")</f>
        <v>No</v>
      </c>
      <c r="J919" s="3" t="str">
        <f>IF(SUMPRODUCT(--ISNUMBER(SEARCH({"0";"1";"2";"3";"4";"5";"6";"7";"8";"9"},Hoja1!D919)))=0,"Sí","No")</f>
        <v>No</v>
      </c>
      <c r="K919" s="3" t="str">
        <f t="shared" si="14"/>
        <v>No</v>
      </c>
    </row>
    <row r="920" spans="1:11" ht="15" customHeight="1" x14ac:dyDescent="0.3">
      <c r="A920" s="3" t="str">
        <f>Hoja1!A920</f>
        <v>C0919</v>
      </c>
      <c r="B920" s="3" t="str">
        <f>Hoja1!B920</f>
        <v>Catalina Solé Porras</v>
      </c>
      <c r="C920" s="3" t="str">
        <f>IF(COUNTA(Hoja1!A920:I920)=0,"Sí","No")</f>
        <v>No</v>
      </c>
      <c r="D920" s="3" t="str">
        <f>IF(COUNTBLANK(Hoja1!A920:I920)&gt;0,"Sí","No")</f>
        <v>No</v>
      </c>
      <c r="E920" s="3" t="str">
        <f>IF(COUNTIF(Hoja1!$A$2:$A$1000,Hoja1!A920)&gt;1,"Sí","No")</f>
        <v>No</v>
      </c>
      <c r="F920" s="3" t="str">
        <f>IF(COUNTIF(Hoja1!$G$2:$G$1000,Hoja1!G920)&gt;1,"Sí","No")</f>
        <v>No</v>
      </c>
      <c r="G920" s="3" t="str">
        <f>IF(OR(ISERROR(FIND("@",Hoja1!G920)),ISERROR(FIND(".",Hoja1!G920,FIND("@",Hoja1!G920)))),"Sí","No")</f>
        <v>No</v>
      </c>
      <c r="H920" s="3" t="str">
        <f>IF(LEN(Hoja1!F920)&lt;&gt;14,"Sí","No")</f>
        <v>No</v>
      </c>
      <c r="I920" s="3" t="str">
        <f>IF(Hoja1!C920&gt;Hoja1!H920,"Sí","No")</f>
        <v>No</v>
      </c>
      <c r="J920" s="3" t="str">
        <f>IF(SUMPRODUCT(--ISNUMBER(SEARCH({"0";"1";"2";"3";"4";"5";"6";"7";"8";"9"},Hoja1!D920)))=0,"Sí","No")</f>
        <v>No</v>
      </c>
      <c r="K920" s="3" t="str">
        <f t="shared" si="14"/>
        <v>No</v>
      </c>
    </row>
    <row r="921" spans="1:11" ht="15" customHeight="1" x14ac:dyDescent="0.3">
      <c r="A921" s="3" t="str">
        <f>Hoja1!A921</f>
        <v>C0920</v>
      </c>
      <c r="B921" s="3" t="str">
        <f>Hoja1!B921</f>
        <v>Manuela Benavides Gálvez</v>
      </c>
      <c r="C921" s="3" t="str">
        <f>IF(COUNTA(Hoja1!A921:I921)=0,"Sí","No")</f>
        <v>No</v>
      </c>
      <c r="D921" s="3" t="str">
        <f>IF(COUNTBLANK(Hoja1!A921:I921)&gt;0,"Sí","No")</f>
        <v>No</v>
      </c>
      <c r="E921" s="3" t="str">
        <f>IF(COUNTIF(Hoja1!$A$2:$A$1000,Hoja1!A921)&gt;1,"Sí","No")</f>
        <v>No</v>
      </c>
      <c r="F921" s="3" t="str">
        <f>IF(COUNTIF(Hoja1!$G$2:$G$1000,Hoja1!G921)&gt;1,"Sí","No")</f>
        <v>No</v>
      </c>
      <c r="G921" s="3" t="str">
        <f>IF(OR(ISERROR(FIND("@",Hoja1!G921)),ISERROR(FIND(".",Hoja1!G921,FIND("@",Hoja1!G921)))),"Sí","No")</f>
        <v>No</v>
      </c>
      <c r="H921" s="3" t="str">
        <f>IF(LEN(Hoja1!F921)&lt;&gt;14,"Sí","No")</f>
        <v>No</v>
      </c>
      <c r="I921" s="3" t="str">
        <f>IF(Hoja1!C921&gt;Hoja1!H921,"Sí","No")</f>
        <v>No</v>
      </c>
      <c r="J921" s="3" t="str">
        <f>IF(SUMPRODUCT(--ISNUMBER(SEARCH({"0";"1";"2";"3";"4";"5";"6";"7";"8";"9"},Hoja1!D921)))=0,"Sí","No")</f>
        <v>No</v>
      </c>
      <c r="K921" s="3" t="str">
        <f t="shared" si="14"/>
        <v>No</v>
      </c>
    </row>
    <row r="922" spans="1:11" ht="15" customHeight="1" x14ac:dyDescent="0.3">
      <c r="A922" s="3" t="str">
        <f>Hoja1!A922</f>
        <v>C0921</v>
      </c>
      <c r="B922" s="3" t="str">
        <f>Hoja1!B922</f>
        <v>Teresa Lastra Serra</v>
      </c>
      <c r="C922" s="3" t="str">
        <f>IF(COUNTA(Hoja1!A922:I922)=0,"Sí","No")</f>
        <v>No</v>
      </c>
      <c r="D922" s="3" t="str">
        <f>IF(COUNTBLANK(Hoja1!A922:I922)&gt;0,"Sí","No")</f>
        <v>No</v>
      </c>
      <c r="E922" s="3" t="str">
        <f>IF(COUNTIF(Hoja1!$A$2:$A$1000,Hoja1!A922)&gt;1,"Sí","No")</f>
        <v>No</v>
      </c>
      <c r="F922" s="3" t="str">
        <f>IF(COUNTIF(Hoja1!$G$2:$G$1000,Hoja1!G922)&gt;1,"Sí","No")</f>
        <v>No</v>
      </c>
      <c r="G922" s="3" t="str">
        <f>IF(OR(ISERROR(FIND("@",Hoja1!G922)),ISERROR(FIND(".",Hoja1!G922,FIND("@",Hoja1!G922)))),"Sí","No")</f>
        <v>No</v>
      </c>
      <c r="H922" s="3" t="str">
        <f>IF(LEN(Hoja1!F922)&lt;&gt;14,"Sí","No")</f>
        <v>No</v>
      </c>
      <c r="I922" s="3" t="str">
        <f>IF(Hoja1!C922&gt;Hoja1!H922,"Sí","No")</f>
        <v>No</v>
      </c>
      <c r="J922" s="3" t="str">
        <f>IF(SUMPRODUCT(--ISNUMBER(SEARCH({"0";"1";"2";"3";"4";"5";"6";"7";"8";"9"},Hoja1!D922)))=0,"Sí","No")</f>
        <v>No</v>
      </c>
      <c r="K922" s="3" t="str">
        <f t="shared" si="14"/>
        <v>No</v>
      </c>
    </row>
    <row r="923" spans="1:11" ht="15" customHeight="1" x14ac:dyDescent="0.3">
      <c r="A923" s="3" t="str">
        <f>Hoja1!A923</f>
        <v>C0922</v>
      </c>
      <c r="B923" s="3" t="str">
        <f>Hoja1!B923</f>
        <v>Marianela Jover Carballo</v>
      </c>
      <c r="C923" s="3" t="str">
        <f>IF(COUNTA(Hoja1!A923:I923)=0,"Sí","No")</f>
        <v>No</v>
      </c>
      <c r="D923" s="3" t="str">
        <f>IF(COUNTBLANK(Hoja1!A923:I923)&gt;0,"Sí","No")</f>
        <v>No</v>
      </c>
      <c r="E923" s="3" t="str">
        <f>IF(COUNTIF(Hoja1!$A$2:$A$1000,Hoja1!A923)&gt;1,"Sí","No")</f>
        <v>No</v>
      </c>
      <c r="F923" s="3" t="str">
        <f>IF(COUNTIF(Hoja1!$G$2:$G$1000,Hoja1!G923)&gt;1,"Sí","No")</f>
        <v>No</v>
      </c>
      <c r="G923" s="3" t="str">
        <f>IF(OR(ISERROR(FIND("@",Hoja1!G923)),ISERROR(FIND(".",Hoja1!G923,FIND("@",Hoja1!G923)))),"Sí","No")</f>
        <v>No</v>
      </c>
      <c r="H923" s="3" t="str">
        <f>IF(LEN(Hoja1!F923)&lt;&gt;14,"Sí","No")</f>
        <v>No</v>
      </c>
      <c r="I923" s="3" t="str">
        <f>IF(Hoja1!C923&gt;Hoja1!H923,"Sí","No")</f>
        <v>No</v>
      </c>
      <c r="J923" s="3" t="str">
        <f>IF(SUMPRODUCT(--ISNUMBER(SEARCH({"0";"1";"2";"3";"4";"5";"6";"7";"8";"9"},Hoja1!D923)))=0,"Sí","No")</f>
        <v>No</v>
      </c>
      <c r="K923" s="3" t="str">
        <f t="shared" si="14"/>
        <v>No</v>
      </c>
    </row>
    <row r="924" spans="1:11" ht="15" customHeight="1" x14ac:dyDescent="0.3">
      <c r="A924" s="3" t="str">
        <f>Hoja1!A924</f>
        <v>C0923</v>
      </c>
      <c r="B924" s="3" t="str">
        <f>Hoja1!B924</f>
        <v>Ainara Zaragoza Crespi</v>
      </c>
      <c r="C924" s="3" t="str">
        <f>IF(COUNTA(Hoja1!A924:I924)=0,"Sí","No")</f>
        <v>No</v>
      </c>
      <c r="D924" s="3" t="str">
        <f>IF(COUNTBLANK(Hoja1!A924:I924)&gt;0,"Sí","No")</f>
        <v>No</v>
      </c>
      <c r="E924" s="3" t="str">
        <f>IF(COUNTIF(Hoja1!$A$2:$A$1000,Hoja1!A924)&gt;1,"Sí","No")</f>
        <v>No</v>
      </c>
      <c r="F924" s="3" t="str">
        <f>IF(COUNTIF(Hoja1!$G$2:$G$1000,Hoja1!G924)&gt;1,"Sí","No")</f>
        <v>No</v>
      </c>
      <c r="G924" s="3" t="str">
        <f>IF(OR(ISERROR(FIND("@",Hoja1!G924)),ISERROR(FIND(".",Hoja1!G924,FIND("@",Hoja1!G924)))),"Sí","No")</f>
        <v>No</v>
      </c>
      <c r="H924" s="3" t="str">
        <f>IF(LEN(Hoja1!F924)&lt;&gt;14,"Sí","No")</f>
        <v>No</v>
      </c>
      <c r="I924" s="3" t="str">
        <f>IF(Hoja1!C924&gt;Hoja1!H924,"Sí","No")</f>
        <v>No</v>
      </c>
      <c r="J924" s="3" t="str">
        <f>IF(SUMPRODUCT(--ISNUMBER(SEARCH({"0";"1";"2";"3";"4";"5";"6";"7";"8";"9"},Hoja1!D924)))=0,"Sí","No")</f>
        <v>No</v>
      </c>
      <c r="K924" s="3" t="str">
        <f t="shared" si="14"/>
        <v>No</v>
      </c>
    </row>
    <row r="925" spans="1:11" ht="15" customHeight="1" x14ac:dyDescent="0.3">
      <c r="A925" s="3" t="str">
        <f>Hoja1!A925</f>
        <v>C0924</v>
      </c>
      <c r="B925" s="3" t="str">
        <f>Hoja1!B925</f>
        <v>Claudio Porfirio Francisco Múñiz</v>
      </c>
      <c r="C925" s="3" t="str">
        <f>IF(COUNTA(Hoja1!A925:I925)=0,"Sí","No")</f>
        <v>No</v>
      </c>
      <c r="D925" s="3" t="str">
        <f>IF(COUNTBLANK(Hoja1!A925:I925)&gt;0,"Sí","No")</f>
        <v>No</v>
      </c>
      <c r="E925" s="3" t="str">
        <f>IF(COUNTIF(Hoja1!$A$2:$A$1000,Hoja1!A925)&gt;1,"Sí","No")</f>
        <v>No</v>
      </c>
      <c r="F925" s="3" t="str">
        <f>IF(COUNTIF(Hoja1!$G$2:$G$1000,Hoja1!G925)&gt;1,"Sí","No")</f>
        <v>No</v>
      </c>
      <c r="G925" s="3" t="str">
        <f>IF(OR(ISERROR(FIND("@",Hoja1!G925)),ISERROR(FIND(".",Hoja1!G925,FIND("@",Hoja1!G925)))),"Sí","No")</f>
        <v>No</v>
      </c>
      <c r="H925" s="3" t="str">
        <f>IF(LEN(Hoja1!F925)&lt;&gt;14,"Sí","No")</f>
        <v>No</v>
      </c>
      <c r="I925" s="3" t="str">
        <f>IF(Hoja1!C925&gt;Hoja1!H925,"Sí","No")</f>
        <v>No</v>
      </c>
      <c r="J925" s="3" t="str">
        <f>IF(SUMPRODUCT(--ISNUMBER(SEARCH({"0";"1";"2";"3";"4";"5";"6";"7";"8";"9"},Hoja1!D925)))=0,"Sí","No")</f>
        <v>No</v>
      </c>
      <c r="K925" s="3" t="str">
        <f t="shared" si="14"/>
        <v>No</v>
      </c>
    </row>
    <row r="926" spans="1:11" ht="15" customHeight="1" x14ac:dyDescent="0.3">
      <c r="A926" s="3" t="str">
        <f>Hoja1!A926</f>
        <v>C0925</v>
      </c>
      <c r="B926" s="3" t="str">
        <f>Hoja1!B926</f>
        <v>Andrés Felipe Cuevas</v>
      </c>
      <c r="C926" s="3" t="str">
        <f>IF(COUNTA(Hoja1!A926:I926)=0,"Sí","No")</f>
        <v>No</v>
      </c>
      <c r="D926" s="3" t="str">
        <f>IF(COUNTBLANK(Hoja1!A926:I926)&gt;0,"Sí","No")</f>
        <v>No</v>
      </c>
      <c r="E926" s="3" t="str">
        <f>IF(COUNTIF(Hoja1!$A$2:$A$1000,Hoja1!A926)&gt;1,"Sí","No")</f>
        <v>No</v>
      </c>
      <c r="F926" s="3" t="str">
        <f>IF(COUNTIF(Hoja1!$G$2:$G$1000,Hoja1!G926)&gt;1,"Sí","No")</f>
        <v>No</v>
      </c>
      <c r="G926" s="3" t="str">
        <f>IF(OR(ISERROR(FIND("@",Hoja1!G926)),ISERROR(FIND(".",Hoja1!G926,FIND("@",Hoja1!G926)))),"Sí","No")</f>
        <v>No</v>
      </c>
      <c r="H926" s="3" t="str">
        <f>IF(LEN(Hoja1!F926)&lt;&gt;14,"Sí","No")</f>
        <v>No</v>
      </c>
      <c r="I926" s="3" t="str">
        <f>IF(Hoja1!C926&gt;Hoja1!H926,"Sí","No")</f>
        <v>No</v>
      </c>
      <c r="J926" s="3" t="str">
        <f>IF(SUMPRODUCT(--ISNUMBER(SEARCH({"0";"1";"2";"3";"4";"5";"6";"7";"8";"9"},Hoja1!D926)))=0,"Sí","No")</f>
        <v>No</v>
      </c>
      <c r="K926" s="3" t="str">
        <f t="shared" si="14"/>
        <v>No</v>
      </c>
    </row>
    <row r="927" spans="1:11" ht="15" customHeight="1" x14ac:dyDescent="0.3">
      <c r="A927" s="3" t="str">
        <f>Hoja1!A927</f>
        <v>C0926</v>
      </c>
      <c r="B927" s="3" t="str">
        <f>Hoja1!B927</f>
        <v>Encarnación Fiol Domingo</v>
      </c>
      <c r="C927" s="3" t="str">
        <f>IF(COUNTA(Hoja1!A927:I927)=0,"Sí","No")</f>
        <v>No</v>
      </c>
      <c r="D927" s="3" t="str">
        <f>IF(COUNTBLANK(Hoja1!A927:I927)&gt;0,"Sí","No")</f>
        <v>No</v>
      </c>
      <c r="E927" s="3" t="str">
        <f>IF(COUNTIF(Hoja1!$A$2:$A$1000,Hoja1!A927)&gt;1,"Sí","No")</f>
        <v>No</v>
      </c>
      <c r="F927" s="3" t="str">
        <f>IF(COUNTIF(Hoja1!$G$2:$G$1000,Hoja1!G927)&gt;1,"Sí","No")</f>
        <v>No</v>
      </c>
      <c r="G927" s="3" t="str">
        <f>IF(OR(ISERROR(FIND("@",Hoja1!G927)),ISERROR(FIND(".",Hoja1!G927,FIND("@",Hoja1!G927)))),"Sí","No")</f>
        <v>No</v>
      </c>
      <c r="H927" s="3" t="str">
        <f>IF(LEN(Hoja1!F927)&lt;&gt;14,"Sí","No")</f>
        <v>No</v>
      </c>
      <c r="I927" s="3" t="str">
        <f>IF(Hoja1!C927&gt;Hoja1!H927,"Sí","No")</f>
        <v>No</v>
      </c>
      <c r="J927" s="3" t="str">
        <f>IF(SUMPRODUCT(--ISNUMBER(SEARCH({"0";"1";"2";"3";"4";"5";"6";"7";"8";"9"},Hoja1!D927)))=0,"Sí","No")</f>
        <v>No</v>
      </c>
      <c r="K927" s="3" t="str">
        <f t="shared" si="14"/>
        <v>No</v>
      </c>
    </row>
    <row r="928" spans="1:11" ht="15" customHeight="1" x14ac:dyDescent="0.3">
      <c r="A928" s="3" t="str">
        <f>Hoja1!A928</f>
        <v>C0927</v>
      </c>
      <c r="B928" s="3" t="str">
        <f>Hoja1!B928</f>
        <v>Fátima de Cisneros</v>
      </c>
      <c r="C928" s="3" t="str">
        <f>IF(COUNTA(Hoja1!A928:I928)=0,"Sí","No")</f>
        <v>No</v>
      </c>
      <c r="D928" s="3" t="str">
        <f>IF(COUNTBLANK(Hoja1!A928:I928)&gt;0,"Sí","No")</f>
        <v>No</v>
      </c>
      <c r="E928" s="3" t="str">
        <f>IF(COUNTIF(Hoja1!$A$2:$A$1000,Hoja1!A928)&gt;1,"Sí","No")</f>
        <v>No</v>
      </c>
      <c r="F928" s="3" t="str">
        <f>IF(COUNTIF(Hoja1!$G$2:$G$1000,Hoja1!G928)&gt;1,"Sí","No")</f>
        <v>No</v>
      </c>
      <c r="G928" s="3" t="str">
        <f>IF(OR(ISERROR(FIND("@",Hoja1!G928)),ISERROR(FIND(".",Hoja1!G928,FIND("@",Hoja1!G928)))),"Sí","No")</f>
        <v>No</v>
      </c>
      <c r="H928" s="3" t="str">
        <f>IF(LEN(Hoja1!F928)&lt;&gt;14,"Sí","No")</f>
        <v>No</v>
      </c>
      <c r="I928" s="3" t="str">
        <f>IF(Hoja1!C928&gt;Hoja1!H928,"Sí","No")</f>
        <v>No</v>
      </c>
      <c r="J928" s="3" t="str">
        <f>IF(SUMPRODUCT(--ISNUMBER(SEARCH({"0";"1";"2";"3";"4";"5";"6";"7";"8";"9"},Hoja1!D928)))=0,"Sí","No")</f>
        <v>No</v>
      </c>
      <c r="K928" s="3" t="str">
        <f t="shared" si="14"/>
        <v>No</v>
      </c>
    </row>
    <row r="929" spans="1:11" ht="15" customHeight="1" x14ac:dyDescent="0.3">
      <c r="A929" s="3" t="str">
        <f>Hoja1!A929</f>
        <v>C0928</v>
      </c>
      <c r="B929" s="3" t="str">
        <f>Hoja1!B929</f>
        <v>Maximino Vigil Morante</v>
      </c>
      <c r="C929" s="3" t="str">
        <f>IF(COUNTA(Hoja1!A929:I929)=0,"Sí","No")</f>
        <v>No</v>
      </c>
      <c r="D929" s="3" t="str">
        <f>IF(COUNTBLANK(Hoja1!A929:I929)&gt;0,"Sí","No")</f>
        <v>No</v>
      </c>
      <c r="E929" s="3" t="str">
        <f>IF(COUNTIF(Hoja1!$A$2:$A$1000,Hoja1!A929)&gt;1,"Sí","No")</f>
        <v>No</v>
      </c>
      <c r="F929" s="3" t="str">
        <f>IF(COUNTIF(Hoja1!$G$2:$G$1000,Hoja1!G929)&gt;1,"Sí","No")</f>
        <v>No</v>
      </c>
      <c r="G929" s="3" t="str">
        <f>IF(OR(ISERROR(FIND("@",Hoja1!G929)),ISERROR(FIND(".",Hoja1!G929,FIND("@",Hoja1!G929)))),"Sí","No")</f>
        <v>No</v>
      </c>
      <c r="H929" s="3" t="str">
        <f>IF(LEN(Hoja1!F929)&lt;&gt;14,"Sí","No")</f>
        <v>No</v>
      </c>
      <c r="I929" s="3" t="str">
        <f>IF(Hoja1!C929&gt;Hoja1!H929,"Sí","No")</f>
        <v>No</v>
      </c>
      <c r="J929" s="3" t="str">
        <f>IF(SUMPRODUCT(--ISNUMBER(SEARCH({"0";"1";"2";"3";"4";"5";"6";"7";"8";"9"},Hoja1!D929)))=0,"Sí","No")</f>
        <v>No</v>
      </c>
      <c r="K929" s="3" t="str">
        <f t="shared" si="14"/>
        <v>No</v>
      </c>
    </row>
    <row r="930" spans="1:11" ht="15" customHeight="1" x14ac:dyDescent="0.3">
      <c r="A930" s="3" t="str">
        <f>Hoja1!A930</f>
        <v>C0929</v>
      </c>
      <c r="B930" s="3" t="str">
        <f>Hoja1!B930</f>
        <v>María Luisa Antúnez Girón</v>
      </c>
      <c r="C930" s="3" t="str">
        <f>IF(COUNTA(Hoja1!A930:I930)=0,"Sí","No")</f>
        <v>No</v>
      </c>
      <c r="D930" s="3" t="str">
        <f>IF(COUNTBLANK(Hoja1!A930:I930)&gt;0,"Sí","No")</f>
        <v>No</v>
      </c>
      <c r="E930" s="3" t="str">
        <f>IF(COUNTIF(Hoja1!$A$2:$A$1000,Hoja1!A930)&gt;1,"Sí","No")</f>
        <v>No</v>
      </c>
      <c r="F930" s="3" t="str">
        <f>IF(COUNTIF(Hoja1!$G$2:$G$1000,Hoja1!G930)&gt;1,"Sí","No")</f>
        <v>No</v>
      </c>
      <c r="G930" s="3" t="str">
        <f>IF(OR(ISERROR(FIND("@",Hoja1!G930)),ISERROR(FIND(".",Hoja1!G930,FIND("@",Hoja1!G930)))),"Sí","No")</f>
        <v>No</v>
      </c>
      <c r="H930" s="3" t="str">
        <f>IF(LEN(Hoja1!F930)&lt;&gt;14,"Sí","No")</f>
        <v>No</v>
      </c>
      <c r="I930" s="3" t="str">
        <f>IF(Hoja1!C930&gt;Hoja1!H930,"Sí","No")</f>
        <v>No</v>
      </c>
      <c r="J930" s="3" t="str">
        <f>IF(SUMPRODUCT(--ISNUMBER(SEARCH({"0";"1";"2";"3";"4";"5";"6";"7";"8";"9"},Hoja1!D930)))=0,"Sí","No")</f>
        <v>No</v>
      </c>
      <c r="K930" s="3" t="str">
        <f t="shared" si="14"/>
        <v>No</v>
      </c>
    </row>
    <row r="931" spans="1:11" ht="15" customHeight="1" x14ac:dyDescent="0.3">
      <c r="A931" s="3" t="str">
        <f>Hoja1!A931</f>
        <v>C0930</v>
      </c>
      <c r="B931" s="3" t="str">
        <f>Hoja1!B931</f>
        <v>Beatriz Bello Godoy</v>
      </c>
      <c r="C931" s="3" t="str">
        <f>IF(COUNTA(Hoja1!A931:I931)=0,"Sí","No")</f>
        <v>No</v>
      </c>
      <c r="D931" s="3" t="str">
        <f>IF(COUNTBLANK(Hoja1!A931:I931)&gt;0,"Sí","No")</f>
        <v>No</v>
      </c>
      <c r="E931" s="3" t="str">
        <f>IF(COUNTIF(Hoja1!$A$2:$A$1000,Hoja1!A931)&gt;1,"Sí","No")</f>
        <v>No</v>
      </c>
      <c r="F931" s="3" t="str">
        <f>IF(COUNTIF(Hoja1!$G$2:$G$1000,Hoja1!G931)&gt;1,"Sí","No")</f>
        <v>No</v>
      </c>
      <c r="G931" s="3" t="str">
        <f>IF(OR(ISERROR(FIND("@",Hoja1!G931)),ISERROR(FIND(".",Hoja1!G931,FIND("@",Hoja1!G931)))),"Sí","No")</f>
        <v>No</v>
      </c>
      <c r="H931" s="3" t="str">
        <f>IF(LEN(Hoja1!F931)&lt;&gt;14,"Sí","No")</f>
        <v>No</v>
      </c>
      <c r="I931" s="3" t="str">
        <f>IF(Hoja1!C931&gt;Hoja1!H931,"Sí","No")</f>
        <v>No</v>
      </c>
      <c r="J931" s="3" t="str">
        <f>IF(SUMPRODUCT(--ISNUMBER(SEARCH({"0";"1";"2";"3";"4";"5";"6";"7";"8";"9"},Hoja1!D931)))=0,"Sí","No")</f>
        <v>No</v>
      </c>
      <c r="K931" s="3" t="str">
        <f t="shared" si="14"/>
        <v>No</v>
      </c>
    </row>
    <row r="932" spans="1:11" ht="15" customHeight="1" x14ac:dyDescent="0.3">
      <c r="A932" s="3" t="str">
        <f>Hoja1!A932</f>
        <v>C0931</v>
      </c>
      <c r="B932" s="3" t="str">
        <f>Hoja1!B932</f>
        <v>Eloísa Rosalina Pont Madrigal</v>
      </c>
      <c r="C932" s="3" t="str">
        <f>IF(COUNTA(Hoja1!A932:I932)=0,"Sí","No")</f>
        <v>No</v>
      </c>
      <c r="D932" s="3" t="str">
        <f>IF(COUNTBLANK(Hoja1!A932:I932)&gt;0,"Sí","No")</f>
        <v>No</v>
      </c>
      <c r="E932" s="3" t="str">
        <f>IF(COUNTIF(Hoja1!$A$2:$A$1000,Hoja1!A932)&gt;1,"Sí","No")</f>
        <v>No</v>
      </c>
      <c r="F932" s="3" t="str">
        <f>IF(COUNTIF(Hoja1!$G$2:$G$1000,Hoja1!G932)&gt;1,"Sí","No")</f>
        <v>No</v>
      </c>
      <c r="G932" s="3" t="str">
        <f>IF(OR(ISERROR(FIND("@",Hoja1!G932)),ISERROR(FIND(".",Hoja1!G932,FIND("@",Hoja1!G932)))),"Sí","No")</f>
        <v>No</v>
      </c>
      <c r="H932" s="3" t="str">
        <f>IF(LEN(Hoja1!F932)&lt;&gt;14,"Sí","No")</f>
        <v>No</v>
      </c>
      <c r="I932" s="3" t="str">
        <f>IF(Hoja1!C932&gt;Hoja1!H932,"Sí","No")</f>
        <v>No</v>
      </c>
      <c r="J932" s="3" t="str">
        <f>IF(SUMPRODUCT(--ISNUMBER(SEARCH({"0";"1";"2";"3";"4";"5";"6";"7";"8";"9"},Hoja1!D932)))=0,"Sí","No")</f>
        <v>No</v>
      </c>
      <c r="K932" s="3" t="str">
        <f t="shared" si="14"/>
        <v>No</v>
      </c>
    </row>
    <row r="933" spans="1:11" ht="15" customHeight="1" x14ac:dyDescent="0.3">
      <c r="A933" s="3" t="str">
        <f>Hoja1!A933</f>
        <v>C0932</v>
      </c>
      <c r="B933" s="3" t="str">
        <f>Hoja1!B933</f>
        <v>Ibán Rios Calvet</v>
      </c>
      <c r="C933" s="3" t="str">
        <f>IF(COUNTA(Hoja1!A933:I933)=0,"Sí","No")</f>
        <v>No</v>
      </c>
      <c r="D933" s="3" t="str">
        <f>IF(COUNTBLANK(Hoja1!A933:I933)&gt;0,"Sí","No")</f>
        <v>No</v>
      </c>
      <c r="E933" s="3" t="str">
        <f>IF(COUNTIF(Hoja1!$A$2:$A$1000,Hoja1!A933)&gt;1,"Sí","No")</f>
        <v>No</v>
      </c>
      <c r="F933" s="3" t="str">
        <f>IF(COUNTIF(Hoja1!$G$2:$G$1000,Hoja1!G933)&gt;1,"Sí","No")</f>
        <v>No</v>
      </c>
      <c r="G933" s="3" t="str">
        <f>IF(OR(ISERROR(FIND("@",Hoja1!G933)),ISERROR(FIND(".",Hoja1!G933,FIND("@",Hoja1!G933)))),"Sí","No")</f>
        <v>No</v>
      </c>
      <c r="H933" s="3" t="str">
        <f>IF(LEN(Hoja1!F933)&lt;&gt;14,"Sí","No")</f>
        <v>No</v>
      </c>
      <c r="I933" s="3" t="str">
        <f>IF(Hoja1!C933&gt;Hoja1!H933,"Sí","No")</f>
        <v>No</v>
      </c>
      <c r="J933" s="3" t="str">
        <f>IF(SUMPRODUCT(--ISNUMBER(SEARCH({"0";"1";"2";"3";"4";"5";"6";"7";"8";"9"},Hoja1!D933)))=0,"Sí","No")</f>
        <v>No</v>
      </c>
      <c r="K933" s="3" t="str">
        <f t="shared" si="14"/>
        <v>No</v>
      </c>
    </row>
    <row r="934" spans="1:11" ht="15" customHeight="1" x14ac:dyDescent="0.3">
      <c r="A934" s="3" t="str">
        <f>Hoja1!A934</f>
        <v>C0933</v>
      </c>
      <c r="B934" s="3" t="str">
        <f>Hoja1!B934</f>
        <v>Rufino Mascaró-Borrell</v>
      </c>
      <c r="C934" s="3" t="str">
        <f>IF(COUNTA(Hoja1!A934:I934)=0,"Sí","No")</f>
        <v>No</v>
      </c>
      <c r="D934" s="3" t="str">
        <f>IF(COUNTBLANK(Hoja1!A934:I934)&gt;0,"Sí","No")</f>
        <v>No</v>
      </c>
      <c r="E934" s="3" t="str">
        <f>IF(COUNTIF(Hoja1!$A$2:$A$1000,Hoja1!A934)&gt;1,"Sí","No")</f>
        <v>No</v>
      </c>
      <c r="F934" s="3" t="str">
        <f>IF(COUNTIF(Hoja1!$G$2:$G$1000,Hoja1!G934)&gt;1,"Sí","No")</f>
        <v>No</v>
      </c>
      <c r="G934" s="3" t="str">
        <f>IF(OR(ISERROR(FIND("@",Hoja1!G934)),ISERROR(FIND(".",Hoja1!G934,FIND("@",Hoja1!G934)))),"Sí","No")</f>
        <v>No</v>
      </c>
      <c r="H934" s="3" t="str">
        <f>IF(LEN(Hoja1!F934)&lt;&gt;14,"Sí","No")</f>
        <v>No</v>
      </c>
      <c r="I934" s="3" t="str">
        <f>IF(Hoja1!C934&gt;Hoja1!H934,"Sí","No")</f>
        <v>No</v>
      </c>
      <c r="J934" s="3" t="str">
        <f>IF(SUMPRODUCT(--ISNUMBER(SEARCH({"0";"1";"2";"3";"4";"5";"6";"7";"8";"9"},Hoja1!D934)))=0,"Sí","No")</f>
        <v>No</v>
      </c>
      <c r="K934" s="3" t="str">
        <f t="shared" si="14"/>
        <v>No</v>
      </c>
    </row>
    <row r="935" spans="1:11" ht="15" customHeight="1" x14ac:dyDescent="0.3">
      <c r="A935" s="3" t="str">
        <f>Hoja1!A935</f>
        <v>C0934</v>
      </c>
      <c r="B935" s="3" t="str">
        <f>Hoja1!B935</f>
        <v>Félix Paredes Mulet</v>
      </c>
      <c r="C935" s="3" t="str">
        <f>IF(COUNTA(Hoja1!A935:I935)=0,"Sí","No")</f>
        <v>No</v>
      </c>
      <c r="D935" s="3" t="str">
        <f>IF(COUNTBLANK(Hoja1!A935:I935)&gt;0,"Sí","No")</f>
        <v>No</v>
      </c>
      <c r="E935" s="3" t="str">
        <f>IF(COUNTIF(Hoja1!$A$2:$A$1000,Hoja1!A935)&gt;1,"Sí","No")</f>
        <v>No</v>
      </c>
      <c r="F935" s="3" t="str">
        <f>IF(COUNTIF(Hoja1!$G$2:$G$1000,Hoja1!G935)&gt;1,"Sí","No")</f>
        <v>No</v>
      </c>
      <c r="G935" s="3" t="str">
        <f>IF(OR(ISERROR(FIND("@",Hoja1!G935)),ISERROR(FIND(".",Hoja1!G935,FIND("@",Hoja1!G935)))),"Sí","No")</f>
        <v>No</v>
      </c>
      <c r="H935" s="3" t="str">
        <f>IF(LEN(Hoja1!F935)&lt;&gt;14,"Sí","No")</f>
        <v>No</v>
      </c>
      <c r="I935" s="3" t="str">
        <f>IF(Hoja1!C935&gt;Hoja1!H935,"Sí","No")</f>
        <v>No</v>
      </c>
      <c r="J935" s="3" t="str">
        <f>IF(SUMPRODUCT(--ISNUMBER(SEARCH({"0";"1";"2";"3";"4";"5";"6";"7";"8";"9"},Hoja1!D935)))=0,"Sí","No")</f>
        <v>No</v>
      </c>
      <c r="K935" s="3" t="str">
        <f t="shared" si="14"/>
        <v>No</v>
      </c>
    </row>
    <row r="936" spans="1:11" ht="15" customHeight="1" x14ac:dyDescent="0.3">
      <c r="A936" s="3" t="str">
        <f>Hoja1!A936</f>
        <v>C0935</v>
      </c>
      <c r="B936" s="3" t="str">
        <f>Hoja1!B936</f>
        <v>Lucho Aznar</v>
      </c>
      <c r="C936" s="3" t="str">
        <f>IF(COUNTA(Hoja1!A936:I936)=0,"Sí","No")</f>
        <v>No</v>
      </c>
      <c r="D936" s="3" t="str">
        <f>IF(COUNTBLANK(Hoja1!A936:I936)&gt;0,"Sí","No")</f>
        <v>No</v>
      </c>
      <c r="E936" s="3" t="str">
        <f>IF(COUNTIF(Hoja1!$A$2:$A$1000,Hoja1!A936)&gt;1,"Sí","No")</f>
        <v>No</v>
      </c>
      <c r="F936" s="3" t="str">
        <f>IF(COUNTIF(Hoja1!$G$2:$G$1000,Hoja1!G936)&gt;1,"Sí","No")</f>
        <v>No</v>
      </c>
      <c r="G936" s="3" t="str">
        <f>IF(OR(ISERROR(FIND("@",Hoja1!G936)),ISERROR(FIND(".",Hoja1!G936,FIND("@",Hoja1!G936)))),"Sí","No")</f>
        <v>No</v>
      </c>
      <c r="H936" s="3" t="str">
        <f>IF(LEN(Hoja1!F936)&lt;&gt;14,"Sí","No")</f>
        <v>No</v>
      </c>
      <c r="I936" s="3" t="str">
        <f>IF(Hoja1!C936&gt;Hoja1!H936,"Sí","No")</f>
        <v>No</v>
      </c>
      <c r="J936" s="3" t="str">
        <f>IF(SUMPRODUCT(--ISNUMBER(SEARCH({"0";"1";"2";"3";"4";"5";"6";"7";"8";"9"},Hoja1!D936)))=0,"Sí","No")</f>
        <v>No</v>
      </c>
      <c r="K936" s="3" t="str">
        <f t="shared" si="14"/>
        <v>No</v>
      </c>
    </row>
    <row r="937" spans="1:11" ht="15" customHeight="1" x14ac:dyDescent="0.3">
      <c r="A937" s="3" t="str">
        <f>Hoja1!A937</f>
        <v>C0936</v>
      </c>
      <c r="B937" s="3" t="str">
        <f>Hoja1!B937</f>
        <v>Encarnacion del Aguiló</v>
      </c>
      <c r="C937" s="3" t="str">
        <f>IF(COUNTA(Hoja1!A937:I937)=0,"Sí","No")</f>
        <v>No</v>
      </c>
      <c r="D937" s="3" t="str">
        <f>IF(COUNTBLANK(Hoja1!A937:I937)&gt;0,"Sí","No")</f>
        <v>No</v>
      </c>
      <c r="E937" s="3" t="str">
        <f>IF(COUNTIF(Hoja1!$A$2:$A$1000,Hoja1!A937)&gt;1,"Sí","No")</f>
        <v>No</v>
      </c>
      <c r="F937" s="3" t="str">
        <f>IF(COUNTIF(Hoja1!$G$2:$G$1000,Hoja1!G937)&gt;1,"Sí","No")</f>
        <v>No</v>
      </c>
      <c r="G937" s="3" t="str">
        <f>IF(OR(ISERROR(FIND("@",Hoja1!G937)),ISERROR(FIND(".",Hoja1!G937,FIND("@",Hoja1!G937)))),"Sí","No")</f>
        <v>No</v>
      </c>
      <c r="H937" s="3" t="str">
        <f>IF(LEN(Hoja1!F937)&lt;&gt;14,"Sí","No")</f>
        <v>No</v>
      </c>
      <c r="I937" s="3" t="str">
        <f>IF(Hoja1!C937&gt;Hoja1!H937,"Sí","No")</f>
        <v>No</v>
      </c>
      <c r="J937" s="3" t="str">
        <f>IF(SUMPRODUCT(--ISNUMBER(SEARCH({"0";"1";"2";"3";"4";"5";"6";"7";"8";"9"},Hoja1!D937)))=0,"Sí","No")</f>
        <v>No</v>
      </c>
      <c r="K937" s="3" t="str">
        <f t="shared" si="14"/>
        <v>No</v>
      </c>
    </row>
    <row r="938" spans="1:11" ht="15" customHeight="1" x14ac:dyDescent="0.3">
      <c r="A938" s="3" t="str">
        <f>Hoja1!A938</f>
        <v>C0937</v>
      </c>
      <c r="B938" s="3" t="str">
        <f>Hoja1!B938</f>
        <v>Juan Bautista de Campos</v>
      </c>
      <c r="C938" s="3" t="str">
        <f>IF(COUNTA(Hoja1!A938:I938)=0,"Sí","No")</f>
        <v>No</v>
      </c>
      <c r="D938" s="3" t="str">
        <f>IF(COUNTBLANK(Hoja1!A938:I938)&gt;0,"Sí","No")</f>
        <v>No</v>
      </c>
      <c r="E938" s="3" t="str">
        <f>IF(COUNTIF(Hoja1!$A$2:$A$1000,Hoja1!A938)&gt;1,"Sí","No")</f>
        <v>No</v>
      </c>
      <c r="F938" s="3" t="str">
        <f>IF(COUNTIF(Hoja1!$G$2:$G$1000,Hoja1!G938)&gt;1,"Sí","No")</f>
        <v>No</v>
      </c>
      <c r="G938" s="3" t="str">
        <f>IF(OR(ISERROR(FIND("@",Hoja1!G938)),ISERROR(FIND(".",Hoja1!G938,FIND("@",Hoja1!G938)))),"Sí","No")</f>
        <v>No</v>
      </c>
      <c r="H938" s="3" t="str">
        <f>IF(LEN(Hoja1!F938)&lt;&gt;14,"Sí","No")</f>
        <v>No</v>
      </c>
      <c r="I938" s="3" t="str">
        <f>IF(Hoja1!C938&gt;Hoja1!H938,"Sí","No")</f>
        <v>No</v>
      </c>
      <c r="J938" s="3" t="str">
        <f>IF(SUMPRODUCT(--ISNUMBER(SEARCH({"0";"1";"2";"3";"4";"5";"6";"7";"8";"9"},Hoja1!D938)))=0,"Sí","No")</f>
        <v>No</v>
      </c>
      <c r="K938" s="3" t="str">
        <f t="shared" si="14"/>
        <v>No</v>
      </c>
    </row>
    <row r="939" spans="1:11" ht="15" customHeight="1" x14ac:dyDescent="0.3">
      <c r="A939" s="3" t="str">
        <f>Hoja1!A939</f>
        <v>C0938</v>
      </c>
      <c r="B939" s="3" t="str">
        <f>Hoja1!B939</f>
        <v>Leonor Ugarte Salas</v>
      </c>
      <c r="C939" s="3" t="str">
        <f>IF(COUNTA(Hoja1!A939:I939)=0,"Sí","No")</f>
        <v>No</v>
      </c>
      <c r="D939" s="3" t="str">
        <f>IF(COUNTBLANK(Hoja1!A939:I939)&gt;0,"Sí","No")</f>
        <v>No</v>
      </c>
      <c r="E939" s="3" t="str">
        <f>IF(COUNTIF(Hoja1!$A$2:$A$1000,Hoja1!A939)&gt;1,"Sí","No")</f>
        <v>No</v>
      </c>
      <c r="F939" s="3" t="str">
        <f>IF(COUNTIF(Hoja1!$G$2:$G$1000,Hoja1!G939)&gt;1,"Sí","No")</f>
        <v>No</v>
      </c>
      <c r="G939" s="3" t="str">
        <f>IF(OR(ISERROR(FIND("@",Hoja1!G939)),ISERROR(FIND(".",Hoja1!G939,FIND("@",Hoja1!G939)))),"Sí","No")</f>
        <v>No</v>
      </c>
      <c r="H939" s="3" t="str">
        <f>IF(LEN(Hoja1!F939)&lt;&gt;14,"Sí","No")</f>
        <v>No</v>
      </c>
      <c r="I939" s="3" t="str">
        <f>IF(Hoja1!C939&gt;Hoja1!H939,"Sí","No")</f>
        <v>No</v>
      </c>
      <c r="J939" s="3" t="str">
        <f>IF(SUMPRODUCT(--ISNUMBER(SEARCH({"0";"1";"2";"3";"4";"5";"6";"7";"8";"9"},Hoja1!D939)))=0,"Sí","No")</f>
        <v>No</v>
      </c>
      <c r="K939" s="3" t="str">
        <f t="shared" si="14"/>
        <v>No</v>
      </c>
    </row>
    <row r="940" spans="1:11" ht="15" customHeight="1" x14ac:dyDescent="0.3">
      <c r="A940" s="3" t="str">
        <f>Hoja1!A940</f>
        <v>C0939</v>
      </c>
      <c r="B940" s="3" t="str">
        <f>Hoja1!B940</f>
        <v>Hermenegildo de Tolosa</v>
      </c>
      <c r="C940" s="3" t="str">
        <f>IF(COUNTA(Hoja1!A940:I940)=0,"Sí","No")</f>
        <v>No</v>
      </c>
      <c r="D940" s="3" t="str">
        <f>IF(COUNTBLANK(Hoja1!A940:I940)&gt;0,"Sí","No")</f>
        <v>No</v>
      </c>
      <c r="E940" s="3" t="str">
        <f>IF(COUNTIF(Hoja1!$A$2:$A$1000,Hoja1!A940)&gt;1,"Sí","No")</f>
        <v>No</v>
      </c>
      <c r="F940" s="3" t="str">
        <f>IF(COUNTIF(Hoja1!$G$2:$G$1000,Hoja1!G940)&gt;1,"Sí","No")</f>
        <v>No</v>
      </c>
      <c r="G940" s="3" t="str">
        <f>IF(OR(ISERROR(FIND("@",Hoja1!G940)),ISERROR(FIND(".",Hoja1!G940,FIND("@",Hoja1!G940)))),"Sí","No")</f>
        <v>No</v>
      </c>
      <c r="H940" s="3" t="str">
        <f>IF(LEN(Hoja1!F940)&lt;&gt;14,"Sí","No")</f>
        <v>No</v>
      </c>
      <c r="I940" s="3" t="str">
        <f>IF(Hoja1!C940&gt;Hoja1!H940,"Sí","No")</f>
        <v>No</v>
      </c>
      <c r="J940" s="3" t="str">
        <f>IF(SUMPRODUCT(--ISNUMBER(SEARCH({"0";"1";"2";"3";"4";"5";"6";"7";"8";"9"},Hoja1!D940)))=0,"Sí","No")</f>
        <v>No</v>
      </c>
      <c r="K940" s="3" t="str">
        <f t="shared" si="14"/>
        <v>No</v>
      </c>
    </row>
    <row r="941" spans="1:11" ht="15" customHeight="1" x14ac:dyDescent="0.3">
      <c r="A941" s="3" t="str">
        <f>Hoja1!A941</f>
        <v>C0940</v>
      </c>
      <c r="B941" s="3" t="str">
        <f>Hoja1!B941</f>
        <v>Lisandro Benavides Barba</v>
      </c>
      <c r="C941" s="3" t="str">
        <f>IF(COUNTA(Hoja1!A941:I941)=0,"Sí","No")</f>
        <v>No</v>
      </c>
      <c r="D941" s="3" t="str">
        <f>IF(COUNTBLANK(Hoja1!A941:I941)&gt;0,"Sí","No")</f>
        <v>No</v>
      </c>
      <c r="E941" s="3" t="str">
        <f>IF(COUNTIF(Hoja1!$A$2:$A$1000,Hoja1!A941)&gt;1,"Sí","No")</f>
        <v>No</v>
      </c>
      <c r="F941" s="3" t="str">
        <f>IF(COUNTIF(Hoja1!$G$2:$G$1000,Hoja1!G941)&gt;1,"Sí","No")</f>
        <v>No</v>
      </c>
      <c r="G941" s="3" t="str">
        <f>IF(OR(ISERROR(FIND("@",Hoja1!G941)),ISERROR(FIND(".",Hoja1!G941,FIND("@",Hoja1!G941)))),"Sí","No")</f>
        <v>No</v>
      </c>
      <c r="H941" s="3" t="str">
        <f>IF(LEN(Hoja1!F941)&lt;&gt;14,"Sí","No")</f>
        <v>No</v>
      </c>
      <c r="I941" s="3" t="str">
        <f>IF(Hoja1!C941&gt;Hoja1!H941,"Sí","No")</f>
        <v>No</v>
      </c>
      <c r="J941" s="3" t="str">
        <f>IF(SUMPRODUCT(--ISNUMBER(SEARCH({"0";"1";"2";"3";"4";"5";"6";"7";"8";"9"},Hoja1!D941)))=0,"Sí","No")</f>
        <v>No</v>
      </c>
      <c r="K941" s="3" t="str">
        <f t="shared" si="14"/>
        <v>No</v>
      </c>
    </row>
    <row r="942" spans="1:11" ht="15" customHeight="1" x14ac:dyDescent="0.3">
      <c r="A942" s="3" t="str">
        <f>Hoja1!A942</f>
        <v>C0941</v>
      </c>
      <c r="B942" s="3" t="str">
        <f>Hoja1!B942</f>
        <v>Zacarías Milla Fernandez</v>
      </c>
      <c r="C942" s="3" t="str">
        <f>IF(COUNTA(Hoja1!A942:I942)=0,"Sí","No")</f>
        <v>No</v>
      </c>
      <c r="D942" s="3" t="str">
        <f>IF(COUNTBLANK(Hoja1!A942:I942)&gt;0,"Sí","No")</f>
        <v>No</v>
      </c>
      <c r="E942" s="3" t="str">
        <f>IF(COUNTIF(Hoja1!$A$2:$A$1000,Hoja1!A942)&gt;1,"Sí","No")</f>
        <v>No</v>
      </c>
      <c r="F942" s="3" t="str">
        <f>IF(COUNTIF(Hoja1!$G$2:$G$1000,Hoja1!G942)&gt;1,"Sí","No")</f>
        <v>No</v>
      </c>
      <c r="G942" s="3" t="str">
        <f>IF(OR(ISERROR(FIND("@",Hoja1!G942)),ISERROR(FIND(".",Hoja1!G942,FIND("@",Hoja1!G942)))),"Sí","No")</f>
        <v>No</v>
      </c>
      <c r="H942" s="3" t="str">
        <f>IF(LEN(Hoja1!F942)&lt;&gt;14,"Sí","No")</f>
        <v>No</v>
      </c>
      <c r="I942" s="3" t="str">
        <f>IF(Hoja1!C942&gt;Hoja1!H942,"Sí","No")</f>
        <v>No</v>
      </c>
      <c r="J942" s="3" t="str">
        <f>IF(SUMPRODUCT(--ISNUMBER(SEARCH({"0";"1";"2";"3";"4";"5";"6";"7";"8";"9"},Hoja1!D942)))=0,"Sí","No")</f>
        <v>No</v>
      </c>
      <c r="K942" s="3" t="str">
        <f t="shared" si="14"/>
        <v>No</v>
      </c>
    </row>
    <row r="943" spans="1:11" ht="15" customHeight="1" x14ac:dyDescent="0.3">
      <c r="A943" s="3" t="str">
        <f>Hoja1!A943</f>
        <v>C0942</v>
      </c>
      <c r="B943" s="3" t="str">
        <f>Hoja1!B943</f>
        <v>Leyre Ponce-Quintana</v>
      </c>
      <c r="C943" s="3" t="str">
        <f>IF(COUNTA(Hoja1!A943:I943)=0,"Sí","No")</f>
        <v>No</v>
      </c>
      <c r="D943" s="3" t="str">
        <f>IF(COUNTBLANK(Hoja1!A943:I943)&gt;0,"Sí","No")</f>
        <v>No</v>
      </c>
      <c r="E943" s="3" t="str">
        <f>IF(COUNTIF(Hoja1!$A$2:$A$1000,Hoja1!A943)&gt;1,"Sí","No")</f>
        <v>No</v>
      </c>
      <c r="F943" s="3" t="str">
        <f>IF(COUNTIF(Hoja1!$G$2:$G$1000,Hoja1!G943)&gt;1,"Sí","No")</f>
        <v>No</v>
      </c>
      <c r="G943" s="3" t="str">
        <f>IF(OR(ISERROR(FIND("@",Hoja1!G943)),ISERROR(FIND(".",Hoja1!G943,FIND("@",Hoja1!G943)))),"Sí","No")</f>
        <v>No</v>
      </c>
      <c r="H943" s="3" t="str">
        <f>IF(LEN(Hoja1!F943)&lt;&gt;14,"Sí","No")</f>
        <v>No</v>
      </c>
      <c r="I943" s="3" t="str">
        <f>IF(Hoja1!C943&gt;Hoja1!H943,"Sí","No")</f>
        <v>No</v>
      </c>
      <c r="J943" s="3" t="str">
        <f>IF(SUMPRODUCT(--ISNUMBER(SEARCH({"0";"1";"2";"3";"4";"5";"6";"7";"8";"9"},Hoja1!D943)))=0,"Sí","No")</f>
        <v>No</v>
      </c>
      <c r="K943" s="3" t="str">
        <f t="shared" si="14"/>
        <v>No</v>
      </c>
    </row>
    <row r="944" spans="1:11" ht="15" customHeight="1" x14ac:dyDescent="0.3">
      <c r="A944" s="3" t="str">
        <f>Hoja1!A944</f>
        <v>C0943</v>
      </c>
      <c r="B944" s="3" t="str">
        <f>Hoja1!B944</f>
        <v>Palmira Moreno Manzanares</v>
      </c>
      <c r="C944" s="3" t="str">
        <f>IF(COUNTA(Hoja1!A944:I944)=0,"Sí","No")</f>
        <v>No</v>
      </c>
      <c r="D944" s="3" t="str">
        <f>IF(COUNTBLANK(Hoja1!A944:I944)&gt;0,"Sí","No")</f>
        <v>No</v>
      </c>
      <c r="E944" s="3" t="str">
        <f>IF(COUNTIF(Hoja1!$A$2:$A$1000,Hoja1!A944)&gt;1,"Sí","No")</f>
        <v>No</v>
      </c>
      <c r="F944" s="3" t="str">
        <f>IF(COUNTIF(Hoja1!$G$2:$G$1000,Hoja1!G944)&gt;1,"Sí","No")</f>
        <v>No</v>
      </c>
      <c r="G944" s="3" t="str">
        <f>IF(OR(ISERROR(FIND("@",Hoja1!G944)),ISERROR(FIND(".",Hoja1!G944,FIND("@",Hoja1!G944)))),"Sí","No")</f>
        <v>No</v>
      </c>
      <c r="H944" s="3" t="str">
        <f>IF(LEN(Hoja1!F944)&lt;&gt;14,"Sí","No")</f>
        <v>No</v>
      </c>
      <c r="I944" s="3" t="str">
        <f>IF(Hoja1!C944&gt;Hoja1!H944,"Sí","No")</f>
        <v>No</v>
      </c>
      <c r="J944" s="3" t="str">
        <f>IF(SUMPRODUCT(--ISNUMBER(SEARCH({"0";"1";"2";"3";"4";"5";"6";"7";"8";"9"},Hoja1!D944)))=0,"Sí","No")</f>
        <v>No</v>
      </c>
      <c r="K944" s="3" t="str">
        <f t="shared" si="14"/>
        <v>No</v>
      </c>
    </row>
    <row r="945" spans="1:11" ht="15" customHeight="1" x14ac:dyDescent="0.3">
      <c r="A945" s="3" t="str">
        <f>Hoja1!A945</f>
        <v>C0944</v>
      </c>
      <c r="B945" s="3" t="str">
        <f>Hoja1!B945</f>
        <v>Amancio Bermúdez Flor</v>
      </c>
      <c r="C945" s="3" t="str">
        <f>IF(COUNTA(Hoja1!A945:I945)=0,"Sí","No")</f>
        <v>No</v>
      </c>
      <c r="D945" s="3" t="str">
        <f>IF(COUNTBLANK(Hoja1!A945:I945)&gt;0,"Sí","No")</f>
        <v>No</v>
      </c>
      <c r="E945" s="3" t="str">
        <f>IF(COUNTIF(Hoja1!$A$2:$A$1000,Hoja1!A945)&gt;1,"Sí","No")</f>
        <v>No</v>
      </c>
      <c r="F945" s="3" t="str">
        <f>IF(COUNTIF(Hoja1!$G$2:$G$1000,Hoja1!G945)&gt;1,"Sí","No")</f>
        <v>No</v>
      </c>
      <c r="G945" s="3" t="str">
        <f>IF(OR(ISERROR(FIND("@",Hoja1!G945)),ISERROR(FIND(".",Hoja1!G945,FIND("@",Hoja1!G945)))),"Sí","No")</f>
        <v>No</v>
      </c>
      <c r="H945" s="3" t="str">
        <f>IF(LEN(Hoja1!F945)&lt;&gt;14,"Sí","No")</f>
        <v>No</v>
      </c>
      <c r="I945" s="3" t="str">
        <f>IF(Hoja1!C945&gt;Hoja1!H945,"Sí","No")</f>
        <v>No</v>
      </c>
      <c r="J945" s="3" t="str">
        <f>IF(SUMPRODUCT(--ISNUMBER(SEARCH({"0";"1";"2";"3";"4";"5";"6";"7";"8";"9"},Hoja1!D945)))=0,"Sí","No")</f>
        <v>No</v>
      </c>
      <c r="K945" s="3" t="str">
        <f t="shared" si="14"/>
        <v>No</v>
      </c>
    </row>
    <row r="946" spans="1:11" ht="15" customHeight="1" x14ac:dyDescent="0.3">
      <c r="A946" s="3" t="str">
        <f>Hoja1!A946</f>
        <v>C0945</v>
      </c>
      <c r="B946" s="3" t="str">
        <f>Hoja1!B946</f>
        <v>Baltasar Téllez Vargas</v>
      </c>
      <c r="C946" s="3" t="str">
        <f>IF(COUNTA(Hoja1!A946:I946)=0,"Sí","No")</f>
        <v>No</v>
      </c>
      <c r="D946" s="3" t="str">
        <f>IF(COUNTBLANK(Hoja1!A946:I946)&gt;0,"Sí","No")</f>
        <v>No</v>
      </c>
      <c r="E946" s="3" t="str">
        <f>IF(COUNTIF(Hoja1!$A$2:$A$1000,Hoja1!A946)&gt;1,"Sí","No")</f>
        <v>No</v>
      </c>
      <c r="F946" s="3" t="str">
        <f>IF(COUNTIF(Hoja1!$G$2:$G$1000,Hoja1!G946)&gt;1,"Sí","No")</f>
        <v>No</v>
      </c>
      <c r="G946" s="3" t="str">
        <f>IF(OR(ISERROR(FIND("@",Hoja1!G946)),ISERROR(FIND(".",Hoja1!G946,FIND("@",Hoja1!G946)))),"Sí","No")</f>
        <v>No</v>
      </c>
      <c r="H946" s="3" t="str">
        <f>IF(LEN(Hoja1!F946)&lt;&gt;14,"Sí","No")</f>
        <v>No</v>
      </c>
      <c r="I946" s="3" t="str">
        <f>IF(Hoja1!C946&gt;Hoja1!H946,"Sí","No")</f>
        <v>No</v>
      </c>
      <c r="J946" s="3" t="str">
        <f>IF(SUMPRODUCT(--ISNUMBER(SEARCH({"0";"1";"2";"3";"4";"5";"6";"7";"8";"9"},Hoja1!D946)))=0,"Sí","No")</f>
        <v>No</v>
      </c>
      <c r="K946" s="3" t="str">
        <f t="shared" si="14"/>
        <v>No</v>
      </c>
    </row>
    <row r="947" spans="1:11" ht="15" customHeight="1" x14ac:dyDescent="0.3">
      <c r="A947" s="3" t="str">
        <f>Hoja1!A947</f>
        <v>C0946</v>
      </c>
      <c r="B947" s="3" t="str">
        <f>Hoja1!B947</f>
        <v>María Fernanda Delia Rovira Taboada</v>
      </c>
      <c r="C947" s="3" t="str">
        <f>IF(COUNTA(Hoja1!A947:I947)=0,"Sí","No")</f>
        <v>No</v>
      </c>
      <c r="D947" s="3" t="str">
        <f>IF(COUNTBLANK(Hoja1!A947:I947)&gt;0,"Sí","No")</f>
        <v>No</v>
      </c>
      <c r="E947" s="3" t="str">
        <f>IF(COUNTIF(Hoja1!$A$2:$A$1000,Hoja1!A947)&gt;1,"Sí","No")</f>
        <v>No</v>
      </c>
      <c r="F947" s="3" t="str">
        <f>IF(COUNTIF(Hoja1!$G$2:$G$1000,Hoja1!G947)&gt;1,"Sí","No")</f>
        <v>No</v>
      </c>
      <c r="G947" s="3" t="str">
        <f>IF(OR(ISERROR(FIND("@",Hoja1!G947)),ISERROR(FIND(".",Hoja1!G947,FIND("@",Hoja1!G947)))),"Sí","No")</f>
        <v>No</v>
      </c>
      <c r="H947" s="3" t="str">
        <f>IF(LEN(Hoja1!F947)&lt;&gt;14,"Sí","No")</f>
        <v>No</v>
      </c>
      <c r="I947" s="3" t="str">
        <f>IF(Hoja1!C947&gt;Hoja1!H947,"Sí","No")</f>
        <v>No</v>
      </c>
      <c r="J947" s="3" t="str">
        <f>IF(SUMPRODUCT(--ISNUMBER(SEARCH({"0";"1";"2";"3";"4";"5";"6";"7";"8";"9"},Hoja1!D947)))=0,"Sí","No")</f>
        <v>No</v>
      </c>
      <c r="K947" s="3" t="str">
        <f t="shared" si="14"/>
        <v>No</v>
      </c>
    </row>
    <row r="948" spans="1:11" ht="15" customHeight="1" x14ac:dyDescent="0.3">
      <c r="A948" s="3" t="str">
        <f>Hoja1!A948</f>
        <v>C0947</v>
      </c>
      <c r="B948" s="3" t="str">
        <f>Hoja1!B948</f>
        <v>Héctor Galván</v>
      </c>
      <c r="C948" s="3" t="str">
        <f>IF(COUNTA(Hoja1!A948:I948)=0,"Sí","No")</f>
        <v>No</v>
      </c>
      <c r="D948" s="3" t="str">
        <f>IF(COUNTBLANK(Hoja1!A948:I948)&gt;0,"Sí","No")</f>
        <v>No</v>
      </c>
      <c r="E948" s="3" t="str">
        <f>IF(COUNTIF(Hoja1!$A$2:$A$1000,Hoja1!A948)&gt;1,"Sí","No")</f>
        <v>No</v>
      </c>
      <c r="F948" s="3" t="str">
        <f>IF(COUNTIF(Hoja1!$G$2:$G$1000,Hoja1!G948)&gt;1,"Sí","No")</f>
        <v>No</v>
      </c>
      <c r="G948" s="3" t="str">
        <f>IF(OR(ISERROR(FIND("@",Hoja1!G948)),ISERROR(FIND(".",Hoja1!G948,FIND("@",Hoja1!G948)))),"Sí","No")</f>
        <v>No</v>
      </c>
      <c r="H948" s="3" t="str">
        <f>IF(LEN(Hoja1!F948)&lt;&gt;14,"Sí","No")</f>
        <v>No</v>
      </c>
      <c r="I948" s="3" t="str">
        <f>IF(Hoja1!C948&gt;Hoja1!H948,"Sí","No")</f>
        <v>No</v>
      </c>
      <c r="J948" s="3" t="str">
        <f>IF(SUMPRODUCT(--ISNUMBER(SEARCH({"0";"1";"2";"3";"4";"5";"6";"7";"8";"9"},Hoja1!D948)))=0,"Sí","No")</f>
        <v>No</v>
      </c>
      <c r="K948" s="3" t="str">
        <f t="shared" si="14"/>
        <v>No</v>
      </c>
    </row>
    <row r="949" spans="1:11" ht="15" customHeight="1" x14ac:dyDescent="0.3">
      <c r="A949" s="3" t="str">
        <f>Hoja1!A949</f>
        <v>C0948</v>
      </c>
      <c r="B949" s="3" t="str">
        <f>Hoja1!B949</f>
        <v>Matías Rincón-Roldan</v>
      </c>
      <c r="C949" s="3" t="str">
        <f>IF(COUNTA(Hoja1!A949:I949)=0,"Sí","No")</f>
        <v>No</v>
      </c>
      <c r="D949" s="3" t="str">
        <f>IF(COUNTBLANK(Hoja1!A949:I949)&gt;0,"Sí","No")</f>
        <v>No</v>
      </c>
      <c r="E949" s="3" t="str">
        <f>IF(COUNTIF(Hoja1!$A$2:$A$1000,Hoja1!A949)&gt;1,"Sí","No")</f>
        <v>No</v>
      </c>
      <c r="F949" s="3" t="str">
        <f>IF(COUNTIF(Hoja1!$G$2:$G$1000,Hoja1!G949)&gt;1,"Sí","No")</f>
        <v>No</v>
      </c>
      <c r="G949" s="3" t="str">
        <f>IF(OR(ISERROR(FIND("@",Hoja1!G949)),ISERROR(FIND(".",Hoja1!G949,FIND("@",Hoja1!G949)))),"Sí","No")</f>
        <v>No</v>
      </c>
      <c r="H949" s="3" t="str">
        <f>IF(LEN(Hoja1!F949)&lt;&gt;14,"Sí","No")</f>
        <v>No</v>
      </c>
      <c r="I949" s="3" t="str">
        <f>IF(Hoja1!C949&gt;Hoja1!H949,"Sí","No")</f>
        <v>No</v>
      </c>
      <c r="J949" s="3" t="str">
        <f>IF(SUMPRODUCT(--ISNUMBER(SEARCH({"0";"1";"2";"3";"4";"5";"6";"7";"8";"9"},Hoja1!D949)))=0,"Sí","No")</f>
        <v>No</v>
      </c>
      <c r="K949" s="3" t="str">
        <f t="shared" si="14"/>
        <v>No</v>
      </c>
    </row>
    <row r="950" spans="1:11" ht="15" customHeight="1" x14ac:dyDescent="0.3">
      <c r="A950" s="3" t="str">
        <f>Hoja1!A950</f>
        <v>C0949</v>
      </c>
      <c r="B950" s="3" t="str">
        <f>Hoja1!B950</f>
        <v>Benigno Folch Villaverde</v>
      </c>
      <c r="C950" s="3" t="str">
        <f>IF(COUNTA(Hoja1!A950:I950)=0,"Sí","No")</f>
        <v>No</v>
      </c>
      <c r="D950" s="3" t="str">
        <f>IF(COUNTBLANK(Hoja1!A950:I950)&gt;0,"Sí","No")</f>
        <v>No</v>
      </c>
      <c r="E950" s="3" t="str">
        <f>IF(COUNTIF(Hoja1!$A$2:$A$1000,Hoja1!A950)&gt;1,"Sí","No")</f>
        <v>No</v>
      </c>
      <c r="F950" s="3" t="str">
        <f>IF(COUNTIF(Hoja1!$G$2:$G$1000,Hoja1!G950)&gt;1,"Sí","No")</f>
        <v>Sí</v>
      </c>
      <c r="G950" s="3" t="str">
        <f>IF(OR(ISERROR(FIND("@",Hoja1!G950)),ISERROR(FIND(".",Hoja1!G950,FIND("@",Hoja1!G950)))),"Sí","No")</f>
        <v>No</v>
      </c>
      <c r="H950" s="3" t="str">
        <f>IF(LEN(Hoja1!F950)&lt;&gt;14,"Sí","No")</f>
        <v>No</v>
      </c>
      <c r="I950" s="3" t="str">
        <f>IF(Hoja1!C950&gt;Hoja1!H950,"Sí","No")</f>
        <v>No</v>
      </c>
      <c r="J950" s="3" t="str">
        <f>IF(SUMPRODUCT(--ISNUMBER(SEARCH({"0";"1";"2";"3";"4";"5";"6";"7";"8";"9"},Hoja1!D950)))=0,"Sí","No")</f>
        <v>No</v>
      </c>
      <c r="K950" s="3" t="str">
        <f t="shared" si="14"/>
        <v>Sí</v>
      </c>
    </row>
    <row r="951" spans="1:11" ht="15" customHeight="1" x14ac:dyDescent="0.3">
      <c r="A951" s="3" t="str">
        <f>Hoja1!A951</f>
        <v>C0950</v>
      </c>
      <c r="B951" s="3" t="str">
        <f>Hoja1!B951</f>
        <v>Ariel Bejarano Gimenez</v>
      </c>
      <c r="C951" s="3" t="str">
        <f>IF(COUNTA(Hoja1!A951:I951)=0,"Sí","No")</f>
        <v>No</v>
      </c>
      <c r="D951" s="3" t="str">
        <f>IF(COUNTBLANK(Hoja1!A951:I951)&gt;0,"Sí","No")</f>
        <v>No</v>
      </c>
      <c r="E951" s="3" t="str">
        <f>IF(COUNTIF(Hoja1!$A$2:$A$1000,Hoja1!A951)&gt;1,"Sí","No")</f>
        <v>No</v>
      </c>
      <c r="F951" s="3" t="str">
        <f>IF(COUNTIF(Hoja1!$G$2:$G$1000,Hoja1!G951)&gt;1,"Sí","No")</f>
        <v>No</v>
      </c>
      <c r="G951" s="3" t="str">
        <f>IF(OR(ISERROR(FIND("@",Hoja1!G951)),ISERROR(FIND(".",Hoja1!G951,FIND("@",Hoja1!G951)))),"Sí","No")</f>
        <v>No</v>
      </c>
      <c r="H951" s="3" t="str">
        <f>IF(LEN(Hoja1!F951)&lt;&gt;14,"Sí","No")</f>
        <v>No</v>
      </c>
      <c r="I951" s="3" t="str">
        <f>IF(Hoja1!C951&gt;Hoja1!H951,"Sí","No")</f>
        <v>No</v>
      </c>
      <c r="J951" s="3" t="str">
        <f>IF(SUMPRODUCT(--ISNUMBER(SEARCH({"0";"1";"2";"3";"4";"5";"6";"7";"8";"9"},Hoja1!D951)))=0,"Sí","No")</f>
        <v>No</v>
      </c>
      <c r="K951" s="3" t="str">
        <f t="shared" si="14"/>
        <v>No</v>
      </c>
    </row>
    <row r="952" spans="1:11" ht="15" customHeight="1" x14ac:dyDescent="0.3">
      <c r="A952" s="3" t="str">
        <f>Hoja1!A952</f>
        <v>C0951</v>
      </c>
      <c r="B952" s="3" t="str">
        <f>Hoja1!B952</f>
        <v>Román Villa Marqués</v>
      </c>
      <c r="C952" s="3" t="str">
        <f>IF(COUNTA(Hoja1!A952:I952)=0,"Sí","No")</f>
        <v>No</v>
      </c>
      <c r="D952" s="3" t="str">
        <f>IF(COUNTBLANK(Hoja1!A952:I952)&gt;0,"Sí","No")</f>
        <v>No</v>
      </c>
      <c r="E952" s="3" t="str">
        <f>IF(COUNTIF(Hoja1!$A$2:$A$1000,Hoja1!A952)&gt;1,"Sí","No")</f>
        <v>No</v>
      </c>
      <c r="F952" s="3" t="str">
        <f>IF(COUNTIF(Hoja1!$G$2:$G$1000,Hoja1!G952)&gt;1,"Sí","No")</f>
        <v>No</v>
      </c>
      <c r="G952" s="3" t="str">
        <f>IF(OR(ISERROR(FIND("@",Hoja1!G952)),ISERROR(FIND(".",Hoja1!G952,FIND("@",Hoja1!G952)))),"Sí","No")</f>
        <v>No</v>
      </c>
      <c r="H952" s="3" t="str">
        <f>IF(LEN(Hoja1!F952)&lt;&gt;14,"Sí","No")</f>
        <v>No</v>
      </c>
      <c r="I952" s="3" t="str">
        <f>IF(Hoja1!C952&gt;Hoja1!H952,"Sí","No")</f>
        <v>No</v>
      </c>
      <c r="J952" s="3" t="str">
        <f>IF(SUMPRODUCT(--ISNUMBER(SEARCH({"0";"1";"2";"3";"4";"5";"6";"7";"8";"9"},Hoja1!D952)))=0,"Sí","No")</f>
        <v>No</v>
      </c>
      <c r="K952" s="3" t="str">
        <f t="shared" si="14"/>
        <v>No</v>
      </c>
    </row>
    <row r="953" spans="1:11" ht="15" customHeight="1" x14ac:dyDescent="0.3">
      <c r="A953" s="3" t="str">
        <f>Hoja1!A953</f>
        <v>C0952</v>
      </c>
      <c r="B953" s="3" t="str">
        <f>Hoja1!B953</f>
        <v>Dimas Ibarra Domínguez</v>
      </c>
      <c r="C953" s="3" t="str">
        <f>IF(COUNTA(Hoja1!A953:I953)=0,"Sí","No")</f>
        <v>No</v>
      </c>
      <c r="D953" s="3" t="str">
        <f>IF(COUNTBLANK(Hoja1!A953:I953)&gt;0,"Sí","No")</f>
        <v>No</v>
      </c>
      <c r="E953" s="3" t="str">
        <f>IF(COUNTIF(Hoja1!$A$2:$A$1000,Hoja1!A953)&gt;1,"Sí","No")</f>
        <v>No</v>
      </c>
      <c r="F953" s="3" t="str">
        <f>IF(COUNTIF(Hoja1!$G$2:$G$1000,Hoja1!G953)&gt;1,"Sí","No")</f>
        <v>No</v>
      </c>
      <c r="G953" s="3" t="str">
        <f>IF(OR(ISERROR(FIND("@",Hoja1!G953)),ISERROR(FIND(".",Hoja1!G953,FIND("@",Hoja1!G953)))),"Sí","No")</f>
        <v>No</v>
      </c>
      <c r="H953" s="3" t="str">
        <f>IF(LEN(Hoja1!F953)&lt;&gt;14,"Sí","No")</f>
        <v>No</v>
      </c>
      <c r="I953" s="3" t="str">
        <f>IF(Hoja1!C953&gt;Hoja1!H953,"Sí","No")</f>
        <v>No</v>
      </c>
      <c r="J953" s="3" t="str">
        <f>IF(SUMPRODUCT(--ISNUMBER(SEARCH({"0";"1";"2";"3";"4";"5";"6";"7";"8";"9"},Hoja1!D953)))=0,"Sí","No")</f>
        <v>No</v>
      </c>
      <c r="K953" s="3" t="str">
        <f t="shared" si="14"/>
        <v>No</v>
      </c>
    </row>
    <row r="954" spans="1:11" ht="15" customHeight="1" x14ac:dyDescent="0.3">
      <c r="A954" s="3" t="str">
        <f>Hoja1!A954</f>
        <v>C0953</v>
      </c>
      <c r="B954" s="3" t="str">
        <f>Hoja1!B954</f>
        <v>Íñigo Pavón Pol</v>
      </c>
      <c r="C954" s="3" t="str">
        <f>IF(COUNTA(Hoja1!A954:I954)=0,"Sí","No")</f>
        <v>No</v>
      </c>
      <c r="D954" s="3" t="str">
        <f>IF(COUNTBLANK(Hoja1!A954:I954)&gt;0,"Sí","No")</f>
        <v>No</v>
      </c>
      <c r="E954" s="3" t="str">
        <f>IF(COUNTIF(Hoja1!$A$2:$A$1000,Hoja1!A954)&gt;1,"Sí","No")</f>
        <v>No</v>
      </c>
      <c r="F954" s="3" t="str">
        <f>IF(COUNTIF(Hoja1!$G$2:$G$1000,Hoja1!G954)&gt;1,"Sí","No")</f>
        <v>No</v>
      </c>
      <c r="G954" s="3" t="str">
        <f>IF(OR(ISERROR(FIND("@",Hoja1!G954)),ISERROR(FIND(".",Hoja1!G954,FIND("@",Hoja1!G954)))),"Sí","No")</f>
        <v>No</v>
      </c>
      <c r="H954" s="3" t="str">
        <f>IF(LEN(Hoja1!F954)&lt;&gt;14,"Sí","No")</f>
        <v>No</v>
      </c>
      <c r="I954" s="3" t="str">
        <f>IF(Hoja1!C954&gt;Hoja1!H954,"Sí","No")</f>
        <v>No</v>
      </c>
      <c r="J954" s="3" t="str">
        <f>IF(SUMPRODUCT(--ISNUMBER(SEARCH({"0";"1";"2";"3";"4";"5";"6";"7";"8";"9"},Hoja1!D954)))=0,"Sí","No")</f>
        <v>No</v>
      </c>
      <c r="K954" s="3" t="str">
        <f t="shared" si="14"/>
        <v>No</v>
      </c>
    </row>
    <row r="955" spans="1:11" ht="15" customHeight="1" x14ac:dyDescent="0.3">
      <c r="A955" s="3" t="str">
        <f>Hoja1!A955</f>
        <v>C0954</v>
      </c>
      <c r="B955" s="3" t="str">
        <f>Hoja1!B955</f>
        <v>Fernanda Olivé Garmendia</v>
      </c>
      <c r="C955" s="3" t="str">
        <f>IF(COUNTA(Hoja1!A955:I955)=0,"Sí","No")</f>
        <v>No</v>
      </c>
      <c r="D955" s="3" t="str">
        <f>IF(COUNTBLANK(Hoja1!A955:I955)&gt;0,"Sí","No")</f>
        <v>No</v>
      </c>
      <c r="E955" s="3" t="str">
        <f>IF(COUNTIF(Hoja1!$A$2:$A$1000,Hoja1!A955)&gt;1,"Sí","No")</f>
        <v>No</v>
      </c>
      <c r="F955" s="3" t="str">
        <f>IF(COUNTIF(Hoja1!$G$2:$G$1000,Hoja1!G955)&gt;1,"Sí","No")</f>
        <v>No</v>
      </c>
      <c r="G955" s="3" t="str">
        <f>IF(OR(ISERROR(FIND("@",Hoja1!G955)),ISERROR(FIND(".",Hoja1!G955,FIND("@",Hoja1!G955)))),"Sí","No")</f>
        <v>No</v>
      </c>
      <c r="H955" s="3" t="str">
        <f>IF(LEN(Hoja1!F955)&lt;&gt;14,"Sí","No")</f>
        <v>No</v>
      </c>
      <c r="I955" s="3" t="str">
        <f>IF(Hoja1!C955&gt;Hoja1!H955,"Sí","No")</f>
        <v>No</v>
      </c>
      <c r="J955" s="3" t="str">
        <f>IF(SUMPRODUCT(--ISNUMBER(SEARCH({"0";"1";"2";"3";"4";"5";"6";"7";"8";"9"},Hoja1!D955)))=0,"Sí","No")</f>
        <v>No</v>
      </c>
      <c r="K955" s="3" t="str">
        <f t="shared" si="14"/>
        <v>No</v>
      </c>
    </row>
    <row r="956" spans="1:11" ht="15" customHeight="1" x14ac:dyDescent="0.3">
      <c r="A956" s="3" t="str">
        <f>Hoja1!A956</f>
        <v>C0955</v>
      </c>
      <c r="B956" s="3" t="str">
        <f>Hoja1!B956</f>
        <v>Norberto Chucho Raya Saldaña</v>
      </c>
      <c r="C956" s="3" t="str">
        <f>IF(COUNTA(Hoja1!A956:I956)=0,"Sí","No")</f>
        <v>No</v>
      </c>
      <c r="D956" s="3" t="str">
        <f>IF(COUNTBLANK(Hoja1!A956:I956)&gt;0,"Sí","No")</f>
        <v>No</v>
      </c>
      <c r="E956" s="3" t="str">
        <f>IF(COUNTIF(Hoja1!$A$2:$A$1000,Hoja1!A956)&gt;1,"Sí","No")</f>
        <v>No</v>
      </c>
      <c r="F956" s="3" t="str">
        <f>IF(COUNTIF(Hoja1!$G$2:$G$1000,Hoja1!G956)&gt;1,"Sí","No")</f>
        <v>No</v>
      </c>
      <c r="G956" s="3" t="str">
        <f>IF(OR(ISERROR(FIND("@",Hoja1!G956)),ISERROR(FIND(".",Hoja1!G956,FIND("@",Hoja1!G956)))),"Sí","No")</f>
        <v>No</v>
      </c>
      <c r="H956" s="3" t="str">
        <f>IF(LEN(Hoja1!F956)&lt;&gt;14,"Sí","No")</f>
        <v>No</v>
      </c>
      <c r="I956" s="3" t="str">
        <f>IF(Hoja1!C956&gt;Hoja1!H956,"Sí","No")</f>
        <v>No</v>
      </c>
      <c r="J956" s="3" t="str">
        <f>IF(SUMPRODUCT(--ISNUMBER(SEARCH({"0";"1";"2";"3";"4";"5";"6";"7";"8";"9"},Hoja1!D956)))=0,"Sí","No")</f>
        <v>No</v>
      </c>
      <c r="K956" s="3" t="str">
        <f t="shared" si="14"/>
        <v>No</v>
      </c>
    </row>
    <row r="957" spans="1:11" ht="15" customHeight="1" x14ac:dyDescent="0.3">
      <c r="A957" s="3" t="str">
        <f>Hoja1!A957</f>
        <v>C0956</v>
      </c>
      <c r="B957" s="3" t="str">
        <f>Hoja1!B957</f>
        <v>Clementina Salcedo Valenzuela</v>
      </c>
      <c r="C957" s="3" t="str">
        <f>IF(COUNTA(Hoja1!A957:I957)=0,"Sí","No")</f>
        <v>No</v>
      </c>
      <c r="D957" s="3" t="str">
        <f>IF(COUNTBLANK(Hoja1!A957:I957)&gt;0,"Sí","No")</f>
        <v>No</v>
      </c>
      <c r="E957" s="3" t="str">
        <f>IF(COUNTIF(Hoja1!$A$2:$A$1000,Hoja1!A957)&gt;1,"Sí","No")</f>
        <v>No</v>
      </c>
      <c r="F957" s="3" t="str">
        <f>IF(COUNTIF(Hoja1!$G$2:$G$1000,Hoja1!G957)&gt;1,"Sí","No")</f>
        <v>No</v>
      </c>
      <c r="G957" s="3" t="str">
        <f>IF(OR(ISERROR(FIND("@",Hoja1!G957)),ISERROR(FIND(".",Hoja1!G957,FIND("@",Hoja1!G957)))),"Sí","No")</f>
        <v>No</v>
      </c>
      <c r="H957" s="3" t="str">
        <f>IF(LEN(Hoja1!F957)&lt;&gt;14,"Sí","No")</f>
        <v>No</v>
      </c>
      <c r="I957" s="3" t="str">
        <f>IF(Hoja1!C957&gt;Hoja1!H957,"Sí","No")</f>
        <v>No</v>
      </c>
      <c r="J957" s="3" t="str">
        <f>IF(SUMPRODUCT(--ISNUMBER(SEARCH({"0";"1";"2";"3";"4";"5";"6";"7";"8";"9"},Hoja1!D957)))=0,"Sí","No")</f>
        <v>No</v>
      </c>
      <c r="K957" s="3" t="str">
        <f t="shared" si="14"/>
        <v>No</v>
      </c>
    </row>
    <row r="958" spans="1:11" ht="15" customHeight="1" x14ac:dyDescent="0.3">
      <c r="A958" s="3" t="str">
        <f>Hoja1!A958</f>
        <v>C0957</v>
      </c>
      <c r="B958" s="3" t="str">
        <f>Hoja1!B958</f>
        <v>Brunilda Paredes Vilar</v>
      </c>
      <c r="C958" s="3" t="str">
        <f>IF(COUNTA(Hoja1!A958:I958)=0,"Sí","No")</f>
        <v>No</v>
      </c>
      <c r="D958" s="3" t="str">
        <f>IF(COUNTBLANK(Hoja1!A958:I958)&gt;0,"Sí","No")</f>
        <v>No</v>
      </c>
      <c r="E958" s="3" t="str">
        <f>IF(COUNTIF(Hoja1!$A$2:$A$1000,Hoja1!A958)&gt;1,"Sí","No")</f>
        <v>No</v>
      </c>
      <c r="F958" s="3" t="str">
        <f>IF(COUNTIF(Hoja1!$G$2:$G$1000,Hoja1!G958)&gt;1,"Sí","No")</f>
        <v>No</v>
      </c>
      <c r="G958" s="3" t="str">
        <f>IF(OR(ISERROR(FIND("@",Hoja1!G958)),ISERROR(FIND(".",Hoja1!G958,FIND("@",Hoja1!G958)))),"Sí","No")</f>
        <v>No</v>
      </c>
      <c r="H958" s="3" t="str">
        <f>IF(LEN(Hoja1!F958)&lt;&gt;14,"Sí","No")</f>
        <v>No</v>
      </c>
      <c r="I958" s="3" t="str">
        <f>IF(Hoja1!C958&gt;Hoja1!H958,"Sí","No")</f>
        <v>No</v>
      </c>
      <c r="J958" s="3" t="str">
        <f>IF(SUMPRODUCT(--ISNUMBER(SEARCH({"0";"1";"2";"3";"4";"5";"6";"7";"8";"9"},Hoja1!D958)))=0,"Sí","No")</f>
        <v>No</v>
      </c>
      <c r="K958" s="3" t="str">
        <f t="shared" si="14"/>
        <v>No</v>
      </c>
    </row>
    <row r="959" spans="1:11" ht="15" customHeight="1" x14ac:dyDescent="0.3">
      <c r="A959" s="3" t="str">
        <f>Hoja1!A959</f>
        <v>C0958</v>
      </c>
      <c r="B959" s="3" t="str">
        <f>Hoja1!B959</f>
        <v>Ester Gras Talavera</v>
      </c>
      <c r="C959" s="3" t="str">
        <f>IF(COUNTA(Hoja1!A959:I959)=0,"Sí","No")</f>
        <v>No</v>
      </c>
      <c r="D959" s="3" t="str">
        <f>IF(COUNTBLANK(Hoja1!A959:I959)&gt;0,"Sí","No")</f>
        <v>No</v>
      </c>
      <c r="E959" s="3" t="str">
        <f>IF(COUNTIF(Hoja1!$A$2:$A$1000,Hoja1!A959)&gt;1,"Sí","No")</f>
        <v>No</v>
      </c>
      <c r="F959" s="3" t="str">
        <f>IF(COUNTIF(Hoja1!$G$2:$G$1000,Hoja1!G959)&gt;1,"Sí","No")</f>
        <v>No</v>
      </c>
      <c r="G959" s="3" t="str">
        <f>IF(OR(ISERROR(FIND("@",Hoja1!G959)),ISERROR(FIND(".",Hoja1!G959,FIND("@",Hoja1!G959)))),"Sí","No")</f>
        <v>No</v>
      </c>
      <c r="H959" s="3" t="str">
        <f>IF(LEN(Hoja1!F959)&lt;&gt;14,"Sí","No")</f>
        <v>No</v>
      </c>
      <c r="I959" s="3" t="str">
        <f>IF(Hoja1!C959&gt;Hoja1!H959,"Sí","No")</f>
        <v>No</v>
      </c>
      <c r="J959" s="3" t="str">
        <f>IF(SUMPRODUCT(--ISNUMBER(SEARCH({"0";"1";"2";"3";"4";"5";"6";"7";"8";"9"},Hoja1!D959)))=0,"Sí","No")</f>
        <v>No</v>
      </c>
      <c r="K959" s="3" t="str">
        <f t="shared" si="14"/>
        <v>No</v>
      </c>
    </row>
    <row r="960" spans="1:11" ht="15" customHeight="1" x14ac:dyDescent="0.3">
      <c r="A960" s="3" t="str">
        <f>Hoja1!A960</f>
        <v>C0959</v>
      </c>
      <c r="B960" s="3" t="str">
        <f>Hoja1!B960</f>
        <v>Jonatan del Guzman</v>
      </c>
      <c r="C960" s="3" t="str">
        <f>IF(COUNTA(Hoja1!A960:I960)=0,"Sí","No")</f>
        <v>No</v>
      </c>
      <c r="D960" s="3" t="str">
        <f>IF(COUNTBLANK(Hoja1!A960:I960)&gt;0,"Sí","No")</f>
        <v>No</v>
      </c>
      <c r="E960" s="3" t="str">
        <f>IF(COUNTIF(Hoja1!$A$2:$A$1000,Hoja1!A960)&gt;1,"Sí","No")</f>
        <v>No</v>
      </c>
      <c r="F960" s="3" t="str">
        <f>IF(COUNTIF(Hoja1!$G$2:$G$1000,Hoja1!G960)&gt;1,"Sí","No")</f>
        <v>No</v>
      </c>
      <c r="G960" s="3" t="str">
        <f>IF(OR(ISERROR(FIND("@",Hoja1!G960)),ISERROR(FIND(".",Hoja1!G960,FIND("@",Hoja1!G960)))),"Sí","No")</f>
        <v>No</v>
      </c>
      <c r="H960" s="3" t="str">
        <f>IF(LEN(Hoja1!F960)&lt;&gt;14,"Sí","No")</f>
        <v>No</v>
      </c>
      <c r="I960" s="3" t="str">
        <f>IF(Hoja1!C960&gt;Hoja1!H960,"Sí","No")</f>
        <v>No</v>
      </c>
      <c r="J960" s="3" t="str">
        <f>IF(SUMPRODUCT(--ISNUMBER(SEARCH({"0";"1";"2";"3";"4";"5";"6";"7";"8";"9"},Hoja1!D960)))=0,"Sí","No")</f>
        <v>No</v>
      </c>
      <c r="K960" s="3" t="str">
        <f t="shared" si="14"/>
        <v>No</v>
      </c>
    </row>
    <row r="961" spans="1:11" ht="15" customHeight="1" x14ac:dyDescent="0.3">
      <c r="A961" s="3" t="str">
        <f>Hoja1!A961</f>
        <v>C0960</v>
      </c>
      <c r="B961" s="3" t="str">
        <f>Hoja1!B961</f>
        <v>Susanita Polo Pons</v>
      </c>
      <c r="C961" s="3" t="str">
        <f>IF(COUNTA(Hoja1!A961:I961)=0,"Sí","No")</f>
        <v>No</v>
      </c>
      <c r="D961" s="3" t="str">
        <f>IF(COUNTBLANK(Hoja1!A961:I961)&gt;0,"Sí","No")</f>
        <v>No</v>
      </c>
      <c r="E961" s="3" t="str">
        <f>IF(COUNTIF(Hoja1!$A$2:$A$1000,Hoja1!A961)&gt;1,"Sí","No")</f>
        <v>No</v>
      </c>
      <c r="F961" s="3" t="str">
        <f>IF(COUNTIF(Hoja1!$G$2:$G$1000,Hoja1!G961)&gt;1,"Sí","No")</f>
        <v>No</v>
      </c>
      <c r="G961" s="3" t="str">
        <f>IF(OR(ISERROR(FIND("@",Hoja1!G961)),ISERROR(FIND(".",Hoja1!G961,FIND("@",Hoja1!G961)))),"Sí","No")</f>
        <v>No</v>
      </c>
      <c r="H961" s="3" t="str">
        <f>IF(LEN(Hoja1!F961)&lt;&gt;14,"Sí","No")</f>
        <v>No</v>
      </c>
      <c r="I961" s="3" t="str">
        <f>IF(Hoja1!C961&gt;Hoja1!H961,"Sí","No")</f>
        <v>No</v>
      </c>
      <c r="J961" s="3" t="str">
        <f>IF(SUMPRODUCT(--ISNUMBER(SEARCH({"0";"1";"2";"3";"4";"5";"6";"7";"8";"9"},Hoja1!D961)))=0,"Sí","No")</f>
        <v>No</v>
      </c>
      <c r="K961" s="3" t="str">
        <f t="shared" si="14"/>
        <v>No</v>
      </c>
    </row>
    <row r="962" spans="1:11" ht="15" customHeight="1" x14ac:dyDescent="0.3">
      <c r="A962" s="3" t="str">
        <f>Hoja1!A962</f>
        <v>C0961</v>
      </c>
      <c r="B962" s="3" t="str">
        <f>Hoja1!B962</f>
        <v>Emiliano Galván Madrigal</v>
      </c>
      <c r="C962" s="3" t="str">
        <f>IF(COUNTA(Hoja1!A962:I962)=0,"Sí","No")</f>
        <v>No</v>
      </c>
      <c r="D962" s="3" t="str">
        <f>IF(COUNTBLANK(Hoja1!A962:I962)&gt;0,"Sí","No")</f>
        <v>No</v>
      </c>
      <c r="E962" s="3" t="str">
        <f>IF(COUNTIF(Hoja1!$A$2:$A$1000,Hoja1!A962)&gt;1,"Sí","No")</f>
        <v>No</v>
      </c>
      <c r="F962" s="3" t="str">
        <f>IF(COUNTIF(Hoja1!$G$2:$G$1000,Hoja1!G962)&gt;1,"Sí","No")</f>
        <v>No</v>
      </c>
      <c r="G962" s="3" t="str">
        <f>IF(OR(ISERROR(FIND("@",Hoja1!G962)),ISERROR(FIND(".",Hoja1!G962,FIND("@",Hoja1!G962)))),"Sí","No")</f>
        <v>No</v>
      </c>
      <c r="H962" s="3" t="str">
        <f>IF(LEN(Hoja1!F962)&lt;&gt;14,"Sí","No")</f>
        <v>No</v>
      </c>
      <c r="I962" s="3" t="str">
        <f>IF(Hoja1!C962&gt;Hoja1!H962,"Sí","No")</f>
        <v>No</v>
      </c>
      <c r="J962" s="3" t="str">
        <f>IF(SUMPRODUCT(--ISNUMBER(SEARCH({"0";"1";"2";"3";"4";"5";"6";"7";"8";"9"},Hoja1!D962)))=0,"Sí","No")</f>
        <v>No</v>
      </c>
      <c r="K962" s="3" t="str">
        <f t="shared" ref="K962:K1025" si="15">IF(COUNTIF(C962:J962,"Sí")&gt;0,"Sí","No")</f>
        <v>No</v>
      </c>
    </row>
    <row r="963" spans="1:11" ht="15" customHeight="1" x14ac:dyDescent="0.3">
      <c r="A963" s="3" t="str">
        <f>Hoja1!A963</f>
        <v>C0962</v>
      </c>
      <c r="B963" s="3" t="str">
        <f>Hoja1!B963</f>
        <v>Palmira Téllez Rosales</v>
      </c>
      <c r="C963" s="3" t="str">
        <f>IF(COUNTA(Hoja1!A963:I963)=0,"Sí","No")</f>
        <v>No</v>
      </c>
      <c r="D963" s="3" t="str">
        <f>IF(COUNTBLANK(Hoja1!A963:I963)&gt;0,"Sí","No")</f>
        <v>No</v>
      </c>
      <c r="E963" s="3" t="str">
        <f>IF(COUNTIF(Hoja1!$A$2:$A$1000,Hoja1!A963)&gt;1,"Sí","No")</f>
        <v>No</v>
      </c>
      <c r="F963" s="3" t="str">
        <f>IF(COUNTIF(Hoja1!$G$2:$G$1000,Hoja1!G963)&gt;1,"Sí","No")</f>
        <v>Sí</v>
      </c>
      <c r="G963" s="3" t="str">
        <f>IF(OR(ISERROR(FIND("@",Hoja1!G963)),ISERROR(FIND(".",Hoja1!G963,FIND("@",Hoja1!G963)))),"Sí","No")</f>
        <v>No</v>
      </c>
      <c r="H963" s="3" t="str">
        <f>IF(LEN(Hoja1!F963)&lt;&gt;14,"Sí","No")</f>
        <v>No</v>
      </c>
      <c r="I963" s="3" t="str">
        <f>IF(Hoja1!C963&gt;Hoja1!H963,"Sí","No")</f>
        <v>No</v>
      </c>
      <c r="J963" s="3" t="str">
        <f>IF(SUMPRODUCT(--ISNUMBER(SEARCH({"0";"1";"2";"3";"4";"5";"6";"7";"8";"9"},Hoja1!D963)))=0,"Sí","No")</f>
        <v>No</v>
      </c>
      <c r="K963" s="3" t="str">
        <f t="shared" si="15"/>
        <v>Sí</v>
      </c>
    </row>
    <row r="964" spans="1:11" ht="15" customHeight="1" x14ac:dyDescent="0.3">
      <c r="A964" s="3" t="str">
        <f>Hoja1!A964</f>
        <v>C0963</v>
      </c>
      <c r="B964" s="3" t="str">
        <f>Hoja1!B964</f>
        <v>Gracia José Puente Belmonte</v>
      </c>
      <c r="C964" s="3" t="str">
        <f>IF(COUNTA(Hoja1!A964:I964)=0,"Sí","No")</f>
        <v>No</v>
      </c>
      <c r="D964" s="3" t="str">
        <f>IF(COUNTBLANK(Hoja1!A964:I964)&gt;0,"Sí","No")</f>
        <v>No</v>
      </c>
      <c r="E964" s="3" t="str">
        <f>IF(COUNTIF(Hoja1!$A$2:$A$1000,Hoja1!A964)&gt;1,"Sí","No")</f>
        <v>No</v>
      </c>
      <c r="F964" s="3" t="str">
        <f>IF(COUNTIF(Hoja1!$G$2:$G$1000,Hoja1!G964)&gt;1,"Sí","No")</f>
        <v>Sí</v>
      </c>
      <c r="G964" s="3" t="str">
        <f>IF(OR(ISERROR(FIND("@",Hoja1!G964)),ISERROR(FIND(".",Hoja1!G964,FIND("@",Hoja1!G964)))),"Sí","No")</f>
        <v>No</v>
      </c>
      <c r="H964" s="3" t="str">
        <f>IF(LEN(Hoja1!F964)&lt;&gt;14,"Sí","No")</f>
        <v>No</v>
      </c>
      <c r="I964" s="3" t="str">
        <f>IF(Hoja1!C964&gt;Hoja1!H964,"Sí","No")</f>
        <v>No</v>
      </c>
      <c r="J964" s="3" t="str">
        <f>IF(SUMPRODUCT(--ISNUMBER(SEARCH({"0";"1";"2";"3";"4";"5";"6";"7";"8";"9"},Hoja1!D964)))=0,"Sí","No")</f>
        <v>No</v>
      </c>
      <c r="K964" s="3" t="str">
        <f t="shared" si="15"/>
        <v>Sí</v>
      </c>
    </row>
    <row r="965" spans="1:11" ht="15" customHeight="1" x14ac:dyDescent="0.3">
      <c r="A965" s="3" t="str">
        <f>Hoja1!A965</f>
        <v>C0964</v>
      </c>
      <c r="B965" s="3" t="str">
        <f>Hoja1!B965</f>
        <v>Ariel Alejo Blázquez Castells</v>
      </c>
      <c r="C965" s="3" t="str">
        <f>IF(COUNTA(Hoja1!A965:I965)=0,"Sí","No")</f>
        <v>No</v>
      </c>
      <c r="D965" s="3" t="str">
        <f>IF(COUNTBLANK(Hoja1!A965:I965)&gt;0,"Sí","No")</f>
        <v>No</v>
      </c>
      <c r="E965" s="3" t="str">
        <f>IF(COUNTIF(Hoja1!$A$2:$A$1000,Hoja1!A965)&gt;1,"Sí","No")</f>
        <v>No</v>
      </c>
      <c r="F965" s="3" t="str">
        <f>IF(COUNTIF(Hoja1!$G$2:$G$1000,Hoja1!G965)&gt;1,"Sí","No")</f>
        <v>No</v>
      </c>
      <c r="G965" s="3" t="str">
        <f>IF(OR(ISERROR(FIND("@",Hoja1!G965)),ISERROR(FIND(".",Hoja1!G965,FIND("@",Hoja1!G965)))),"Sí","No")</f>
        <v>No</v>
      </c>
      <c r="H965" s="3" t="str">
        <f>IF(LEN(Hoja1!F965)&lt;&gt;14,"Sí","No")</f>
        <v>No</v>
      </c>
      <c r="I965" s="3" t="str">
        <f>IF(Hoja1!C965&gt;Hoja1!H965,"Sí","No")</f>
        <v>No</v>
      </c>
      <c r="J965" s="3" t="str">
        <f>IF(SUMPRODUCT(--ISNUMBER(SEARCH({"0";"1";"2";"3";"4";"5";"6";"7";"8";"9"},Hoja1!D965)))=0,"Sí","No")</f>
        <v>No</v>
      </c>
      <c r="K965" s="3" t="str">
        <f t="shared" si="15"/>
        <v>No</v>
      </c>
    </row>
    <row r="966" spans="1:11" ht="15" customHeight="1" x14ac:dyDescent="0.3">
      <c r="A966" s="3" t="str">
        <f>Hoja1!A966</f>
        <v>C0965</v>
      </c>
      <c r="B966" s="3" t="str">
        <f>Hoja1!B966</f>
        <v>Juan Antonio Solana-Torrijos</v>
      </c>
      <c r="C966" s="3" t="str">
        <f>IF(COUNTA(Hoja1!A966:I966)=0,"Sí","No")</f>
        <v>No</v>
      </c>
      <c r="D966" s="3" t="str">
        <f>IF(COUNTBLANK(Hoja1!A966:I966)&gt;0,"Sí","No")</f>
        <v>No</v>
      </c>
      <c r="E966" s="3" t="str">
        <f>IF(COUNTIF(Hoja1!$A$2:$A$1000,Hoja1!A966)&gt;1,"Sí","No")</f>
        <v>No</v>
      </c>
      <c r="F966" s="3" t="str">
        <f>IF(COUNTIF(Hoja1!$G$2:$G$1000,Hoja1!G966)&gt;1,"Sí","No")</f>
        <v>No</v>
      </c>
      <c r="G966" s="3" t="str">
        <f>IF(OR(ISERROR(FIND("@",Hoja1!G966)),ISERROR(FIND(".",Hoja1!G966,FIND("@",Hoja1!G966)))),"Sí","No")</f>
        <v>No</v>
      </c>
      <c r="H966" s="3" t="str">
        <f>IF(LEN(Hoja1!F966)&lt;&gt;14,"Sí","No")</f>
        <v>No</v>
      </c>
      <c r="I966" s="3" t="str">
        <f>IF(Hoja1!C966&gt;Hoja1!H966,"Sí","No")</f>
        <v>No</v>
      </c>
      <c r="J966" s="3" t="str">
        <f>IF(SUMPRODUCT(--ISNUMBER(SEARCH({"0";"1";"2";"3";"4";"5";"6";"7";"8";"9"},Hoja1!D966)))=0,"Sí","No")</f>
        <v>No</v>
      </c>
      <c r="K966" s="3" t="str">
        <f t="shared" si="15"/>
        <v>No</v>
      </c>
    </row>
    <row r="967" spans="1:11" ht="15" customHeight="1" x14ac:dyDescent="0.3">
      <c r="A967" s="3" t="str">
        <f>Hoja1!A967</f>
        <v>C0966</v>
      </c>
      <c r="B967" s="3" t="str">
        <f>Hoja1!B967</f>
        <v>Guiomar Jáuregui Ochoa</v>
      </c>
      <c r="C967" s="3" t="str">
        <f>IF(COUNTA(Hoja1!A967:I967)=0,"Sí","No")</f>
        <v>No</v>
      </c>
      <c r="D967" s="3" t="str">
        <f>IF(COUNTBLANK(Hoja1!A967:I967)&gt;0,"Sí","No")</f>
        <v>No</v>
      </c>
      <c r="E967" s="3" t="str">
        <f>IF(COUNTIF(Hoja1!$A$2:$A$1000,Hoja1!A967)&gt;1,"Sí","No")</f>
        <v>No</v>
      </c>
      <c r="F967" s="3" t="str">
        <f>IF(COUNTIF(Hoja1!$G$2:$G$1000,Hoja1!G967)&gt;1,"Sí","No")</f>
        <v>No</v>
      </c>
      <c r="G967" s="3" t="str">
        <f>IF(OR(ISERROR(FIND("@",Hoja1!G967)),ISERROR(FIND(".",Hoja1!G967,FIND("@",Hoja1!G967)))),"Sí","No")</f>
        <v>No</v>
      </c>
      <c r="H967" s="3" t="str">
        <f>IF(LEN(Hoja1!F967)&lt;&gt;14,"Sí","No")</f>
        <v>No</v>
      </c>
      <c r="I967" s="3" t="str">
        <f>IF(Hoja1!C967&gt;Hoja1!H967,"Sí","No")</f>
        <v>No</v>
      </c>
      <c r="J967" s="3" t="str">
        <f>IF(SUMPRODUCT(--ISNUMBER(SEARCH({"0";"1";"2";"3";"4";"5";"6";"7";"8";"9"},Hoja1!D967)))=0,"Sí","No")</f>
        <v>No</v>
      </c>
      <c r="K967" s="3" t="str">
        <f t="shared" si="15"/>
        <v>No</v>
      </c>
    </row>
    <row r="968" spans="1:11" ht="15" customHeight="1" x14ac:dyDescent="0.3">
      <c r="A968" s="3" t="str">
        <f>Hoja1!A968</f>
        <v>C0967</v>
      </c>
      <c r="B968" s="3" t="str">
        <f>Hoja1!B968</f>
        <v>Mayte Luz Bolaños</v>
      </c>
      <c r="C968" s="3" t="str">
        <f>IF(COUNTA(Hoja1!A968:I968)=0,"Sí","No")</f>
        <v>No</v>
      </c>
      <c r="D968" s="3" t="str">
        <f>IF(COUNTBLANK(Hoja1!A968:I968)&gt;0,"Sí","No")</f>
        <v>No</v>
      </c>
      <c r="E968" s="3" t="str">
        <f>IF(COUNTIF(Hoja1!$A$2:$A$1000,Hoja1!A968)&gt;1,"Sí","No")</f>
        <v>No</v>
      </c>
      <c r="F968" s="3" t="str">
        <f>IF(COUNTIF(Hoja1!$G$2:$G$1000,Hoja1!G968)&gt;1,"Sí","No")</f>
        <v>No</v>
      </c>
      <c r="G968" s="3" t="str">
        <f>IF(OR(ISERROR(FIND("@",Hoja1!G968)),ISERROR(FIND(".",Hoja1!G968,FIND("@",Hoja1!G968)))),"Sí","No")</f>
        <v>No</v>
      </c>
      <c r="H968" s="3" t="str">
        <f>IF(LEN(Hoja1!F968)&lt;&gt;14,"Sí","No")</f>
        <v>No</v>
      </c>
      <c r="I968" s="3" t="str">
        <f>IF(Hoja1!C968&gt;Hoja1!H968,"Sí","No")</f>
        <v>No</v>
      </c>
      <c r="J968" s="3" t="str">
        <f>IF(SUMPRODUCT(--ISNUMBER(SEARCH({"0";"1";"2";"3";"4";"5";"6";"7";"8";"9"},Hoja1!D968)))=0,"Sí","No")</f>
        <v>No</v>
      </c>
      <c r="K968" s="3" t="str">
        <f t="shared" si="15"/>
        <v>No</v>
      </c>
    </row>
    <row r="969" spans="1:11" ht="15" customHeight="1" x14ac:dyDescent="0.3">
      <c r="A969" s="3" t="str">
        <f>Hoja1!A969</f>
        <v>C0968</v>
      </c>
      <c r="B969" s="3" t="str">
        <f>Hoja1!B969</f>
        <v>Florencio López Diez</v>
      </c>
      <c r="C969" s="3" t="str">
        <f>IF(COUNTA(Hoja1!A969:I969)=0,"Sí","No")</f>
        <v>No</v>
      </c>
      <c r="D969" s="3" t="str">
        <f>IF(COUNTBLANK(Hoja1!A969:I969)&gt;0,"Sí","No")</f>
        <v>No</v>
      </c>
      <c r="E969" s="3" t="str">
        <f>IF(COUNTIF(Hoja1!$A$2:$A$1000,Hoja1!A969)&gt;1,"Sí","No")</f>
        <v>No</v>
      </c>
      <c r="F969" s="3" t="str">
        <f>IF(COUNTIF(Hoja1!$G$2:$G$1000,Hoja1!G969)&gt;1,"Sí","No")</f>
        <v>No</v>
      </c>
      <c r="G969" s="3" t="str">
        <f>IF(OR(ISERROR(FIND("@",Hoja1!G969)),ISERROR(FIND(".",Hoja1!G969,FIND("@",Hoja1!G969)))),"Sí","No")</f>
        <v>No</v>
      </c>
      <c r="H969" s="3" t="str">
        <f>IF(LEN(Hoja1!F969)&lt;&gt;14,"Sí","No")</f>
        <v>No</v>
      </c>
      <c r="I969" s="3" t="str">
        <f>IF(Hoja1!C969&gt;Hoja1!H969,"Sí","No")</f>
        <v>No</v>
      </c>
      <c r="J969" s="3" t="str">
        <f>IF(SUMPRODUCT(--ISNUMBER(SEARCH({"0";"1";"2";"3";"4";"5";"6";"7";"8";"9"},Hoja1!D969)))=0,"Sí","No")</f>
        <v>No</v>
      </c>
      <c r="K969" s="3" t="str">
        <f t="shared" si="15"/>
        <v>No</v>
      </c>
    </row>
    <row r="970" spans="1:11" ht="15" customHeight="1" x14ac:dyDescent="0.3">
      <c r="A970" s="3" t="str">
        <f>Hoja1!A970</f>
        <v>C0969</v>
      </c>
      <c r="B970" s="3" t="str">
        <f>Hoja1!B970</f>
        <v>Pepito Sedano Pou</v>
      </c>
      <c r="C970" s="3" t="str">
        <f>IF(COUNTA(Hoja1!A970:I970)=0,"Sí","No")</f>
        <v>No</v>
      </c>
      <c r="D970" s="3" t="str">
        <f>IF(COUNTBLANK(Hoja1!A970:I970)&gt;0,"Sí","No")</f>
        <v>No</v>
      </c>
      <c r="E970" s="3" t="str">
        <f>IF(COUNTIF(Hoja1!$A$2:$A$1000,Hoja1!A970)&gt;1,"Sí","No")</f>
        <v>No</v>
      </c>
      <c r="F970" s="3" t="str">
        <f>IF(COUNTIF(Hoja1!$G$2:$G$1000,Hoja1!G970)&gt;1,"Sí","No")</f>
        <v>No</v>
      </c>
      <c r="G970" s="3" t="str">
        <f>IF(OR(ISERROR(FIND("@",Hoja1!G970)),ISERROR(FIND(".",Hoja1!G970,FIND("@",Hoja1!G970)))),"Sí","No")</f>
        <v>No</v>
      </c>
      <c r="H970" s="3" t="str">
        <f>IF(LEN(Hoja1!F970)&lt;&gt;14,"Sí","No")</f>
        <v>No</v>
      </c>
      <c r="I970" s="3" t="str">
        <f>IF(Hoja1!C970&gt;Hoja1!H970,"Sí","No")</f>
        <v>No</v>
      </c>
      <c r="J970" s="3" t="str">
        <f>IF(SUMPRODUCT(--ISNUMBER(SEARCH({"0";"1";"2";"3";"4";"5";"6";"7";"8";"9"},Hoja1!D970)))=0,"Sí","No")</f>
        <v>No</v>
      </c>
      <c r="K970" s="3" t="str">
        <f t="shared" si="15"/>
        <v>No</v>
      </c>
    </row>
    <row r="971" spans="1:11" ht="15" customHeight="1" x14ac:dyDescent="0.3">
      <c r="A971" s="3" t="str">
        <f>Hoja1!A971</f>
        <v>C0970</v>
      </c>
      <c r="B971" s="3" t="str">
        <f>Hoja1!B971</f>
        <v>Aitana Gelabert Guardiola</v>
      </c>
      <c r="C971" s="3" t="str">
        <f>IF(COUNTA(Hoja1!A971:I971)=0,"Sí","No")</f>
        <v>No</v>
      </c>
      <c r="D971" s="3" t="str">
        <f>IF(COUNTBLANK(Hoja1!A971:I971)&gt;0,"Sí","No")</f>
        <v>No</v>
      </c>
      <c r="E971" s="3" t="str">
        <f>IF(COUNTIF(Hoja1!$A$2:$A$1000,Hoja1!A971)&gt;1,"Sí","No")</f>
        <v>No</v>
      </c>
      <c r="F971" s="3" t="str">
        <f>IF(COUNTIF(Hoja1!$G$2:$G$1000,Hoja1!G971)&gt;1,"Sí","No")</f>
        <v>No</v>
      </c>
      <c r="G971" s="3" t="str">
        <f>IF(OR(ISERROR(FIND("@",Hoja1!G971)),ISERROR(FIND(".",Hoja1!G971,FIND("@",Hoja1!G971)))),"Sí","No")</f>
        <v>No</v>
      </c>
      <c r="H971" s="3" t="str">
        <f>IF(LEN(Hoja1!F971)&lt;&gt;14,"Sí","No")</f>
        <v>No</v>
      </c>
      <c r="I971" s="3" t="str">
        <f>IF(Hoja1!C971&gt;Hoja1!H971,"Sí","No")</f>
        <v>No</v>
      </c>
      <c r="J971" s="3" t="str">
        <f>IF(SUMPRODUCT(--ISNUMBER(SEARCH({"0";"1";"2";"3";"4";"5";"6";"7";"8";"9"},Hoja1!D971)))=0,"Sí","No")</f>
        <v>No</v>
      </c>
      <c r="K971" s="3" t="str">
        <f t="shared" si="15"/>
        <v>No</v>
      </c>
    </row>
    <row r="972" spans="1:11" ht="15" customHeight="1" x14ac:dyDescent="0.3">
      <c r="A972" s="3" t="str">
        <f>Hoja1!A972</f>
        <v>C0971</v>
      </c>
      <c r="B972" s="3" t="str">
        <f>Hoja1!B972</f>
        <v>Luis Pellicer Fábregas</v>
      </c>
      <c r="C972" s="3" t="str">
        <f>IF(COUNTA(Hoja1!A972:I972)=0,"Sí","No")</f>
        <v>No</v>
      </c>
      <c r="D972" s="3" t="str">
        <f>IF(COUNTBLANK(Hoja1!A972:I972)&gt;0,"Sí","No")</f>
        <v>No</v>
      </c>
      <c r="E972" s="3" t="str">
        <f>IF(COUNTIF(Hoja1!$A$2:$A$1000,Hoja1!A972)&gt;1,"Sí","No")</f>
        <v>No</v>
      </c>
      <c r="F972" s="3" t="str">
        <f>IF(COUNTIF(Hoja1!$G$2:$G$1000,Hoja1!G972)&gt;1,"Sí","No")</f>
        <v>No</v>
      </c>
      <c r="G972" s="3" t="str">
        <f>IF(OR(ISERROR(FIND("@",Hoja1!G972)),ISERROR(FIND(".",Hoja1!G972,FIND("@",Hoja1!G972)))),"Sí","No")</f>
        <v>No</v>
      </c>
      <c r="H972" s="3" t="str">
        <f>IF(LEN(Hoja1!F972)&lt;&gt;14,"Sí","No")</f>
        <v>No</v>
      </c>
      <c r="I972" s="3" t="str">
        <f>IF(Hoja1!C972&gt;Hoja1!H972,"Sí","No")</f>
        <v>No</v>
      </c>
      <c r="J972" s="3" t="str">
        <f>IF(SUMPRODUCT(--ISNUMBER(SEARCH({"0";"1";"2";"3";"4";"5";"6";"7";"8";"9"},Hoja1!D972)))=0,"Sí","No")</f>
        <v>No</v>
      </c>
      <c r="K972" s="3" t="str">
        <f t="shared" si="15"/>
        <v>No</v>
      </c>
    </row>
    <row r="973" spans="1:11" ht="15" customHeight="1" x14ac:dyDescent="0.3">
      <c r="A973" s="3" t="str">
        <f>Hoja1!A973</f>
        <v>C0972</v>
      </c>
      <c r="B973" s="3" t="str">
        <f>Hoja1!B973</f>
        <v>Herminio Pereira Redondo</v>
      </c>
      <c r="C973" s="3" t="str">
        <f>IF(COUNTA(Hoja1!A973:I973)=0,"Sí","No")</f>
        <v>No</v>
      </c>
      <c r="D973" s="3" t="str">
        <f>IF(COUNTBLANK(Hoja1!A973:I973)&gt;0,"Sí","No")</f>
        <v>No</v>
      </c>
      <c r="E973" s="3" t="str">
        <f>IF(COUNTIF(Hoja1!$A$2:$A$1000,Hoja1!A973)&gt;1,"Sí","No")</f>
        <v>No</v>
      </c>
      <c r="F973" s="3" t="str">
        <f>IF(COUNTIF(Hoja1!$G$2:$G$1000,Hoja1!G973)&gt;1,"Sí","No")</f>
        <v>No</v>
      </c>
      <c r="G973" s="3" t="str">
        <f>IF(OR(ISERROR(FIND("@",Hoja1!G973)),ISERROR(FIND(".",Hoja1!G973,FIND("@",Hoja1!G973)))),"Sí","No")</f>
        <v>No</v>
      </c>
      <c r="H973" s="3" t="str">
        <f>IF(LEN(Hoja1!F973)&lt;&gt;14,"Sí","No")</f>
        <v>No</v>
      </c>
      <c r="I973" s="3" t="str">
        <f>IF(Hoja1!C973&gt;Hoja1!H973,"Sí","No")</f>
        <v>No</v>
      </c>
      <c r="J973" s="3" t="str">
        <f>IF(SUMPRODUCT(--ISNUMBER(SEARCH({"0";"1";"2";"3";"4";"5";"6";"7";"8";"9"},Hoja1!D973)))=0,"Sí","No")</f>
        <v>No</v>
      </c>
      <c r="K973" s="3" t="str">
        <f t="shared" si="15"/>
        <v>No</v>
      </c>
    </row>
    <row r="974" spans="1:11" ht="15" customHeight="1" x14ac:dyDescent="0.3">
      <c r="A974" s="3" t="str">
        <f>Hoja1!A974</f>
        <v>C0973</v>
      </c>
      <c r="B974" s="3" t="str">
        <f>Hoja1!B974</f>
        <v>Primitiva Quintero Sacristán</v>
      </c>
      <c r="C974" s="3" t="str">
        <f>IF(COUNTA(Hoja1!A974:I974)=0,"Sí","No")</f>
        <v>No</v>
      </c>
      <c r="D974" s="3" t="str">
        <f>IF(COUNTBLANK(Hoja1!A974:I974)&gt;0,"Sí","No")</f>
        <v>No</v>
      </c>
      <c r="E974" s="3" t="str">
        <f>IF(COUNTIF(Hoja1!$A$2:$A$1000,Hoja1!A974)&gt;1,"Sí","No")</f>
        <v>No</v>
      </c>
      <c r="F974" s="3" t="str">
        <f>IF(COUNTIF(Hoja1!$G$2:$G$1000,Hoja1!G974)&gt;1,"Sí","No")</f>
        <v>No</v>
      </c>
      <c r="G974" s="3" t="str">
        <f>IF(OR(ISERROR(FIND("@",Hoja1!G974)),ISERROR(FIND(".",Hoja1!G974,FIND("@",Hoja1!G974)))),"Sí","No")</f>
        <v>No</v>
      </c>
      <c r="H974" s="3" t="str">
        <f>IF(LEN(Hoja1!F974)&lt;&gt;14,"Sí","No")</f>
        <v>No</v>
      </c>
      <c r="I974" s="3" t="str">
        <f>IF(Hoja1!C974&gt;Hoja1!H974,"Sí","No")</f>
        <v>No</v>
      </c>
      <c r="J974" s="3" t="str">
        <f>IF(SUMPRODUCT(--ISNUMBER(SEARCH({"0";"1";"2";"3";"4";"5";"6";"7";"8";"9"},Hoja1!D974)))=0,"Sí","No")</f>
        <v>No</v>
      </c>
      <c r="K974" s="3" t="str">
        <f t="shared" si="15"/>
        <v>No</v>
      </c>
    </row>
    <row r="975" spans="1:11" ht="15" customHeight="1" x14ac:dyDescent="0.3">
      <c r="A975" s="3" t="str">
        <f>Hoja1!A975</f>
        <v>C0974</v>
      </c>
      <c r="B975" s="3" t="str">
        <f>Hoja1!B975</f>
        <v>Evangelina Esparza Mariscal</v>
      </c>
      <c r="C975" s="3" t="str">
        <f>IF(COUNTA(Hoja1!A975:I975)=0,"Sí","No")</f>
        <v>No</v>
      </c>
      <c r="D975" s="3" t="str">
        <f>IF(COUNTBLANK(Hoja1!A975:I975)&gt;0,"Sí","No")</f>
        <v>No</v>
      </c>
      <c r="E975" s="3" t="str">
        <f>IF(COUNTIF(Hoja1!$A$2:$A$1000,Hoja1!A975)&gt;1,"Sí","No")</f>
        <v>No</v>
      </c>
      <c r="F975" s="3" t="str">
        <f>IF(COUNTIF(Hoja1!$G$2:$G$1000,Hoja1!G975)&gt;1,"Sí","No")</f>
        <v>No</v>
      </c>
      <c r="G975" s="3" t="str">
        <f>IF(OR(ISERROR(FIND("@",Hoja1!G975)),ISERROR(FIND(".",Hoja1!G975,FIND("@",Hoja1!G975)))),"Sí","No")</f>
        <v>No</v>
      </c>
      <c r="H975" s="3" t="str">
        <f>IF(LEN(Hoja1!F975)&lt;&gt;14,"Sí","No")</f>
        <v>No</v>
      </c>
      <c r="I975" s="3" t="str">
        <f>IF(Hoja1!C975&gt;Hoja1!H975,"Sí","No")</f>
        <v>No</v>
      </c>
      <c r="J975" s="3" t="str">
        <f>IF(SUMPRODUCT(--ISNUMBER(SEARCH({"0";"1";"2";"3";"4";"5";"6";"7";"8";"9"},Hoja1!D975)))=0,"Sí","No")</f>
        <v>No</v>
      </c>
      <c r="K975" s="3" t="str">
        <f t="shared" si="15"/>
        <v>No</v>
      </c>
    </row>
    <row r="976" spans="1:11" ht="15" customHeight="1" x14ac:dyDescent="0.3">
      <c r="A976" s="3" t="str">
        <f>Hoja1!A976</f>
        <v>C0975</v>
      </c>
      <c r="B976" s="3" t="str">
        <f>Hoja1!B976</f>
        <v>Celia Aguiló Duran</v>
      </c>
      <c r="C976" s="3" t="str">
        <f>IF(COUNTA(Hoja1!A976:I976)=0,"Sí","No")</f>
        <v>No</v>
      </c>
      <c r="D976" s="3" t="str">
        <f>IF(COUNTBLANK(Hoja1!A976:I976)&gt;0,"Sí","No")</f>
        <v>No</v>
      </c>
      <c r="E976" s="3" t="str">
        <f>IF(COUNTIF(Hoja1!$A$2:$A$1000,Hoja1!A976)&gt;1,"Sí","No")</f>
        <v>No</v>
      </c>
      <c r="F976" s="3" t="str">
        <f>IF(COUNTIF(Hoja1!$G$2:$G$1000,Hoja1!G976)&gt;1,"Sí","No")</f>
        <v>No</v>
      </c>
      <c r="G976" s="3" t="str">
        <f>IF(OR(ISERROR(FIND("@",Hoja1!G976)),ISERROR(FIND(".",Hoja1!G976,FIND("@",Hoja1!G976)))),"Sí","No")</f>
        <v>No</v>
      </c>
      <c r="H976" s="3" t="str">
        <f>IF(LEN(Hoja1!F976)&lt;&gt;14,"Sí","No")</f>
        <v>No</v>
      </c>
      <c r="I976" s="3" t="str">
        <f>IF(Hoja1!C976&gt;Hoja1!H976,"Sí","No")</f>
        <v>No</v>
      </c>
      <c r="J976" s="3" t="str">
        <f>IF(SUMPRODUCT(--ISNUMBER(SEARCH({"0";"1";"2";"3";"4";"5";"6";"7";"8";"9"},Hoja1!D976)))=0,"Sí","No")</f>
        <v>No</v>
      </c>
      <c r="K976" s="3" t="str">
        <f t="shared" si="15"/>
        <v>No</v>
      </c>
    </row>
    <row r="977" spans="1:11" ht="15" customHeight="1" x14ac:dyDescent="0.3">
      <c r="A977" s="3" t="str">
        <f>Hoja1!A977</f>
        <v>C0976</v>
      </c>
      <c r="B977" s="3" t="str">
        <f>Hoja1!B977</f>
        <v>Olivia del Grau</v>
      </c>
      <c r="C977" s="3" t="str">
        <f>IF(COUNTA(Hoja1!A977:I977)=0,"Sí","No")</f>
        <v>No</v>
      </c>
      <c r="D977" s="3" t="str">
        <f>IF(COUNTBLANK(Hoja1!A977:I977)&gt;0,"Sí","No")</f>
        <v>No</v>
      </c>
      <c r="E977" s="3" t="str">
        <f>IF(COUNTIF(Hoja1!$A$2:$A$1000,Hoja1!A977)&gt;1,"Sí","No")</f>
        <v>No</v>
      </c>
      <c r="F977" s="3" t="str">
        <f>IF(COUNTIF(Hoja1!$G$2:$G$1000,Hoja1!G977)&gt;1,"Sí","No")</f>
        <v>No</v>
      </c>
      <c r="G977" s="3" t="str">
        <f>IF(OR(ISERROR(FIND("@",Hoja1!G977)),ISERROR(FIND(".",Hoja1!G977,FIND("@",Hoja1!G977)))),"Sí","No")</f>
        <v>No</v>
      </c>
      <c r="H977" s="3" t="str">
        <f>IF(LEN(Hoja1!F977)&lt;&gt;14,"Sí","No")</f>
        <v>No</v>
      </c>
      <c r="I977" s="3" t="str">
        <f>IF(Hoja1!C977&gt;Hoja1!H977,"Sí","No")</f>
        <v>No</v>
      </c>
      <c r="J977" s="3" t="str">
        <f>IF(SUMPRODUCT(--ISNUMBER(SEARCH({"0";"1";"2";"3";"4";"5";"6";"7";"8";"9"},Hoja1!D977)))=0,"Sí","No")</f>
        <v>No</v>
      </c>
      <c r="K977" s="3" t="str">
        <f t="shared" si="15"/>
        <v>No</v>
      </c>
    </row>
    <row r="978" spans="1:11" ht="15" customHeight="1" x14ac:dyDescent="0.3">
      <c r="A978" s="3" t="str">
        <f>Hoja1!A978</f>
        <v>C0977</v>
      </c>
      <c r="B978" s="3" t="str">
        <f>Hoja1!B978</f>
        <v>Juan Bautista Valderrama Méndez</v>
      </c>
      <c r="C978" s="3" t="str">
        <f>IF(COUNTA(Hoja1!A978:I978)=0,"Sí","No")</f>
        <v>No</v>
      </c>
      <c r="D978" s="3" t="str">
        <f>IF(COUNTBLANK(Hoja1!A978:I978)&gt;0,"Sí","No")</f>
        <v>No</v>
      </c>
      <c r="E978" s="3" t="str">
        <f>IF(COUNTIF(Hoja1!$A$2:$A$1000,Hoja1!A978)&gt;1,"Sí","No")</f>
        <v>No</v>
      </c>
      <c r="F978" s="3" t="str">
        <f>IF(COUNTIF(Hoja1!$G$2:$G$1000,Hoja1!G978)&gt;1,"Sí","No")</f>
        <v>No</v>
      </c>
      <c r="G978" s="3" t="str">
        <f>IF(OR(ISERROR(FIND("@",Hoja1!G978)),ISERROR(FIND(".",Hoja1!G978,FIND("@",Hoja1!G978)))),"Sí","No")</f>
        <v>No</v>
      </c>
      <c r="H978" s="3" t="str">
        <f>IF(LEN(Hoja1!F978)&lt;&gt;14,"Sí","No")</f>
        <v>No</v>
      </c>
      <c r="I978" s="3" t="str">
        <f>IF(Hoja1!C978&gt;Hoja1!H978,"Sí","No")</f>
        <v>No</v>
      </c>
      <c r="J978" s="3" t="str">
        <f>IF(SUMPRODUCT(--ISNUMBER(SEARCH({"0";"1";"2";"3";"4";"5";"6";"7";"8";"9"},Hoja1!D978)))=0,"Sí","No")</f>
        <v>No</v>
      </c>
      <c r="K978" s="3" t="str">
        <f t="shared" si="15"/>
        <v>No</v>
      </c>
    </row>
    <row r="979" spans="1:11" ht="15" customHeight="1" x14ac:dyDescent="0.3">
      <c r="A979" s="3" t="str">
        <f>Hoja1!A979</f>
        <v>C0978</v>
      </c>
      <c r="B979" s="3" t="str">
        <f>Hoja1!B979</f>
        <v>Carina Cañete Alcolea</v>
      </c>
      <c r="C979" s="3" t="str">
        <f>IF(COUNTA(Hoja1!A979:I979)=0,"Sí","No")</f>
        <v>No</v>
      </c>
      <c r="D979" s="3" t="str">
        <f>IF(COUNTBLANK(Hoja1!A979:I979)&gt;0,"Sí","No")</f>
        <v>No</v>
      </c>
      <c r="E979" s="3" t="str">
        <f>IF(COUNTIF(Hoja1!$A$2:$A$1000,Hoja1!A979)&gt;1,"Sí","No")</f>
        <v>No</v>
      </c>
      <c r="F979" s="3" t="str">
        <f>IF(COUNTIF(Hoja1!$G$2:$G$1000,Hoja1!G979)&gt;1,"Sí","No")</f>
        <v>No</v>
      </c>
      <c r="G979" s="3" t="str">
        <f>IF(OR(ISERROR(FIND("@",Hoja1!G979)),ISERROR(FIND(".",Hoja1!G979,FIND("@",Hoja1!G979)))),"Sí","No")</f>
        <v>No</v>
      </c>
      <c r="H979" s="3" t="str">
        <f>IF(LEN(Hoja1!F979)&lt;&gt;14,"Sí","No")</f>
        <v>No</v>
      </c>
      <c r="I979" s="3" t="str">
        <f>IF(Hoja1!C979&gt;Hoja1!H979,"Sí","No")</f>
        <v>No</v>
      </c>
      <c r="J979" s="3" t="str">
        <f>IF(SUMPRODUCT(--ISNUMBER(SEARCH({"0";"1";"2";"3";"4";"5";"6";"7";"8";"9"},Hoja1!D979)))=0,"Sí","No")</f>
        <v>No</v>
      </c>
      <c r="K979" s="3" t="str">
        <f t="shared" si="15"/>
        <v>No</v>
      </c>
    </row>
    <row r="980" spans="1:11" ht="15" customHeight="1" x14ac:dyDescent="0.3">
      <c r="A980" s="3" t="str">
        <f>Hoja1!A980</f>
        <v>C0979</v>
      </c>
      <c r="B980" s="3" t="str">
        <f>Hoja1!B980</f>
        <v>Ambrosio Calatayud Revilla</v>
      </c>
      <c r="C980" s="3" t="str">
        <f>IF(COUNTA(Hoja1!A980:I980)=0,"Sí","No")</f>
        <v>No</v>
      </c>
      <c r="D980" s="3" t="str">
        <f>IF(COUNTBLANK(Hoja1!A980:I980)&gt;0,"Sí","No")</f>
        <v>No</v>
      </c>
      <c r="E980" s="3" t="str">
        <f>IF(COUNTIF(Hoja1!$A$2:$A$1000,Hoja1!A980)&gt;1,"Sí","No")</f>
        <v>No</v>
      </c>
      <c r="F980" s="3" t="str">
        <f>IF(COUNTIF(Hoja1!$G$2:$G$1000,Hoja1!G980)&gt;1,"Sí","No")</f>
        <v>No</v>
      </c>
      <c r="G980" s="3" t="str">
        <f>IF(OR(ISERROR(FIND("@",Hoja1!G980)),ISERROR(FIND(".",Hoja1!G980,FIND("@",Hoja1!G980)))),"Sí","No")</f>
        <v>No</v>
      </c>
      <c r="H980" s="3" t="str">
        <f>IF(LEN(Hoja1!F980)&lt;&gt;14,"Sí","No")</f>
        <v>No</v>
      </c>
      <c r="I980" s="3" t="str">
        <f>IF(Hoja1!C980&gt;Hoja1!H980,"Sí","No")</f>
        <v>No</v>
      </c>
      <c r="J980" s="3" t="str">
        <f>IF(SUMPRODUCT(--ISNUMBER(SEARCH({"0";"1";"2";"3";"4";"5";"6";"7";"8";"9"},Hoja1!D980)))=0,"Sí","No")</f>
        <v>No</v>
      </c>
      <c r="K980" s="3" t="str">
        <f t="shared" si="15"/>
        <v>No</v>
      </c>
    </row>
    <row r="981" spans="1:11" ht="15" customHeight="1" x14ac:dyDescent="0.3">
      <c r="A981" s="3" t="str">
        <f>Hoja1!A981</f>
        <v>C0980</v>
      </c>
      <c r="B981" s="3" t="str">
        <f>Hoja1!B981</f>
        <v>Ildefonso de Fajardo</v>
      </c>
      <c r="C981" s="3" t="str">
        <f>IF(COUNTA(Hoja1!A981:I981)=0,"Sí","No")</f>
        <v>No</v>
      </c>
      <c r="D981" s="3" t="str">
        <f>IF(COUNTBLANK(Hoja1!A981:I981)&gt;0,"Sí","No")</f>
        <v>No</v>
      </c>
      <c r="E981" s="3" t="str">
        <f>IF(COUNTIF(Hoja1!$A$2:$A$1000,Hoja1!A981)&gt;1,"Sí","No")</f>
        <v>No</v>
      </c>
      <c r="F981" s="3" t="str">
        <f>IF(COUNTIF(Hoja1!$G$2:$G$1000,Hoja1!G981)&gt;1,"Sí","No")</f>
        <v>No</v>
      </c>
      <c r="G981" s="3" t="str">
        <f>IF(OR(ISERROR(FIND("@",Hoja1!G981)),ISERROR(FIND(".",Hoja1!G981,FIND("@",Hoja1!G981)))),"Sí","No")</f>
        <v>No</v>
      </c>
      <c r="H981" s="3" t="str">
        <f>IF(LEN(Hoja1!F981)&lt;&gt;14,"Sí","No")</f>
        <v>No</v>
      </c>
      <c r="I981" s="3" t="str">
        <f>IF(Hoja1!C981&gt;Hoja1!H981,"Sí","No")</f>
        <v>No</v>
      </c>
      <c r="J981" s="3" t="str">
        <f>IF(SUMPRODUCT(--ISNUMBER(SEARCH({"0";"1";"2";"3";"4";"5";"6";"7";"8";"9"},Hoja1!D981)))=0,"Sí","No")</f>
        <v>No</v>
      </c>
      <c r="K981" s="3" t="str">
        <f t="shared" si="15"/>
        <v>No</v>
      </c>
    </row>
    <row r="982" spans="1:11" ht="15" customHeight="1" x14ac:dyDescent="0.3">
      <c r="A982" s="3" t="str">
        <f>Hoja1!A982</f>
        <v>C0981</v>
      </c>
      <c r="B982" s="3" t="str">
        <f>Hoja1!B982</f>
        <v>Edelmira Baeza-Rodriguez</v>
      </c>
      <c r="C982" s="3" t="str">
        <f>IF(COUNTA(Hoja1!A982:I982)=0,"Sí","No")</f>
        <v>No</v>
      </c>
      <c r="D982" s="3" t="str">
        <f>IF(COUNTBLANK(Hoja1!A982:I982)&gt;0,"Sí","No")</f>
        <v>No</v>
      </c>
      <c r="E982" s="3" t="str">
        <f>IF(COUNTIF(Hoja1!$A$2:$A$1000,Hoja1!A982)&gt;1,"Sí","No")</f>
        <v>No</v>
      </c>
      <c r="F982" s="3" t="str">
        <f>IF(COUNTIF(Hoja1!$G$2:$G$1000,Hoja1!G982)&gt;1,"Sí","No")</f>
        <v>No</v>
      </c>
      <c r="G982" s="3" t="str">
        <f>IF(OR(ISERROR(FIND("@",Hoja1!G982)),ISERROR(FIND(".",Hoja1!G982,FIND("@",Hoja1!G982)))),"Sí","No")</f>
        <v>No</v>
      </c>
      <c r="H982" s="3" t="str">
        <f>IF(LEN(Hoja1!F982)&lt;&gt;14,"Sí","No")</f>
        <v>No</v>
      </c>
      <c r="I982" s="3" t="str">
        <f>IF(Hoja1!C982&gt;Hoja1!H982,"Sí","No")</f>
        <v>No</v>
      </c>
      <c r="J982" s="3" t="str">
        <f>IF(SUMPRODUCT(--ISNUMBER(SEARCH({"0";"1";"2";"3";"4";"5";"6";"7";"8";"9"},Hoja1!D982)))=0,"Sí","No")</f>
        <v>No</v>
      </c>
      <c r="K982" s="3" t="str">
        <f t="shared" si="15"/>
        <v>No</v>
      </c>
    </row>
    <row r="983" spans="1:11" ht="15" customHeight="1" x14ac:dyDescent="0.3">
      <c r="A983" s="3" t="str">
        <f>Hoja1!A983</f>
        <v>C0982</v>
      </c>
      <c r="B983" s="3" t="str">
        <f>Hoja1!B983</f>
        <v>Socorro Castro Agustí</v>
      </c>
      <c r="C983" s="3" t="str">
        <f>IF(COUNTA(Hoja1!A983:I983)=0,"Sí","No")</f>
        <v>No</v>
      </c>
      <c r="D983" s="3" t="str">
        <f>IF(COUNTBLANK(Hoja1!A983:I983)&gt;0,"Sí","No")</f>
        <v>No</v>
      </c>
      <c r="E983" s="3" t="str">
        <f>IF(COUNTIF(Hoja1!$A$2:$A$1000,Hoja1!A983)&gt;1,"Sí","No")</f>
        <v>No</v>
      </c>
      <c r="F983" s="3" t="str">
        <f>IF(COUNTIF(Hoja1!$G$2:$G$1000,Hoja1!G983)&gt;1,"Sí","No")</f>
        <v>No</v>
      </c>
      <c r="G983" s="3" t="str">
        <f>IF(OR(ISERROR(FIND("@",Hoja1!G983)),ISERROR(FIND(".",Hoja1!G983,FIND("@",Hoja1!G983)))),"Sí","No")</f>
        <v>No</v>
      </c>
      <c r="H983" s="3" t="str">
        <f>IF(LEN(Hoja1!F983)&lt;&gt;14,"Sí","No")</f>
        <v>No</v>
      </c>
      <c r="I983" s="3" t="str">
        <f>IF(Hoja1!C983&gt;Hoja1!H983,"Sí","No")</f>
        <v>No</v>
      </c>
      <c r="J983" s="3" t="str">
        <f>IF(SUMPRODUCT(--ISNUMBER(SEARCH({"0";"1";"2";"3";"4";"5";"6";"7";"8";"9"},Hoja1!D983)))=0,"Sí","No")</f>
        <v>No</v>
      </c>
      <c r="K983" s="3" t="str">
        <f t="shared" si="15"/>
        <v>No</v>
      </c>
    </row>
    <row r="984" spans="1:11" ht="15" customHeight="1" x14ac:dyDescent="0.3">
      <c r="A984" s="3" t="str">
        <f>Hoja1!A984</f>
        <v>C0983</v>
      </c>
      <c r="B984" s="3" t="str">
        <f>Hoja1!B984</f>
        <v>Calixto Ávila Pintor</v>
      </c>
      <c r="C984" s="3" t="str">
        <f>IF(COUNTA(Hoja1!A984:I984)=0,"Sí","No")</f>
        <v>No</v>
      </c>
      <c r="D984" s="3" t="str">
        <f>IF(COUNTBLANK(Hoja1!A984:I984)&gt;0,"Sí","No")</f>
        <v>No</v>
      </c>
      <c r="E984" s="3" t="str">
        <f>IF(COUNTIF(Hoja1!$A$2:$A$1000,Hoja1!A984)&gt;1,"Sí","No")</f>
        <v>No</v>
      </c>
      <c r="F984" s="3" t="str">
        <f>IF(COUNTIF(Hoja1!$G$2:$G$1000,Hoja1!G984)&gt;1,"Sí","No")</f>
        <v>Sí</v>
      </c>
      <c r="G984" s="3" t="str">
        <f>IF(OR(ISERROR(FIND("@",Hoja1!G984)),ISERROR(FIND(".",Hoja1!G984,FIND("@",Hoja1!G984)))),"Sí","No")</f>
        <v>No</v>
      </c>
      <c r="H984" s="3" t="str">
        <f>IF(LEN(Hoja1!F984)&lt;&gt;14,"Sí","No")</f>
        <v>No</v>
      </c>
      <c r="I984" s="3" t="str">
        <f>IF(Hoja1!C984&gt;Hoja1!H984,"Sí","No")</f>
        <v>No</v>
      </c>
      <c r="J984" s="3" t="str">
        <f>IF(SUMPRODUCT(--ISNUMBER(SEARCH({"0";"1";"2";"3";"4";"5";"6";"7";"8";"9"},Hoja1!D984)))=0,"Sí","No")</f>
        <v>No</v>
      </c>
      <c r="K984" s="3" t="str">
        <f t="shared" si="15"/>
        <v>Sí</v>
      </c>
    </row>
    <row r="985" spans="1:11" ht="15" customHeight="1" x14ac:dyDescent="0.3">
      <c r="A985" s="3" t="str">
        <f>Hoja1!A985</f>
        <v>C0984</v>
      </c>
      <c r="B985" s="3" t="str">
        <f>Hoja1!B985</f>
        <v>Severiano de Morán</v>
      </c>
      <c r="C985" s="3" t="str">
        <f>IF(COUNTA(Hoja1!A985:I985)=0,"Sí","No")</f>
        <v>No</v>
      </c>
      <c r="D985" s="3" t="str">
        <f>IF(COUNTBLANK(Hoja1!A985:I985)&gt;0,"Sí","No")</f>
        <v>No</v>
      </c>
      <c r="E985" s="3" t="str">
        <f>IF(COUNTIF(Hoja1!$A$2:$A$1000,Hoja1!A985)&gt;1,"Sí","No")</f>
        <v>No</v>
      </c>
      <c r="F985" s="3" t="str">
        <f>IF(COUNTIF(Hoja1!$G$2:$G$1000,Hoja1!G985)&gt;1,"Sí","No")</f>
        <v>No</v>
      </c>
      <c r="G985" s="3" t="str">
        <f>IF(OR(ISERROR(FIND("@",Hoja1!G985)),ISERROR(FIND(".",Hoja1!G985,FIND("@",Hoja1!G985)))),"Sí","No")</f>
        <v>No</v>
      </c>
      <c r="H985" s="3" t="str">
        <f>IF(LEN(Hoja1!F985)&lt;&gt;14,"Sí","No")</f>
        <v>No</v>
      </c>
      <c r="I985" s="3" t="str">
        <f>IF(Hoja1!C985&gt;Hoja1!H985,"Sí","No")</f>
        <v>No</v>
      </c>
      <c r="J985" s="3" t="str">
        <f>IF(SUMPRODUCT(--ISNUMBER(SEARCH({"0";"1";"2";"3";"4";"5";"6";"7";"8";"9"},Hoja1!D985)))=0,"Sí","No")</f>
        <v>No</v>
      </c>
      <c r="K985" s="3" t="str">
        <f t="shared" si="15"/>
        <v>No</v>
      </c>
    </row>
    <row r="986" spans="1:11" ht="15" customHeight="1" x14ac:dyDescent="0.3">
      <c r="A986" s="3" t="str">
        <f>Hoja1!A986</f>
        <v>C0985</v>
      </c>
      <c r="B986" s="3" t="str">
        <f>Hoja1!B986</f>
        <v>Olimpia Valls Calvet</v>
      </c>
      <c r="C986" s="3" t="str">
        <f>IF(COUNTA(Hoja1!A986:I986)=0,"Sí","No")</f>
        <v>No</v>
      </c>
      <c r="D986" s="3" t="str">
        <f>IF(COUNTBLANK(Hoja1!A986:I986)&gt;0,"Sí","No")</f>
        <v>No</v>
      </c>
      <c r="E986" s="3" t="str">
        <f>IF(COUNTIF(Hoja1!$A$2:$A$1000,Hoja1!A986)&gt;1,"Sí","No")</f>
        <v>No</v>
      </c>
      <c r="F986" s="3" t="str">
        <f>IF(COUNTIF(Hoja1!$G$2:$G$1000,Hoja1!G986)&gt;1,"Sí","No")</f>
        <v>Sí</v>
      </c>
      <c r="G986" s="3" t="str">
        <f>IF(OR(ISERROR(FIND("@",Hoja1!G986)),ISERROR(FIND(".",Hoja1!G986,FIND("@",Hoja1!G986)))),"Sí","No")</f>
        <v>No</v>
      </c>
      <c r="H986" s="3" t="str">
        <f>IF(LEN(Hoja1!F986)&lt;&gt;14,"Sí","No")</f>
        <v>No</v>
      </c>
      <c r="I986" s="3" t="str">
        <f>IF(Hoja1!C986&gt;Hoja1!H986,"Sí","No")</f>
        <v>No</v>
      </c>
      <c r="J986" s="3" t="str">
        <f>IF(SUMPRODUCT(--ISNUMBER(SEARCH({"0";"1";"2";"3";"4";"5";"6";"7";"8";"9"},Hoja1!D986)))=0,"Sí","No")</f>
        <v>No</v>
      </c>
      <c r="K986" s="3" t="str">
        <f t="shared" si="15"/>
        <v>Sí</v>
      </c>
    </row>
    <row r="987" spans="1:11" ht="15" customHeight="1" x14ac:dyDescent="0.3">
      <c r="A987" s="3" t="str">
        <f>Hoja1!A987</f>
        <v>C0986</v>
      </c>
      <c r="B987" s="3" t="str">
        <f>Hoja1!B987</f>
        <v>Vito del Lara</v>
      </c>
      <c r="C987" s="3" t="str">
        <f>IF(COUNTA(Hoja1!A987:I987)=0,"Sí","No")</f>
        <v>No</v>
      </c>
      <c r="D987" s="3" t="str">
        <f>IF(COUNTBLANK(Hoja1!A987:I987)&gt;0,"Sí","No")</f>
        <v>No</v>
      </c>
      <c r="E987" s="3" t="str">
        <f>IF(COUNTIF(Hoja1!$A$2:$A$1000,Hoja1!A987)&gt;1,"Sí","No")</f>
        <v>No</v>
      </c>
      <c r="F987" s="3" t="str">
        <f>IF(COUNTIF(Hoja1!$G$2:$G$1000,Hoja1!G987)&gt;1,"Sí","No")</f>
        <v>No</v>
      </c>
      <c r="G987" s="3" t="str">
        <f>IF(OR(ISERROR(FIND("@",Hoja1!G987)),ISERROR(FIND(".",Hoja1!G987,FIND("@",Hoja1!G987)))),"Sí","No")</f>
        <v>No</v>
      </c>
      <c r="H987" s="3" t="str">
        <f>IF(LEN(Hoja1!F987)&lt;&gt;14,"Sí","No")</f>
        <v>No</v>
      </c>
      <c r="I987" s="3" t="str">
        <f>IF(Hoja1!C987&gt;Hoja1!H987,"Sí","No")</f>
        <v>No</v>
      </c>
      <c r="J987" s="3" t="str">
        <f>IF(SUMPRODUCT(--ISNUMBER(SEARCH({"0";"1";"2";"3";"4";"5";"6";"7";"8";"9"},Hoja1!D987)))=0,"Sí","No")</f>
        <v>No</v>
      </c>
      <c r="K987" s="3" t="str">
        <f t="shared" si="15"/>
        <v>No</v>
      </c>
    </row>
    <row r="988" spans="1:11" ht="15" customHeight="1" x14ac:dyDescent="0.3">
      <c r="A988" s="3" t="str">
        <f>Hoja1!A988</f>
        <v>C0987</v>
      </c>
      <c r="B988" s="3" t="str">
        <f>Hoja1!B988</f>
        <v>Teodosio Arteaga Nicolau</v>
      </c>
      <c r="C988" s="3" t="str">
        <f>IF(COUNTA(Hoja1!A988:I988)=0,"Sí","No")</f>
        <v>No</v>
      </c>
      <c r="D988" s="3" t="str">
        <f>IF(COUNTBLANK(Hoja1!A988:I988)&gt;0,"Sí","No")</f>
        <v>No</v>
      </c>
      <c r="E988" s="3" t="str">
        <f>IF(COUNTIF(Hoja1!$A$2:$A$1000,Hoja1!A988)&gt;1,"Sí","No")</f>
        <v>No</v>
      </c>
      <c r="F988" s="3" t="str">
        <f>IF(COUNTIF(Hoja1!$G$2:$G$1000,Hoja1!G988)&gt;1,"Sí","No")</f>
        <v>No</v>
      </c>
      <c r="G988" s="3" t="str">
        <f>IF(OR(ISERROR(FIND("@",Hoja1!G988)),ISERROR(FIND(".",Hoja1!G988,FIND("@",Hoja1!G988)))),"Sí","No")</f>
        <v>No</v>
      </c>
      <c r="H988" s="3" t="str">
        <f>IF(LEN(Hoja1!F988)&lt;&gt;14,"Sí","No")</f>
        <v>No</v>
      </c>
      <c r="I988" s="3" t="str">
        <f>IF(Hoja1!C988&gt;Hoja1!H988,"Sí","No")</f>
        <v>No</v>
      </c>
      <c r="J988" s="3" t="str">
        <f>IF(SUMPRODUCT(--ISNUMBER(SEARCH({"0";"1";"2";"3";"4";"5";"6";"7";"8";"9"},Hoja1!D988)))=0,"Sí","No")</f>
        <v>No</v>
      </c>
      <c r="K988" s="3" t="str">
        <f t="shared" si="15"/>
        <v>No</v>
      </c>
    </row>
    <row r="989" spans="1:11" ht="15" customHeight="1" x14ac:dyDescent="0.3">
      <c r="A989" s="3" t="str">
        <f>Hoja1!A989</f>
        <v>C0988</v>
      </c>
      <c r="B989" s="3" t="str">
        <f>Hoja1!B989</f>
        <v>Juan Luis Amorós Calvet</v>
      </c>
      <c r="C989" s="3" t="str">
        <f>IF(COUNTA(Hoja1!A989:I989)=0,"Sí","No")</f>
        <v>No</v>
      </c>
      <c r="D989" s="3" t="str">
        <f>IF(COUNTBLANK(Hoja1!A989:I989)&gt;0,"Sí","No")</f>
        <v>No</v>
      </c>
      <c r="E989" s="3" t="str">
        <f>IF(COUNTIF(Hoja1!$A$2:$A$1000,Hoja1!A989)&gt;1,"Sí","No")</f>
        <v>No</v>
      </c>
      <c r="F989" s="3" t="str">
        <f>IF(COUNTIF(Hoja1!$G$2:$G$1000,Hoja1!G989)&gt;1,"Sí","No")</f>
        <v>No</v>
      </c>
      <c r="G989" s="3" t="str">
        <f>IF(OR(ISERROR(FIND("@",Hoja1!G989)),ISERROR(FIND(".",Hoja1!G989,FIND("@",Hoja1!G989)))),"Sí","No")</f>
        <v>No</v>
      </c>
      <c r="H989" s="3" t="str">
        <f>IF(LEN(Hoja1!F989)&lt;&gt;14,"Sí","No")</f>
        <v>No</v>
      </c>
      <c r="I989" s="3" t="str">
        <f>IF(Hoja1!C989&gt;Hoja1!H989,"Sí","No")</f>
        <v>No</v>
      </c>
      <c r="J989" s="3" t="str">
        <f>IF(SUMPRODUCT(--ISNUMBER(SEARCH({"0";"1";"2";"3";"4";"5";"6";"7";"8";"9"},Hoja1!D989)))=0,"Sí","No")</f>
        <v>No</v>
      </c>
      <c r="K989" s="3" t="str">
        <f t="shared" si="15"/>
        <v>No</v>
      </c>
    </row>
    <row r="990" spans="1:11" ht="15" customHeight="1" x14ac:dyDescent="0.3">
      <c r="A990" s="3" t="str">
        <f>Hoja1!A990</f>
        <v>C0989</v>
      </c>
      <c r="B990" s="3" t="str">
        <f>Hoja1!B990</f>
        <v>Olivia del Martí</v>
      </c>
      <c r="C990" s="3" t="str">
        <f>IF(COUNTA(Hoja1!A990:I990)=0,"Sí","No")</f>
        <v>No</v>
      </c>
      <c r="D990" s="3" t="str">
        <f>IF(COUNTBLANK(Hoja1!A990:I990)&gt;0,"Sí","No")</f>
        <v>No</v>
      </c>
      <c r="E990" s="3" t="str">
        <f>IF(COUNTIF(Hoja1!$A$2:$A$1000,Hoja1!A990)&gt;1,"Sí","No")</f>
        <v>No</v>
      </c>
      <c r="F990" s="3" t="str">
        <f>IF(COUNTIF(Hoja1!$G$2:$G$1000,Hoja1!G990)&gt;1,"Sí","No")</f>
        <v>No</v>
      </c>
      <c r="G990" s="3" t="str">
        <f>IF(OR(ISERROR(FIND("@",Hoja1!G990)),ISERROR(FIND(".",Hoja1!G990,FIND("@",Hoja1!G990)))),"Sí","No")</f>
        <v>No</v>
      </c>
      <c r="H990" s="3" t="str">
        <f>IF(LEN(Hoja1!F990)&lt;&gt;14,"Sí","No")</f>
        <v>No</v>
      </c>
      <c r="I990" s="3" t="str">
        <f>IF(Hoja1!C990&gt;Hoja1!H990,"Sí","No")</f>
        <v>No</v>
      </c>
      <c r="J990" s="3" t="str">
        <f>IF(SUMPRODUCT(--ISNUMBER(SEARCH({"0";"1";"2";"3";"4";"5";"6";"7";"8";"9"},Hoja1!D990)))=0,"Sí","No")</f>
        <v>No</v>
      </c>
      <c r="K990" s="3" t="str">
        <f t="shared" si="15"/>
        <v>No</v>
      </c>
    </row>
    <row r="991" spans="1:11" ht="15" customHeight="1" x14ac:dyDescent="0.3">
      <c r="A991" s="3" t="str">
        <f>Hoja1!A991</f>
        <v>C0990</v>
      </c>
      <c r="B991" s="3" t="str">
        <f>Hoja1!B991</f>
        <v>Nicanor Peña Tudela</v>
      </c>
      <c r="C991" s="3" t="str">
        <f>IF(COUNTA(Hoja1!A991:I991)=0,"Sí","No")</f>
        <v>No</v>
      </c>
      <c r="D991" s="3" t="str">
        <f>IF(COUNTBLANK(Hoja1!A991:I991)&gt;0,"Sí","No")</f>
        <v>No</v>
      </c>
      <c r="E991" s="3" t="str">
        <f>IF(COUNTIF(Hoja1!$A$2:$A$1000,Hoja1!A991)&gt;1,"Sí","No")</f>
        <v>No</v>
      </c>
      <c r="F991" s="3" t="str">
        <f>IF(COUNTIF(Hoja1!$G$2:$G$1000,Hoja1!G991)&gt;1,"Sí","No")</f>
        <v>No</v>
      </c>
      <c r="G991" s="3" t="str">
        <f>IF(OR(ISERROR(FIND("@",Hoja1!G991)),ISERROR(FIND(".",Hoja1!G991,FIND("@",Hoja1!G991)))),"Sí","No")</f>
        <v>No</v>
      </c>
      <c r="H991" s="3" t="str">
        <f>IF(LEN(Hoja1!F991)&lt;&gt;14,"Sí","No")</f>
        <v>No</v>
      </c>
      <c r="I991" s="3" t="str">
        <f>IF(Hoja1!C991&gt;Hoja1!H991,"Sí","No")</f>
        <v>No</v>
      </c>
      <c r="J991" s="3" t="str">
        <f>IF(SUMPRODUCT(--ISNUMBER(SEARCH({"0";"1";"2";"3";"4";"5";"6";"7";"8";"9"},Hoja1!D991)))=0,"Sí","No")</f>
        <v>No</v>
      </c>
      <c r="K991" s="3" t="str">
        <f t="shared" si="15"/>
        <v>No</v>
      </c>
    </row>
    <row r="992" spans="1:11" ht="15" customHeight="1" x14ac:dyDescent="0.3">
      <c r="A992" s="3" t="str">
        <f>Hoja1!A992</f>
        <v>C0991</v>
      </c>
      <c r="B992" s="3" t="str">
        <f>Hoja1!B992</f>
        <v>Elena Torre Blazquez</v>
      </c>
      <c r="C992" s="3" t="str">
        <f>IF(COUNTA(Hoja1!A992:I992)=0,"Sí","No")</f>
        <v>No</v>
      </c>
      <c r="D992" s="3" t="str">
        <f>IF(COUNTBLANK(Hoja1!A992:I992)&gt;0,"Sí","No")</f>
        <v>No</v>
      </c>
      <c r="E992" s="3" t="str">
        <f>IF(COUNTIF(Hoja1!$A$2:$A$1000,Hoja1!A992)&gt;1,"Sí","No")</f>
        <v>No</v>
      </c>
      <c r="F992" s="3" t="str">
        <f>IF(COUNTIF(Hoja1!$G$2:$G$1000,Hoja1!G992)&gt;1,"Sí","No")</f>
        <v>No</v>
      </c>
      <c r="G992" s="3" t="str">
        <f>IF(OR(ISERROR(FIND("@",Hoja1!G992)),ISERROR(FIND(".",Hoja1!G992,FIND("@",Hoja1!G992)))),"Sí","No")</f>
        <v>No</v>
      </c>
      <c r="H992" s="3" t="str">
        <f>IF(LEN(Hoja1!F992)&lt;&gt;14,"Sí","No")</f>
        <v>No</v>
      </c>
      <c r="I992" s="3" t="str">
        <f>IF(Hoja1!C992&gt;Hoja1!H992,"Sí","No")</f>
        <v>No</v>
      </c>
      <c r="J992" s="3" t="str">
        <f>IF(SUMPRODUCT(--ISNUMBER(SEARCH({"0";"1";"2";"3";"4";"5";"6";"7";"8";"9"},Hoja1!D992)))=0,"Sí","No")</f>
        <v>No</v>
      </c>
      <c r="K992" s="3" t="str">
        <f t="shared" si="15"/>
        <v>No</v>
      </c>
    </row>
    <row r="993" spans="1:11" ht="15" customHeight="1" x14ac:dyDescent="0.3">
      <c r="A993" s="3" t="str">
        <f>Hoja1!A993</f>
        <v>C0992</v>
      </c>
      <c r="B993" s="3" t="str">
        <f>Hoja1!B993</f>
        <v>Adriana Zabala</v>
      </c>
      <c r="C993" s="3" t="str">
        <f>IF(COUNTA(Hoja1!A993:I993)=0,"Sí","No")</f>
        <v>No</v>
      </c>
      <c r="D993" s="3" t="str">
        <f>IF(COUNTBLANK(Hoja1!A993:I993)&gt;0,"Sí","No")</f>
        <v>No</v>
      </c>
      <c r="E993" s="3" t="str">
        <f>IF(COUNTIF(Hoja1!$A$2:$A$1000,Hoja1!A993)&gt;1,"Sí","No")</f>
        <v>No</v>
      </c>
      <c r="F993" s="3" t="str">
        <f>IF(COUNTIF(Hoja1!$G$2:$G$1000,Hoja1!G993)&gt;1,"Sí","No")</f>
        <v>No</v>
      </c>
      <c r="G993" s="3" t="str">
        <f>IF(OR(ISERROR(FIND("@",Hoja1!G993)),ISERROR(FIND(".",Hoja1!G993,FIND("@",Hoja1!G993)))),"Sí","No")</f>
        <v>No</v>
      </c>
      <c r="H993" s="3" t="str">
        <f>IF(LEN(Hoja1!F993)&lt;&gt;14,"Sí","No")</f>
        <v>No</v>
      </c>
      <c r="I993" s="3" t="str">
        <f>IF(Hoja1!C993&gt;Hoja1!H993,"Sí","No")</f>
        <v>No</v>
      </c>
      <c r="J993" s="3" t="str">
        <f>IF(SUMPRODUCT(--ISNUMBER(SEARCH({"0";"1";"2";"3";"4";"5";"6";"7";"8";"9"},Hoja1!D993)))=0,"Sí","No")</f>
        <v>No</v>
      </c>
      <c r="K993" s="3" t="str">
        <f t="shared" si="15"/>
        <v>No</v>
      </c>
    </row>
    <row r="994" spans="1:11" ht="15" customHeight="1" x14ac:dyDescent="0.3">
      <c r="A994" s="3" t="str">
        <f>Hoja1!A994</f>
        <v>C0993</v>
      </c>
      <c r="B994" s="3" t="str">
        <f>Hoja1!B994</f>
        <v>Yésica Carnero</v>
      </c>
      <c r="C994" s="3" t="str">
        <f>IF(COUNTA(Hoja1!A994:I994)=0,"Sí","No")</f>
        <v>No</v>
      </c>
      <c r="D994" s="3" t="str">
        <f>IF(COUNTBLANK(Hoja1!A994:I994)&gt;0,"Sí","No")</f>
        <v>No</v>
      </c>
      <c r="E994" s="3" t="str">
        <f>IF(COUNTIF(Hoja1!$A$2:$A$1000,Hoja1!A994)&gt;1,"Sí","No")</f>
        <v>No</v>
      </c>
      <c r="F994" s="3" t="str">
        <f>IF(COUNTIF(Hoja1!$G$2:$G$1000,Hoja1!G994)&gt;1,"Sí","No")</f>
        <v>No</v>
      </c>
      <c r="G994" s="3" t="str">
        <f>IF(OR(ISERROR(FIND("@",Hoja1!G994)),ISERROR(FIND(".",Hoja1!G994,FIND("@",Hoja1!G994)))),"Sí","No")</f>
        <v>No</v>
      </c>
      <c r="H994" s="3" t="str">
        <f>IF(LEN(Hoja1!F994)&lt;&gt;14,"Sí","No")</f>
        <v>No</v>
      </c>
      <c r="I994" s="3" t="str">
        <f>IF(Hoja1!C994&gt;Hoja1!H994,"Sí","No")</f>
        <v>No</v>
      </c>
      <c r="J994" s="3" t="str">
        <f>IF(SUMPRODUCT(--ISNUMBER(SEARCH({"0";"1";"2";"3";"4";"5";"6";"7";"8";"9"},Hoja1!D994)))=0,"Sí","No")</f>
        <v>No</v>
      </c>
      <c r="K994" s="3" t="str">
        <f t="shared" si="15"/>
        <v>No</v>
      </c>
    </row>
    <row r="995" spans="1:11" ht="15" customHeight="1" x14ac:dyDescent="0.3">
      <c r="A995" s="3" t="str">
        <f>Hoja1!A995</f>
        <v>C0994</v>
      </c>
      <c r="B995" s="3" t="str">
        <f>Hoja1!B995</f>
        <v>Luis Miguel Gutierrez Llabrés</v>
      </c>
      <c r="C995" s="3" t="str">
        <f>IF(COUNTA(Hoja1!A995:I995)=0,"Sí","No")</f>
        <v>No</v>
      </c>
      <c r="D995" s="3" t="str">
        <f>IF(COUNTBLANK(Hoja1!A995:I995)&gt;0,"Sí","No")</f>
        <v>No</v>
      </c>
      <c r="E995" s="3" t="str">
        <f>IF(COUNTIF(Hoja1!$A$2:$A$1000,Hoja1!A995)&gt;1,"Sí","No")</f>
        <v>No</v>
      </c>
      <c r="F995" s="3" t="str">
        <f>IF(COUNTIF(Hoja1!$G$2:$G$1000,Hoja1!G995)&gt;1,"Sí","No")</f>
        <v>No</v>
      </c>
      <c r="G995" s="3" t="str">
        <f>IF(OR(ISERROR(FIND("@",Hoja1!G995)),ISERROR(FIND(".",Hoja1!G995,FIND("@",Hoja1!G995)))),"Sí","No")</f>
        <v>No</v>
      </c>
      <c r="H995" s="3" t="str">
        <f>IF(LEN(Hoja1!F995)&lt;&gt;14,"Sí","No")</f>
        <v>No</v>
      </c>
      <c r="I995" s="3" t="str">
        <f>IF(Hoja1!C995&gt;Hoja1!H995,"Sí","No")</f>
        <v>No</v>
      </c>
      <c r="J995" s="3" t="str">
        <f>IF(SUMPRODUCT(--ISNUMBER(SEARCH({"0";"1";"2";"3";"4";"5";"6";"7";"8";"9"},Hoja1!D995)))=0,"Sí","No")</f>
        <v>No</v>
      </c>
      <c r="K995" s="3" t="str">
        <f t="shared" si="15"/>
        <v>No</v>
      </c>
    </row>
    <row r="996" spans="1:11" ht="15" customHeight="1" x14ac:dyDescent="0.3">
      <c r="A996" s="3" t="str">
        <f>Hoja1!A996</f>
        <v>C0995</v>
      </c>
      <c r="B996" s="3" t="str">
        <f>Hoja1!B996</f>
        <v>Josué Salom González</v>
      </c>
      <c r="C996" s="3" t="str">
        <f>IF(COUNTA(Hoja1!A996:I996)=0,"Sí","No")</f>
        <v>No</v>
      </c>
      <c r="D996" s="3" t="str">
        <f>IF(COUNTBLANK(Hoja1!A996:I996)&gt;0,"Sí","No")</f>
        <v>No</v>
      </c>
      <c r="E996" s="3" t="str">
        <f>IF(COUNTIF(Hoja1!$A$2:$A$1000,Hoja1!A996)&gt;1,"Sí","No")</f>
        <v>No</v>
      </c>
      <c r="F996" s="3" t="str">
        <f>IF(COUNTIF(Hoja1!$G$2:$G$1000,Hoja1!G996)&gt;1,"Sí","No")</f>
        <v>No</v>
      </c>
      <c r="G996" s="3" t="str">
        <f>IF(OR(ISERROR(FIND("@",Hoja1!G996)),ISERROR(FIND(".",Hoja1!G996,FIND("@",Hoja1!G996)))),"Sí","No")</f>
        <v>No</v>
      </c>
      <c r="H996" s="3" t="str">
        <f>IF(LEN(Hoja1!F996)&lt;&gt;14,"Sí","No")</f>
        <v>No</v>
      </c>
      <c r="I996" s="3" t="str">
        <f>IF(Hoja1!C996&gt;Hoja1!H996,"Sí","No")</f>
        <v>No</v>
      </c>
      <c r="J996" s="3" t="str">
        <f>IF(SUMPRODUCT(--ISNUMBER(SEARCH({"0";"1";"2";"3";"4";"5";"6";"7";"8";"9"},Hoja1!D996)))=0,"Sí","No")</f>
        <v>No</v>
      </c>
      <c r="K996" s="3" t="str">
        <f t="shared" si="15"/>
        <v>No</v>
      </c>
    </row>
    <row r="997" spans="1:11" ht="15" customHeight="1" x14ac:dyDescent="0.3">
      <c r="A997" s="3" t="str">
        <f>Hoja1!A997</f>
        <v>C0996</v>
      </c>
      <c r="B997" s="3" t="str">
        <f>Hoja1!B997</f>
        <v>Montserrat Tomé</v>
      </c>
      <c r="C997" s="3" t="str">
        <f>IF(COUNTA(Hoja1!A997:I997)=0,"Sí","No")</f>
        <v>No</v>
      </c>
      <c r="D997" s="3" t="str">
        <f>IF(COUNTBLANK(Hoja1!A997:I997)&gt;0,"Sí","No")</f>
        <v>No</v>
      </c>
      <c r="E997" s="3" t="str">
        <f>IF(COUNTIF(Hoja1!$A$2:$A$1000,Hoja1!A997)&gt;1,"Sí","No")</f>
        <v>No</v>
      </c>
      <c r="F997" s="3" t="str">
        <f>IF(COUNTIF(Hoja1!$G$2:$G$1000,Hoja1!G997)&gt;1,"Sí","No")</f>
        <v>No</v>
      </c>
      <c r="G997" s="3" t="str">
        <f>IF(OR(ISERROR(FIND("@",Hoja1!G997)),ISERROR(FIND(".",Hoja1!G997,FIND("@",Hoja1!G997)))),"Sí","No")</f>
        <v>No</v>
      </c>
      <c r="H997" s="3" t="str">
        <f>IF(LEN(Hoja1!F997)&lt;&gt;14,"Sí","No")</f>
        <v>No</v>
      </c>
      <c r="I997" s="3" t="str">
        <f>IF(Hoja1!C997&gt;Hoja1!H997,"Sí","No")</f>
        <v>No</v>
      </c>
      <c r="J997" s="3" t="str">
        <f>IF(SUMPRODUCT(--ISNUMBER(SEARCH({"0";"1";"2";"3";"4";"5";"6";"7";"8";"9"},Hoja1!D997)))=0,"Sí","No")</f>
        <v>No</v>
      </c>
      <c r="K997" s="3" t="str">
        <f t="shared" si="15"/>
        <v>No</v>
      </c>
    </row>
    <row r="998" spans="1:11" ht="15" customHeight="1" x14ac:dyDescent="0.3">
      <c r="A998" s="3" t="str">
        <f>Hoja1!A998</f>
        <v>C0997</v>
      </c>
      <c r="B998" s="3" t="str">
        <f>Hoja1!B998</f>
        <v>Berta Izaguirre-Coll</v>
      </c>
      <c r="C998" s="3" t="str">
        <f>IF(COUNTA(Hoja1!A998:I998)=0,"Sí","No")</f>
        <v>No</v>
      </c>
      <c r="D998" s="3" t="str">
        <f>IF(COUNTBLANK(Hoja1!A998:I998)&gt;0,"Sí","No")</f>
        <v>No</v>
      </c>
      <c r="E998" s="3" t="str">
        <f>IF(COUNTIF(Hoja1!$A$2:$A$1000,Hoja1!A998)&gt;1,"Sí","No")</f>
        <v>No</v>
      </c>
      <c r="F998" s="3" t="str">
        <f>IF(COUNTIF(Hoja1!$G$2:$G$1000,Hoja1!G998)&gt;1,"Sí","No")</f>
        <v>No</v>
      </c>
      <c r="G998" s="3" t="str">
        <f>IF(OR(ISERROR(FIND("@",Hoja1!G998)),ISERROR(FIND(".",Hoja1!G998,FIND("@",Hoja1!G998)))),"Sí","No")</f>
        <v>No</v>
      </c>
      <c r="H998" s="3" t="str">
        <f>IF(LEN(Hoja1!F998)&lt;&gt;14,"Sí","No")</f>
        <v>No</v>
      </c>
      <c r="I998" s="3" t="str">
        <f>IF(Hoja1!C998&gt;Hoja1!H998,"Sí","No")</f>
        <v>No</v>
      </c>
      <c r="J998" s="3" t="str">
        <f>IF(SUMPRODUCT(--ISNUMBER(SEARCH({"0";"1";"2";"3";"4";"5";"6";"7";"8";"9"},Hoja1!D998)))=0,"Sí","No")</f>
        <v>No</v>
      </c>
      <c r="K998" s="3" t="str">
        <f t="shared" si="15"/>
        <v>No</v>
      </c>
    </row>
    <row r="999" spans="1:11" ht="15" customHeight="1" x14ac:dyDescent="0.3">
      <c r="A999" s="3" t="str">
        <f>Hoja1!A999</f>
        <v>C0998</v>
      </c>
      <c r="B999" s="3" t="str">
        <f>Hoja1!B999</f>
        <v>Asunción Arnaiz Castellanos</v>
      </c>
      <c r="C999" s="3" t="str">
        <f>IF(COUNTA(Hoja1!A999:I999)=0,"Sí","No")</f>
        <v>No</v>
      </c>
      <c r="D999" s="3" t="str">
        <f>IF(COUNTBLANK(Hoja1!A999:I999)&gt;0,"Sí","No")</f>
        <v>No</v>
      </c>
      <c r="E999" s="3" t="str">
        <f>IF(COUNTIF(Hoja1!$A$2:$A$1000,Hoja1!A999)&gt;1,"Sí","No")</f>
        <v>No</v>
      </c>
      <c r="F999" s="3" t="str">
        <f>IF(COUNTIF(Hoja1!$G$2:$G$1000,Hoja1!G999)&gt;1,"Sí","No")</f>
        <v>No</v>
      </c>
      <c r="G999" s="3" t="str">
        <f>IF(OR(ISERROR(FIND("@",Hoja1!G999)),ISERROR(FIND(".",Hoja1!G999,FIND("@",Hoja1!G999)))),"Sí","No")</f>
        <v>No</v>
      </c>
      <c r="H999" s="3" t="str">
        <f>IF(LEN(Hoja1!F999)&lt;&gt;14,"Sí","No")</f>
        <v>No</v>
      </c>
      <c r="I999" s="3" t="str">
        <f>IF(Hoja1!C999&gt;Hoja1!H999,"Sí","No")</f>
        <v>No</v>
      </c>
      <c r="J999" s="3" t="str">
        <f>IF(SUMPRODUCT(--ISNUMBER(SEARCH({"0";"1";"2";"3";"4";"5";"6";"7";"8";"9"},Hoja1!D999)))=0,"Sí","No")</f>
        <v>No</v>
      </c>
      <c r="K999" s="3" t="str">
        <f t="shared" si="15"/>
        <v>No</v>
      </c>
    </row>
    <row r="1000" spans="1:11" ht="15" customHeight="1" x14ac:dyDescent="0.3">
      <c r="A1000" s="3" t="str">
        <f>Hoja1!A1000</f>
        <v>C0999</v>
      </c>
      <c r="B1000" s="3" t="str">
        <f>Hoja1!B1000</f>
        <v>Nilo Porras Casas</v>
      </c>
      <c r="C1000" s="3" t="str">
        <f>IF(COUNTA(Hoja1!A1000:I1000)=0,"Sí","No")</f>
        <v>No</v>
      </c>
      <c r="D1000" s="3" t="str">
        <f>IF(COUNTBLANK(Hoja1!A1000:I1000)&gt;0,"Sí","No")</f>
        <v>No</v>
      </c>
      <c r="E1000" s="3" t="str">
        <f>IF(COUNTIF(Hoja1!$A$2:$A$1000,Hoja1!A1000)&gt;1,"Sí","No")</f>
        <v>No</v>
      </c>
      <c r="F1000" s="3" t="str">
        <f>IF(COUNTIF(Hoja1!$G$2:$G$1000,Hoja1!G1000)&gt;1,"Sí","No")</f>
        <v>No</v>
      </c>
      <c r="G1000" s="3" t="str">
        <f>IF(OR(ISERROR(FIND("@",Hoja1!G1000)),ISERROR(FIND(".",Hoja1!G1000,FIND("@",Hoja1!G1000)))),"Sí","No")</f>
        <v>No</v>
      </c>
      <c r="H1000" s="3" t="str">
        <f>IF(LEN(Hoja1!F1000)&lt;&gt;14,"Sí","No")</f>
        <v>No</v>
      </c>
      <c r="I1000" s="3" t="str">
        <f>IF(Hoja1!C1000&gt;Hoja1!H1000,"Sí","No")</f>
        <v>No</v>
      </c>
      <c r="J1000" s="3" t="str">
        <f>IF(SUMPRODUCT(--ISNUMBER(SEARCH({"0";"1";"2";"3";"4";"5";"6";"7";"8";"9"},Hoja1!D1000)))=0,"Sí","No")</f>
        <v>No</v>
      </c>
      <c r="K1000" s="3" t="str">
        <f t="shared" si="15"/>
        <v>No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Resumen</vt:lpstr>
      <vt:lpstr>Diagnóstico</vt:lpstr>
      <vt:lpstr>Hoja1!random_names_fossbytes__1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Josep Jurado Palomares</dc:creator>
  <dc:description/>
  <cp:lastModifiedBy>Miguel Angel Romero Suarez</cp:lastModifiedBy>
  <cp:revision>0</cp:revision>
  <dcterms:created xsi:type="dcterms:W3CDTF">2022-05-13T05:25:41Z</dcterms:created>
  <dcterms:modified xsi:type="dcterms:W3CDTF">2026-08-06T18:46:14Z</dcterms:modified>
  <dc:language>en-US</dc:language>
</cp:coreProperties>
</file>