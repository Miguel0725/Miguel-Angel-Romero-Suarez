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uredu-my.sharepoint.com/personal/miguela_romero_urosario_edu_co/Documents/Escritorio/ING DATOS/"/>
    </mc:Choice>
  </mc:AlternateContent>
  <xr:revisionPtr revIDLastSave="10" documentId="11_96421B80789F9D2F295ECAE26A029AF17B011E70" xr6:coauthVersionLast="47" xr6:coauthVersionMax="47" xr10:uidLastSave="{21FEB6EE-0D71-445B-9DE4-8B3BCEC8F0FB}"/>
  <bookViews>
    <workbookView xWindow="-108" yWindow="-108" windowWidth="23256" windowHeight="12456" activeTab="1" xr2:uid="{00000000-000D-0000-FFFF-FFFF00000000}"/>
  </bookViews>
  <sheets>
    <sheet name="Ventas" sheetId="1" r:id="rId1"/>
    <sheet name="Analisis Estadistic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2" l="1"/>
  <c r="B11" i="2"/>
  <c r="A12" i="2"/>
  <c r="B12" i="2"/>
  <c r="A13" i="2"/>
  <c r="B13" i="2"/>
  <c r="A14" i="2"/>
  <c r="B14" i="2"/>
  <c r="A15" i="2"/>
  <c r="B15" i="2"/>
  <c r="A16" i="2"/>
  <c r="B16" i="2"/>
  <c r="A17" i="2"/>
  <c r="B17" i="2"/>
  <c r="A18" i="2"/>
  <c r="B18" i="2"/>
  <c r="A19" i="2"/>
  <c r="B19" i="2"/>
  <c r="A20" i="2"/>
  <c r="B20" i="2"/>
  <c r="A21" i="2"/>
  <c r="B21" i="2"/>
  <c r="A22" i="2"/>
  <c r="B22" i="2"/>
  <c r="A23" i="2"/>
  <c r="B23" i="2"/>
  <c r="A24" i="2"/>
  <c r="B24" i="2"/>
  <c r="A25" i="2"/>
  <c r="B25" i="2"/>
  <c r="A26" i="2"/>
  <c r="B26" i="2"/>
  <c r="B6" i="2"/>
  <c r="B5" i="2"/>
  <c r="B4" i="2"/>
  <c r="B3" i="2"/>
  <c r="B2" i="2"/>
  <c r="G17" i="1"/>
  <c r="H17" i="1" s="1"/>
  <c r="G16" i="1"/>
  <c r="H16" i="1" s="1"/>
  <c r="G15" i="1"/>
  <c r="H15" i="1" s="1"/>
  <c r="G14" i="1"/>
  <c r="H14" i="1" s="1"/>
  <c r="G13" i="1"/>
  <c r="H13" i="1" s="1"/>
  <c r="G12" i="1"/>
  <c r="H12" i="1" s="1"/>
  <c r="G11" i="1"/>
  <c r="H11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G3" i="1"/>
  <c r="H3" i="1" s="1"/>
  <c r="G2" i="1"/>
  <c r="H2" i="1" s="1"/>
</calcChain>
</file>

<file path=xl/sharedStrings.xml><?xml version="1.0" encoding="utf-8"?>
<sst xmlns="http://schemas.openxmlformats.org/spreadsheetml/2006/main" count="49" uniqueCount="31">
  <si>
    <t>Ronda</t>
  </si>
  <si>
    <t>Descuento</t>
  </si>
  <si>
    <t>Comprador</t>
  </si>
  <si>
    <t>Producto</t>
  </si>
  <si>
    <t>Unidades</t>
  </si>
  <si>
    <t>Precio</t>
  </si>
  <si>
    <t>Valor</t>
  </si>
  <si>
    <t>Perdida mercado</t>
  </si>
  <si>
    <t>Sara</t>
  </si>
  <si>
    <t>Camiseta de Noruega de Haaland</t>
  </si>
  <si>
    <t>Alison</t>
  </si>
  <si>
    <t>Bowl Vegetariano</t>
  </si>
  <si>
    <t>Jorge</t>
  </si>
  <si>
    <t>Camiseta de Colombia de James</t>
  </si>
  <si>
    <t>Juan Esteban</t>
  </si>
  <si>
    <t>Baguette</t>
  </si>
  <si>
    <t>Menu pollo pesto</t>
  </si>
  <si>
    <t>Juan Felipe</t>
  </si>
  <si>
    <t>Almuerzo dulce</t>
  </si>
  <si>
    <t>Croissant</t>
  </si>
  <si>
    <t>Camiseta de Millonarios de Falcao</t>
  </si>
  <si>
    <t>Pan de Chocolate</t>
  </si>
  <si>
    <t>Camiseta de Argentina de Messi</t>
  </si>
  <si>
    <t>Camiseta de Portugal de Ronaldo</t>
  </si>
  <si>
    <t>Métrica</t>
  </si>
  <si>
    <t>Registros</t>
  </si>
  <si>
    <t>Promedio col B</t>
  </si>
  <si>
    <t>Promedio col C</t>
  </si>
  <si>
    <t>Suma col D</t>
  </si>
  <si>
    <t>Desv col D</t>
  </si>
  <si>
    <t>Categoría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</si>
</sst>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'Analisis Estadistico'!$B$10</c:f>
              <c:strCache>
                <c:ptCount val="1"/>
                <c:pt idx="0">
                  <c:v>Valor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'Analisis Estadistico'!$A$11:$Y$11</c:f>
              <c:strCache>
                <c:ptCount val="2"/>
                <c:pt idx="0">
                  <c:v>1</c:v>
                </c:pt>
                <c:pt idx="1">
                  <c:v>Camiseta de Noruega de Haaland</c:v>
                </c:pt>
              </c:strCache>
            </c:strRef>
          </c:cat>
          <c:val>
            <c:numRef>
              <c:f>'Analisis Estadistico'!$B$10:$C$10</c:f>
              <c:numCache>
                <c:formatCode>General</c:formatCode>
                <c:ptCount val="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63-4279-8BBD-93FADD41E23D}"/>
            </c:ext>
          </c:extLst>
        </c:ser>
        <c:ser>
          <c:idx val="1"/>
          <c:order val="1"/>
          <c:tx>
            <c:strRef>
              <c:f>'Analisis Estadistico'!$C$10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'Analisis Estadistico'!$A$11:$Y$11</c:f>
              <c:strCache>
                <c:ptCount val="2"/>
                <c:pt idx="0">
                  <c:v>1</c:v>
                </c:pt>
                <c:pt idx="1">
                  <c:v>Camiseta de Noruega de Haaland</c:v>
                </c:pt>
              </c:strCache>
            </c:strRef>
          </c:cat>
          <c:val>
            <c:numRef>
              <c:f>'Analisis Estadistico'!$C$10:$D$10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1-8363-4279-8BBD-93FADD41E23D}"/>
            </c:ext>
          </c:extLst>
        </c:ser>
        <c:ser>
          <c:idx val="2"/>
          <c:order val="2"/>
          <c:tx>
            <c:strRef>
              <c:f>'Analisis Estadistico'!$D$10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'Analisis Estadistico'!$A$11:$Y$11</c:f>
              <c:strCache>
                <c:ptCount val="2"/>
                <c:pt idx="0">
                  <c:v>1</c:v>
                </c:pt>
                <c:pt idx="1">
                  <c:v>Camiseta de Noruega de Haaland</c:v>
                </c:pt>
              </c:strCache>
            </c:strRef>
          </c:cat>
          <c:val>
            <c:numRef>
              <c:f>'Analisis Estadistico'!$D$10:$E$10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2-8363-4279-8BBD-93FADD41E23D}"/>
            </c:ext>
          </c:extLst>
        </c:ser>
        <c:ser>
          <c:idx val="3"/>
          <c:order val="3"/>
          <c:tx>
            <c:strRef>
              <c:f>'Analisis Estadistico'!$E$10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'Analisis Estadistico'!$A$11:$Y$11</c:f>
              <c:strCache>
                <c:ptCount val="2"/>
                <c:pt idx="0">
                  <c:v>1</c:v>
                </c:pt>
                <c:pt idx="1">
                  <c:v>Camiseta de Noruega de Haaland</c:v>
                </c:pt>
              </c:strCache>
            </c:strRef>
          </c:cat>
          <c:val>
            <c:numRef>
              <c:f>'Analisis Estadistico'!$E$10:$F$10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3-8363-4279-8BBD-93FADD41E23D}"/>
            </c:ext>
          </c:extLst>
        </c:ser>
        <c:ser>
          <c:idx val="4"/>
          <c:order val="4"/>
          <c:tx>
            <c:strRef>
              <c:f>'Analisis Estadistico'!$F$10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'Analisis Estadistico'!$A$11:$Y$11</c:f>
              <c:strCache>
                <c:ptCount val="2"/>
                <c:pt idx="0">
                  <c:v>1</c:v>
                </c:pt>
                <c:pt idx="1">
                  <c:v>Camiseta de Noruega de Haaland</c:v>
                </c:pt>
              </c:strCache>
            </c:strRef>
          </c:cat>
          <c:val>
            <c:numRef>
              <c:f>'Analisis Estadistico'!$F$10:$G$10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4-8363-4279-8BBD-93FADD41E23D}"/>
            </c:ext>
          </c:extLst>
        </c:ser>
        <c:ser>
          <c:idx val="5"/>
          <c:order val="5"/>
          <c:tx>
            <c:strRef>
              <c:f>'Analisis Estadistico'!$G$10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'Analisis Estadistico'!$A$11:$Y$11</c:f>
              <c:strCache>
                <c:ptCount val="2"/>
                <c:pt idx="0">
                  <c:v>1</c:v>
                </c:pt>
                <c:pt idx="1">
                  <c:v>Camiseta de Noruega de Haaland</c:v>
                </c:pt>
              </c:strCache>
            </c:strRef>
          </c:cat>
          <c:val>
            <c:numRef>
              <c:f>'Analisis Estadistico'!$G$10:$H$10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5-8363-4279-8BBD-93FADD41E23D}"/>
            </c:ext>
          </c:extLst>
        </c:ser>
        <c:ser>
          <c:idx val="6"/>
          <c:order val="6"/>
          <c:tx>
            <c:strRef>
              <c:f>'Analisis Estadistico'!$H$10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'Analisis Estadistico'!$A$11:$Y$11</c:f>
              <c:strCache>
                <c:ptCount val="2"/>
                <c:pt idx="0">
                  <c:v>1</c:v>
                </c:pt>
                <c:pt idx="1">
                  <c:v>Camiseta de Noruega de Haaland</c:v>
                </c:pt>
              </c:strCache>
            </c:strRef>
          </c:cat>
          <c:val>
            <c:numRef>
              <c:f>'Analisis Estadistico'!$H$10:$I$10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6-8363-4279-8BBD-93FADD41E23D}"/>
            </c:ext>
          </c:extLst>
        </c:ser>
        <c:ser>
          <c:idx val="7"/>
          <c:order val="7"/>
          <c:tx>
            <c:strRef>
              <c:f>'Analisis Estadistico'!$I$10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'Analisis Estadistico'!$A$11:$Y$11</c:f>
              <c:strCache>
                <c:ptCount val="2"/>
                <c:pt idx="0">
                  <c:v>1</c:v>
                </c:pt>
                <c:pt idx="1">
                  <c:v>Camiseta de Noruega de Haaland</c:v>
                </c:pt>
              </c:strCache>
            </c:strRef>
          </c:cat>
          <c:val>
            <c:numRef>
              <c:f>'Analisis Estadistico'!$I$10:$J$10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7-8363-4279-8BBD-93FADD41E23D}"/>
            </c:ext>
          </c:extLst>
        </c:ser>
        <c:ser>
          <c:idx val="8"/>
          <c:order val="8"/>
          <c:tx>
            <c:strRef>
              <c:f>'Analisis Estadistico'!$J$10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'Analisis Estadistico'!$A$11:$Y$11</c:f>
              <c:strCache>
                <c:ptCount val="2"/>
                <c:pt idx="0">
                  <c:v>1</c:v>
                </c:pt>
                <c:pt idx="1">
                  <c:v>Camiseta de Noruega de Haaland</c:v>
                </c:pt>
              </c:strCache>
            </c:strRef>
          </c:cat>
          <c:val>
            <c:numRef>
              <c:f>'Analisis Estadistico'!$J$10:$K$10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8-8363-4279-8BBD-93FADD41E23D}"/>
            </c:ext>
          </c:extLst>
        </c:ser>
        <c:ser>
          <c:idx val="9"/>
          <c:order val="9"/>
          <c:tx>
            <c:strRef>
              <c:f>'Analisis Estadistico'!$K$10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'Analisis Estadistico'!$A$11:$Y$11</c:f>
              <c:strCache>
                <c:ptCount val="2"/>
                <c:pt idx="0">
                  <c:v>1</c:v>
                </c:pt>
                <c:pt idx="1">
                  <c:v>Camiseta de Noruega de Haaland</c:v>
                </c:pt>
              </c:strCache>
            </c:strRef>
          </c:cat>
          <c:val>
            <c:numRef>
              <c:f>'Analisis Estadistico'!$K$10:$L$10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9-8363-4279-8BBD-93FADD41E23D}"/>
            </c:ext>
          </c:extLst>
        </c:ser>
        <c:ser>
          <c:idx val="10"/>
          <c:order val="10"/>
          <c:tx>
            <c:strRef>
              <c:f>'Analisis Estadistico'!$L$10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'Analisis Estadistico'!$A$11:$Y$11</c:f>
              <c:strCache>
                <c:ptCount val="2"/>
                <c:pt idx="0">
                  <c:v>1</c:v>
                </c:pt>
                <c:pt idx="1">
                  <c:v>Camiseta de Noruega de Haaland</c:v>
                </c:pt>
              </c:strCache>
            </c:strRef>
          </c:cat>
          <c:val>
            <c:numRef>
              <c:f>'Analisis Estadistico'!$L$10:$M$10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A-8363-4279-8BBD-93FADD41E23D}"/>
            </c:ext>
          </c:extLst>
        </c:ser>
        <c:ser>
          <c:idx val="11"/>
          <c:order val="11"/>
          <c:tx>
            <c:strRef>
              <c:f>'Analisis Estadistico'!$M$10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'Analisis Estadistico'!$A$11:$Y$11</c:f>
              <c:strCache>
                <c:ptCount val="2"/>
                <c:pt idx="0">
                  <c:v>1</c:v>
                </c:pt>
                <c:pt idx="1">
                  <c:v>Camiseta de Noruega de Haaland</c:v>
                </c:pt>
              </c:strCache>
            </c:strRef>
          </c:cat>
          <c:val>
            <c:numRef>
              <c:f>'Analisis Estadistico'!$M$10:$N$10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B-8363-4279-8BBD-93FADD41E23D}"/>
            </c:ext>
          </c:extLst>
        </c:ser>
        <c:ser>
          <c:idx val="12"/>
          <c:order val="12"/>
          <c:tx>
            <c:strRef>
              <c:f>'Analisis Estadistico'!$N$10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'Analisis Estadistico'!$A$11:$Y$11</c:f>
              <c:strCache>
                <c:ptCount val="2"/>
                <c:pt idx="0">
                  <c:v>1</c:v>
                </c:pt>
                <c:pt idx="1">
                  <c:v>Camiseta de Noruega de Haaland</c:v>
                </c:pt>
              </c:strCache>
            </c:strRef>
          </c:cat>
          <c:val>
            <c:numRef>
              <c:f>'Analisis Estadistico'!$N$10:$O$10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C-8363-4279-8BBD-93FADD41E23D}"/>
            </c:ext>
          </c:extLst>
        </c:ser>
        <c:ser>
          <c:idx val="13"/>
          <c:order val="13"/>
          <c:tx>
            <c:strRef>
              <c:f>'Analisis Estadistico'!$O$10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'Analisis Estadistico'!$A$11:$Y$11</c:f>
              <c:strCache>
                <c:ptCount val="2"/>
                <c:pt idx="0">
                  <c:v>1</c:v>
                </c:pt>
                <c:pt idx="1">
                  <c:v>Camiseta de Noruega de Haaland</c:v>
                </c:pt>
              </c:strCache>
            </c:strRef>
          </c:cat>
          <c:val>
            <c:numRef>
              <c:f>'Analisis Estadistico'!$O$10:$P$10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D-8363-4279-8BBD-93FADD41E23D}"/>
            </c:ext>
          </c:extLst>
        </c:ser>
        <c:ser>
          <c:idx val="14"/>
          <c:order val="14"/>
          <c:tx>
            <c:strRef>
              <c:f>'Analisis Estadistico'!$P$10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'Analisis Estadistico'!$A$11:$Y$11</c:f>
              <c:strCache>
                <c:ptCount val="2"/>
                <c:pt idx="0">
                  <c:v>1</c:v>
                </c:pt>
                <c:pt idx="1">
                  <c:v>Camiseta de Noruega de Haaland</c:v>
                </c:pt>
              </c:strCache>
            </c:strRef>
          </c:cat>
          <c:val>
            <c:numRef>
              <c:f>'Analisis Estadistico'!$P$10:$Q$10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E-8363-4279-8BBD-93FADD41E23D}"/>
            </c:ext>
          </c:extLst>
        </c:ser>
        <c:ser>
          <c:idx val="15"/>
          <c:order val="15"/>
          <c:tx>
            <c:strRef>
              <c:f>'Analisis Estadistico'!$Q$10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'Analisis Estadistico'!$A$11:$Y$11</c:f>
              <c:strCache>
                <c:ptCount val="2"/>
                <c:pt idx="0">
                  <c:v>1</c:v>
                </c:pt>
                <c:pt idx="1">
                  <c:v>Camiseta de Noruega de Haaland</c:v>
                </c:pt>
              </c:strCache>
            </c:strRef>
          </c:cat>
          <c:val>
            <c:numRef>
              <c:f>'Analisis Estadistico'!$Q$10:$R$10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F-8363-4279-8BBD-93FADD41E23D}"/>
            </c:ext>
          </c:extLst>
        </c:ser>
        <c:ser>
          <c:idx val="16"/>
          <c:order val="16"/>
          <c:tx>
            <c:strRef>
              <c:f>'Analisis Estadistico'!$R$10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'Analisis Estadistico'!$A$11:$Y$11</c:f>
              <c:strCache>
                <c:ptCount val="2"/>
                <c:pt idx="0">
                  <c:v>1</c:v>
                </c:pt>
                <c:pt idx="1">
                  <c:v>Camiseta de Noruega de Haaland</c:v>
                </c:pt>
              </c:strCache>
            </c:strRef>
          </c:cat>
          <c:val>
            <c:numRef>
              <c:f>'Analisis Estadistico'!$R$10:$S$10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10-8363-4279-8BBD-93FADD41E23D}"/>
            </c:ext>
          </c:extLst>
        </c:ser>
        <c:ser>
          <c:idx val="17"/>
          <c:order val="17"/>
          <c:tx>
            <c:strRef>
              <c:f>'Analisis Estadistico'!$S$10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'Analisis Estadistico'!$A$11:$Y$11</c:f>
              <c:strCache>
                <c:ptCount val="2"/>
                <c:pt idx="0">
                  <c:v>1</c:v>
                </c:pt>
                <c:pt idx="1">
                  <c:v>Camiseta de Noruega de Haaland</c:v>
                </c:pt>
              </c:strCache>
            </c:strRef>
          </c:cat>
          <c:val>
            <c:numRef>
              <c:f>'Analisis Estadistico'!$S$10:$T$10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11-8363-4279-8BBD-93FADD41E23D}"/>
            </c:ext>
          </c:extLst>
        </c:ser>
        <c:ser>
          <c:idx val="18"/>
          <c:order val="18"/>
          <c:tx>
            <c:strRef>
              <c:f>'Analisis Estadistico'!$T$10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'Analisis Estadistico'!$A$11:$Y$11</c:f>
              <c:strCache>
                <c:ptCount val="2"/>
                <c:pt idx="0">
                  <c:v>1</c:v>
                </c:pt>
                <c:pt idx="1">
                  <c:v>Camiseta de Noruega de Haaland</c:v>
                </c:pt>
              </c:strCache>
            </c:strRef>
          </c:cat>
          <c:val>
            <c:numRef>
              <c:f>'Analisis Estadistico'!$T$10:$U$10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12-8363-4279-8BBD-93FADD41E23D}"/>
            </c:ext>
          </c:extLst>
        </c:ser>
        <c:ser>
          <c:idx val="19"/>
          <c:order val="19"/>
          <c:tx>
            <c:strRef>
              <c:f>'Analisis Estadistico'!$U$10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'Analisis Estadistico'!$A$11:$Y$11</c:f>
              <c:strCache>
                <c:ptCount val="2"/>
                <c:pt idx="0">
                  <c:v>1</c:v>
                </c:pt>
                <c:pt idx="1">
                  <c:v>Camiseta de Noruega de Haaland</c:v>
                </c:pt>
              </c:strCache>
            </c:strRef>
          </c:cat>
          <c:val>
            <c:numRef>
              <c:f>'Analisis Estadistico'!$U$10:$V$10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13-8363-4279-8BBD-93FADD41E23D}"/>
            </c:ext>
          </c:extLst>
        </c:ser>
        <c:ser>
          <c:idx val="20"/>
          <c:order val="20"/>
          <c:tx>
            <c:strRef>
              <c:f>'Analisis Estadistico'!$V$10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'Analisis Estadistico'!$A$11:$Y$11</c:f>
              <c:strCache>
                <c:ptCount val="2"/>
                <c:pt idx="0">
                  <c:v>1</c:v>
                </c:pt>
                <c:pt idx="1">
                  <c:v>Camiseta de Noruega de Haaland</c:v>
                </c:pt>
              </c:strCache>
            </c:strRef>
          </c:cat>
          <c:val>
            <c:numRef>
              <c:f>'Analisis Estadistico'!$V$10:$W$10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14-8363-4279-8BBD-93FADD41E23D}"/>
            </c:ext>
          </c:extLst>
        </c:ser>
        <c:ser>
          <c:idx val="21"/>
          <c:order val="21"/>
          <c:tx>
            <c:strRef>
              <c:f>'Analisis Estadistico'!$W$10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'Analisis Estadistico'!$A$11:$Y$11</c:f>
              <c:strCache>
                <c:ptCount val="2"/>
                <c:pt idx="0">
                  <c:v>1</c:v>
                </c:pt>
                <c:pt idx="1">
                  <c:v>Camiseta de Noruega de Haaland</c:v>
                </c:pt>
              </c:strCache>
            </c:strRef>
          </c:cat>
          <c:val>
            <c:numRef>
              <c:f>'Analisis Estadistico'!$W$10:$X$10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15-8363-4279-8BBD-93FADD41E23D}"/>
            </c:ext>
          </c:extLst>
        </c:ser>
        <c:ser>
          <c:idx val="22"/>
          <c:order val="22"/>
          <c:tx>
            <c:strRef>
              <c:f>'Analisis Estadistico'!$X$10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'Analisis Estadistico'!$A$11:$Y$11</c:f>
              <c:strCache>
                <c:ptCount val="2"/>
                <c:pt idx="0">
                  <c:v>1</c:v>
                </c:pt>
                <c:pt idx="1">
                  <c:v>Camiseta de Noruega de Haaland</c:v>
                </c:pt>
              </c:strCache>
            </c:strRef>
          </c:cat>
          <c:val>
            <c:numRef>
              <c:f>'Analisis Estadistico'!$X$10:$Y$10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16-8363-4279-8BBD-93FADD41E23D}"/>
            </c:ext>
          </c:extLst>
        </c:ser>
        <c:ser>
          <c:idx val="23"/>
          <c:order val="23"/>
          <c:tx>
            <c:strRef>
              <c:f>'Analisis Estadistico'!$Y$10</c:f>
              <c:strCache>
                <c:ptCount val="1"/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'Analisis Estadistico'!$A$11:$Y$11</c:f>
              <c:strCache>
                <c:ptCount val="2"/>
                <c:pt idx="0">
                  <c:v>1</c:v>
                </c:pt>
                <c:pt idx="1">
                  <c:v>Camiseta de Noruega de Haaland</c:v>
                </c:pt>
              </c:strCache>
            </c:strRef>
          </c:cat>
          <c:val>
            <c:numRef>
              <c:f>'Analisis Estadistico'!$Y$10:$Z$10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17-8363-4279-8BBD-93FADD41E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/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0</v>
      </c>
      <c r="C2" t="s">
        <v>8</v>
      </c>
      <c r="D2" t="s">
        <v>9</v>
      </c>
      <c r="E2">
        <v>1</v>
      </c>
      <c r="F2">
        <v>200000</v>
      </c>
      <c r="G2">
        <f t="shared" ref="G2:G17" si="0">(E2*F2)-B2*(E2*F2)</f>
        <v>200000</v>
      </c>
      <c r="H2">
        <f t="shared" ref="H2:H17" si="1">E2*F2-G2</f>
        <v>0</v>
      </c>
    </row>
    <row r="3" spans="1:8" x14ac:dyDescent="0.3">
      <c r="A3">
        <v>1</v>
      </c>
      <c r="B3">
        <v>0</v>
      </c>
      <c r="C3" t="s">
        <v>10</v>
      </c>
      <c r="D3" t="s">
        <v>11</v>
      </c>
      <c r="E3">
        <v>2</v>
      </c>
      <c r="F3">
        <v>18000</v>
      </c>
      <c r="G3">
        <f t="shared" si="0"/>
        <v>36000</v>
      </c>
      <c r="H3">
        <f t="shared" si="1"/>
        <v>0</v>
      </c>
    </row>
    <row r="4" spans="1:8" x14ac:dyDescent="0.3">
      <c r="A4">
        <v>1</v>
      </c>
      <c r="B4">
        <v>0</v>
      </c>
      <c r="C4" t="s">
        <v>12</v>
      </c>
      <c r="D4" t="s">
        <v>13</v>
      </c>
      <c r="E4">
        <v>1</v>
      </c>
      <c r="F4">
        <v>200000</v>
      </c>
      <c r="G4">
        <f t="shared" si="0"/>
        <v>200000</v>
      </c>
      <c r="H4">
        <f t="shared" si="1"/>
        <v>0</v>
      </c>
    </row>
    <row r="5" spans="1:8" x14ac:dyDescent="0.3">
      <c r="A5">
        <v>2</v>
      </c>
      <c r="B5">
        <v>0.3</v>
      </c>
      <c r="C5" t="s">
        <v>14</v>
      </c>
      <c r="D5" t="s">
        <v>15</v>
      </c>
      <c r="E5">
        <v>3</v>
      </c>
      <c r="F5">
        <v>3600</v>
      </c>
      <c r="G5">
        <f t="shared" si="0"/>
        <v>7560</v>
      </c>
      <c r="H5">
        <f t="shared" si="1"/>
        <v>3240</v>
      </c>
    </row>
    <row r="6" spans="1:8" x14ac:dyDescent="0.3">
      <c r="A6">
        <v>2</v>
      </c>
      <c r="B6">
        <v>0.3</v>
      </c>
      <c r="C6" t="s">
        <v>14</v>
      </c>
      <c r="D6" t="s">
        <v>16</v>
      </c>
      <c r="E6">
        <v>3</v>
      </c>
      <c r="F6">
        <v>18000</v>
      </c>
      <c r="G6">
        <f t="shared" si="0"/>
        <v>37800</v>
      </c>
      <c r="H6">
        <f t="shared" si="1"/>
        <v>16200</v>
      </c>
    </row>
    <row r="7" spans="1:8" x14ac:dyDescent="0.3">
      <c r="A7">
        <v>2</v>
      </c>
      <c r="B7">
        <v>0.3</v>
      </c>
      <c r="C7" t="s">
        <v>17</v>
      </c>
      <c r="D7" t="s">
        <v>18</v>
      </c>
      <c r="E7">
        <v>1</v>
      </c>
      <c r="F7">
        <v>18000</v>
      </c>
      <c r="G7">
        <f t="shared" si="0"/>
        <v>12600</v>
      </c>
      <c r="H7">
        <f t="shared" si="1"/>
        <v>5400</v>
      </c>
    </row>
    <row r="8" spans="1:8" x14ac:dyDescent="0.3">
      <c r="A8">
        <v>2</v>
      </c>
      <c r="B8">
        <v>0.3</v>
      </c>
      <c r="C8" t="s">
        <v>17</v>
      </c>
      <c r="D8" t="s">
        <v>19</v>
      </c>
      <c r="E8">
        <v>2</v>
      </c>
      <c r="F8">
        <v>9000</v>
      </c>
      <c r="G8">
        <f t="shared" si="0"/>
        <v>12600</v>
      </c>
      <c r="H8">
        <f t="shared" si="1"/>
        <v>5400</v>
      </c>
    </row>
    <row r="9" spans="1:8" x14ac:dyDescent="0.3">
      <c r="A9">
        <v>3</v>
      </c>
      <c r="B9">
        <v>0.7</v>
      </c>
      <c r="C9" t="s">
        <v>12</v>
      </c>
      <c r="D9" t="s">
        <v>20</v>
      </c>
      <c r="E9">
        <v>1</v>
      </c>
      <c r="F9">
        <v>200000</v>
      </c>
      <c r="G9">
        <f t="shared" si="0"/>
        <v>60000</v>
      </c>
      <c r="H9">
        <f t="shared" si="1"/>
        <v>140000</v>
      </c>
    </row>
    <row r="10" spans="1:8" x14ac:dyDescent="0.3">
      <c r="A10">
        <v>3</v>
      </c>
      <c r="B10">
        <v>0.7</v>
      </c>
      <c r="C10" t="s">
        <v>8</v>
      </c>
      <c r="D10" t="s">
        <v>11</v>
      </c>
      <c r="E10">
        <v>3</v>
      </c>
      <c r="F10">
        <v>18000</v>
      </c>
      <c r="G10">
        <f t="shared" si="0"/>
        <v>16200</v>
      </c>
      <c r="H10">
        <f t="shared" si="1"/>
        <v>37800</v>
      </c>
    </row>
    <row r="11" spans="1:8" x14ac:dyDescent="0.3">
      <c r="A11">
        <v>3</v>
      </c>
      <c r="B11">
        <v>0.7</v>
      </c>
      <c r="C11" t="s">
        <v>10</v>
      </c>
      <c r="D11" t="s">
        <v>11</v>
      </c>
      <c r="E11">
        <v>3</v>
      </c>
      <c r="F11">
        <v>18000</v>
      </c>
      <c r="G11">
        <f t="shared" si="0"/>
        <v>16200</v>
      </c>
      <c r="H11">
        <f t="shared" si="1"/>
        <v>37800</v>
      </c>
    </row>
    <row r="12" spans="1:8" x14ac:dyDescent="0.3">
      <c r="A12">
        <v>3</v>
      </c>
      <c r="B12">
        <v>0.7</v>
      </c>
      <c r="C12" t="s">
        <v>17</v>
      </c>
      <c r="D12" t="s">
        <v>18</v>
      </c>
      <c r="E12">
        <v>2</v>
      </c>
      <c r="F12">
        <v>18000</v>
      </c>
      <c r="G12">
        <f t="shared" si="0"/>
        <v>10800</v>
      </c>
      <c r="H12">
        <f t="shared" si="1"/>
        <v>25200</v>
      </c>
    </row>
    <row r="13" spans="1:8" x14ac:dyDescent="0.3">
      <c r="A13">
        <v>3</v>
      </c>
      <c r="B13">
        <v>0.7</v>
      </c>
      <c r="C13" t="s">
        <v>14</v>
      </c>
      <c r="D13" t="s">
        <v>21</v>
      </c>
      <c r="E13">
        <v>5</v>
      </c>
      <c r="F13">
        <v>11000</v>
      </c>
      <c r="G13">
        <f t="shared" si="0"/>
        <v>16500</v>
      </c>
      <c r="H13">
        <f t="shared" si="1"/>
        <v>38500</v>
      </c>
    </row>
    <row r="14" spans="1:8" x14ac:dyDescent="0.3">
      <c r="A14">
        <v>3</v>
      </c>
      <c r="B14">
        <v>0.7</v>
      </c>
      <c r="C14" t="s">
        <v>17</v>
      </c>
      <c r="D14" t="s">
        <v>22</v>
      </c>
      <c r="E14">
        <v>1</v>
      </c>
      <c r="F14">
        <v>200000</v>
      </c>
      <c r="G14">
        <f t="shared" si="0"/>
        <v>60000</v>
      </c>
      <c r="H14">
        <f t="shared" si="1"/>
        <v>140000</v>
      </c>
    </row>
    <row r="15" spans="1:8" x14ac:dyDescent="0.3">
      <c r="A15">
        <v>3</v>
      </c>
      <c r="B15">
        <v>0.7</v>
      </c>
      <c r="C15" t="s">
        <v>17</v>
      </c>
      <c r="D15" t="s">
        <v>23</v>
      </c>
      <c r="E15">
        <v>1</v>
      </c>
      <c r="F15">
        <v>200000</v>
      </c>
      <c r="G15">
        <f t="shared" si="0"/>
        <v>60000</v>
      </c>
      <c r="H15">
        <f t="shared" si="1"/>
        <v>140000</v>
      </c>
    </row>
    <row r="16" spans="1:8" x14ac:dyDescent="0.3">
      <c r="A16">
        <v>3</v>
      </c>
      <c r="B16">
        <v>0.7</v>
      </c>
      <c r="C16" t="s">
        <v>12</v>
      </c>
      <c r="D16" t="s">
        <v>16</v>
      </c>
      <c r="E16">
        <v>2</v>
      </c>
      <c r="F16">
        <v>18000</v>
      </c>
      <c r="G16">
        <f t="shared" si="0"/>
        <v>10800</v>
      </c>
      <c r="H16">
        <f t="shared" si="1"/>
        <v>25200</v>
      </c>
    </row>
    <row r="17" spans="1:8" x14ac:dyDescent="0.3">
      <c r="A17">
        <v>3</v>
      </c>
      <c r="B17">
        <v>0.7</v>
      </c>
      <c r="C17" t="s">
        <v>12</v>
      </c>
      <c r="D17" t="s">
        <v>19</v>
      </c>
      <c r="E17">
        <v>2</v>
      </c>
      <c r="F17">
        <v>9000</v>
      </c>
      <c r="G17">
        <f t="shared" si="0"/>
        <v>5400</v>
      </c>
      <c r="H17">
        <f t="shared" si="1"/>
        <v>12600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tabSelected="1" zoomScaleNormal="100" workbookViewId="0">
      <selection activeCell="B6" sqref="B6"/>
    </sheetView>
  </sheetViews>
  <sheetFormatPr baseColWidth="10" defaultColWidth="8.88671875" defaultRowHeight="14.4" x14ac:dyDescent="0.3"/>
  <sheetData>
    <row r="1" spans="1:2" x14ac:dyDescent="0.3">
      <c r="A1" s="1" t="s">
        <v>24</v>
      </c>
      <c r="B1" s="1" t="s">
        <v>6</v>
      </c>
    </row>
    <row r="2" spans="1:2" x14ac:dyDescent="0.3">
      <c r="A2" t="s">
        <v>25</v>
      </c>
      <c r="B2">
        <f>COUNTA(Ventas!A2:A1000)</f>
        <v>16</v>
      </c>
    </row>
    <row r="3" spans="1:2" x14ac:dyDescent="0.3">
      <c r="A3" t="s">
        <v>26</v>
      </c>
      <c r="B3">
        <f>AVERAGE(Ventas!B2:B1000)</f>
        <v>0.46875000000000006</v>
      </c>
    </row>
    <row r="4" spans="1:2" x14ac:dyDescent="0.3">
      <c r="A4" t="s">
        <v>27</v>
      </c>
      <c r="B4" t="e">
        <f>AVERAGE(Ventas!C2:C1000)</f>
        <v>#DIV/0!</v>
      </c>
    </row>
    <row r="5" spans="1:2" x14ac:dyDescent="0.3">
      <c r="A5" t="s">
        <v>28</v>
      </c>
      <c r="B5">
        <f>SUM(Ventas!D2:D1000)</f>
        <v>0</v>
      </c>
    </row>
    <row r="6" spans="1:2" x14ac:dyDescent="0.3">
      <c r="A6" t="s">
        <v>29</v>
      </c>
      <c r="B6" t="e">
        <f ca="1">_xludf.STDEV.S(Ventas!D2:D1000)</f>
        <v>#NAME?</v>
      </c>
    </row>
    <row r="10" spans="1:2" x14ac:dyDescent="0.3">
      <c r="A10" t="s">
        <v>30</v>
      </c>
      <c r="B10" t="s">
        <v>6</v>
      </c>
    </row>
    <row r="11" spans="1:2" x14ac:dyDescent="0.3">
      <c r="A11">
        <f>Ventas!A2</f>
        <v>1</v>
      </c>
      <c r="B11" t="str">
        <f>Ventas!D2</f>
        <v>Camiseta de Noruega de Haaland</v>
      </c>
    </row>
    <row r="12" spans="1:2" x14ac:dyDescent="0.3">
      <c r="A12">
        <f>Ventas!A3</f>
        <v>1</v>
      </c>
      <c r="B12" t="str">
        <f>Ventas!D3</f>
        <v>Bowl Vegetariano</v>
      </c>
    </row>
    <row r="13" spans="1:2" x14ac:dyDescent="0.3">
      <c r="A13">
        <f>Ventas!A4</f>
        <v>1</v>
      </c>
      <c r="B13" t="str">
        <f>Ventas!D4</f>
        <v>Camiseta de Colombia de James</v>
      </c>
    </row>
    <row r="14" spans="1:2" x14ac:dyDescent="0.3">
      <c r="A14">
        <f>Ventas!A5</f>
        <v>2</v>
      </c>
      <c r="B14" t="str">
        <f>Ventas!D5</f>
        <v>Baguette</v>
      </c>
    </row>
    <row r="15" spans="1:2" x14ac:dyDescent="0.3">
      <c r="A15">
        <f>Ventas!A6</f>
        <v>2</v>
      </c>
      <c r="B15" t="str">
        <f>Ventas!D6</f>
        <v>Menu pollo pesto</v>
      </c>
    </row>
    <row r="16" spans="1:2" x14ac:dyDescent="0.3">
      <c r="A16">
        <f>Ventas!A7</f>
        <v>2</v>
      </c>
      <c r="B16" t="str">
        <f>Ventas!D7</f>
        <v>Almuerzo dulce</v>
      </c>
    </row>
    <row r="17" spans="1:2" x14ac:dyDescent="0.3">
      <c r="A17">
        <f>Ventas!A8</f>
        <v>2</v>
      </c>
      <c r="B17" t="str">
        <f>Ventas!D8</f>
        <v>Croissant</v>
      </c>
    </row>
    <row r="18" spans="1:2" x14ac:dyDescent="0.3">
      <c r="A18">
        <f>Ventas!A9</f>
        <v>3</v>
      </c>
      <c r="B18" t="str">
        <f>Ventas!D9</f>
        <v>Camiseta de Millonarios de Falcao</v>
      </c>
    </row>
    <row r="19" spans="1:2" x14ac:dyDescent="0.3">
      <c r="A19">
        <f>Ventas!A10</f>
        <v>3</v>
      </c>
      <c r="B19" t="str">
        <f>Ventas!D10</f>
        <v>Bowl Vegetariano</v>
      </c>
    </row>
    <row r="20" spans="1:2" x14ac:dyDescent="0.3">
      <c r="A20">
        <f>Ventas!A11</f>
        <v>3</v>
      </c>
      <c r="B20" t="str">
        <f>Ventas!D11</f>
        <v>Bowl Vegetariano</v>
      </c>
    </row>
    <row r="21" spans="1:2" x14ac:dyDescent="0.3">
      <c r="A21">
        <f>Ventas!A12</f>
        <v>3</v>
      </c>
      <c r="B21" t="str">
        <f>Ventas!D12</f>
        <v>Almuerzo dulce</v>
      </c>
    </row>
    <row r="22" spans="1:2" x14ac:dyDescent="0.3">
      <c r="A22">
        <f>Ventas!A13</f>
        <v>3</v>
      </c>
      <c r="B22" t="str">
        <f>Ventas!D13</f>
        <v>Pan de Chocolate</v>
      </c>
    </row>
    <row r="23" spans="1:2" x14ac:dyDescent="0.3">
      <c r="A23">
        <f>Ventas!A14</f>
        <v>3</v>
      </c>
      <c r="B23" t="str">
        <f>Ventas!D14</f>
        <v>Camiseta de Argentina de Messi</v>
      </c>
    </row>
    <row r="24" spans="1:2" x14ac:dyDescent="0.3">
      <c r="A24">
        <f>Ventas!A15</f>
        <v>3</v>
      </c>
      <c r="B24" t="str">
        <f>Ventas!D15</f>
        <v>Camiseta de Portugal de Ronaldo</v>
      </c>
    </row>
    <row r="25" spans="1:2" x14ac:dyDescent="0.3">
      <c r="A25">
        <f>Ventas!A16</f>
        <v>3</v>
      </c>
      <c r="B25" t="str">
        <f>Ventas!D16</f>
        <v>Menu pollo pesto</v>
      </c>
    </row>
    <row r="26" spans="1:2" x14ac:dyDescent="0.3">
      <c r="A26">
        <f>Ventas!A17</f>
        <v>3</v>
      </c>
      <c r="B26" t="str">
        <f>Ventas!D17</f>
        <v>Croissant</v>
      </c>
    </row>
  </sheetData>
  <pageMargins left="0.75" right="0.75" top="1" bottom="1" header="0.5" footer="0.5"/>
  <drawing r:id="rId1"/>
</worksheet>
</file>

<file path=docMetadata/LabelInfo.xml><?xml version="1.0" encoding="utf-8"?>
<clbl:labelList xmlns:clbl="http://schemas.microsoft.com/office/2020/mipLabelMetadata">
  <clbl:label id="{ae525757-89ba-4d30-a2f7-49796ef8c604}" enabled="0" method="" siteId="{ae525757-89ba-4d30-a2f7-49796ef8c6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Ventas</vt:lpstr>
      <vt:lpstr>Analisis Estadistico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Angel Romero Suarez</cp:lastModifiedBy>
  <dcterms:created xsi:type="dcterms:W3CDTF">2026-08-06T18:36:14Z</dcterms:created>
  <dcterms:modified xsi:type="dcterms:W3CDTF">2026-08-10T21:51:38Z</dcterms:modified>
</cp:coreProperties>
</file>