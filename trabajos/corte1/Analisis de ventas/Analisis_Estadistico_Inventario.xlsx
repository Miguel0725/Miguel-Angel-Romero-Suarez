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8FB4492-BC93-4CD6-96B6-A86CA021B7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ario" sheetId="2" r:id="rId1"/>
    <sheet name="Analisis Estadistic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1" i="2"/>
  <c r="F10" i="2"/>
  <c r="F9" i="2"/>
  <c r="F8" i="2"/>
  <c r="F7" i="2"/>
  <c r="B6" i="1" s="1"/>
  <c r="F6" i="2"/>
  <c r="F5" i="2"/>
  <c r="F4" i="2"/>
  <c r="F3" i="2"/>
  <c r="F2" i="2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2" i="1"/>
  <c r="A22" i="1"/>
  <c r="B28" i="1"/>
  <c r="A28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9" i="1"/>
  <c r="B8" i="1"/>
  <c r="B7" i="1"/>
  <c r="B5" i="1"/>
  <c r="B4" i="1"/>
  <c r="B3" i="1"/>
  <c r="B2" i="1"/>
</calcChain>
</file>

<file path=xl/sharedStrings.xml><?xml version="1.0" encoding="utf-8"?>
<sst xmlns="http://schemas.openxmlformats.org/spreadsheetml/2006/main" count="31" uniqueCount="27">
  <si>
    <t>Métrica</t>
  </si>
  <si>
    <t>Valor</t>
  </si>
  <si>
    <t>Total productos</t>
  </si>
  <si>
    <t>Costo promedio</t>
  </si>
  <si>
    <t>Precio promedio</t>
  </si>
  <si>
    <t>Ventas totales</t>
  </si>
  <si>
    <t>Inventario restante</t>
  </si>
  <si>
    <t>Ganancia total</t>
  </si>
  <si>
    <t>Desv. estándar precio</t>
  </si>
  <si>
    <t>Mediana precio</t>
  </si>
  <si>
    <t>Producto</t>
  </si>
  <si>
    <t>Precio</t>
  </si>
  <si>
    <t>Ventas</t>
  </si>
  <si>
    <t>Costo</t>
  </si>
  <si>
    <t>Unidades</t>
  </si>
  <si>
    <t>Unidades restantes</t>
  </si>
  <si>
    <t>Camiseta de Portugal de Ronaldo</t>
  </si>
  <si>
    <t>Camiseta de Argentina de Messi</t>
  </si>
  <si>
    <t>Camiseta de Colombia de James</t>
  </si>
  <si>
    <t>Camiseta de Noruega de Haaland</t>
  </si>
  <si>
    <t>Camiseta de Millonarios de Falcao</t>
  </si>
  <si>
    <t>Menu pollo pesto</t>
  </si>
  <si>
    <t>Bowl Vegetariano</t>
  </si>
  <si>
    <t>Almuerzo dulce</t>
  </si>
  <si>
    <t>Baguette</t>
  </si>
  <si>
    <t>Croissant</t>
  </si>
  <si>
    <t>Pan de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</si>
</sst>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'Analisis Estadistico'!$B$11</c:f>
              <c:strCache>
                <c:ptCount val="1"/>
                <c:pt idx="0">
                  <c:v>Precio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Estadistico'!$A$12:$A$21</c:f>
              <c:strCache>
                <c:ptCount val="10"/>
                <c:pt idx="0">
                  <c:v>Camiseta de Portugal de Ronaldo</c:v>
                </c:pt>
                <c:pt idx="1">
                  <c:v>Camiseta de Argentina de Messi</c:v>
                </c:pt>
                <c:pt idx="2">
                  <c:v>Camiseta de Colombia de James</c:v>
                </c:pt>
                <c:pt idx="3">
                  <c:v>Camiseta de Noruega de Haaland</c:v>
                </c:pt>
                <c:pt idx="4">
                  <c:v>Camiseta de Millonarios de Falcao</c:v>
                </c:pt>
                <c:pt idx="5">
                  <c:v>Menu pollo pesto</c:v>
                </c:pt>
                <c:pt idx="6">
                  <c:v>Bowl Vegetariano</c:v>
                </c:pt>
                <c:pt idx="7">
                  <c:v>Almuerzo dulce</c:v>
                </c:pt>
                <c:pt idx="8">
                  <c:v>Baguette</c:v>
                </c:pt>
                <c:pt idx="9">
                  <c:v>Croissant</c:v>
                </c:pt>
              </c:strCache>
            </c:strRef>
          </c:cat>
          <c:val>
            <c:numRef>
              <c:f>'Analisis Estadistico'!$B$12:$B$21</c:f>
              <c:numCache>
                <c:formatCode>General</c:formatCode>
                <c:ptCount val="10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18000</c:v>
                </c:pt>
                <c:pt idx="6">
                  <c:v>18000</c:v>
                </c:pt>
                <c:pt idx="7">
                  <c:v>18000</c:v>
                </c:pt>
                <c:pt idx="8">
                  <c:v>3600</c:v>
                </c:pt>
                <c:pt idx="9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A-453B-B519-4EF0F4870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10</v>
      </c>
      <c r="B1" t="s">
        <v>13</v>
      </c>
      <c r="C1" t="s">
        <v>14</v>
      </c>
      <c r="D1" t="s">
        <v>11</v>
      </c>
      <c r="E1" t="s">
        <v>12</v>
      </c>
      <c r="F1" t="s">
        <v>15</v>
      </c>
    </row>
    <row r="2" spans="1:6" x14ac:dyDescent="0.3">
      <c r="A2" t="s">
        <v>16</v>
      </c>
      <c r="B2">
        <v>100000</v>
      </c>
      <c r="C2">
        <v>1</v>
      </c>
      <c r="D2">
        <v>200000</v>
      </c>
      <c r="E2">
        <v>1</v>
      </c>
      <c r="F2">
        <f t="shared" ref="F2:F12" si="0">C2-E2</f>
        <v>0</v>
      </c>
    </row>
    <row r="3" spans="1:6" x14ac:dyDescent="0.3">
      <c r="A3" t="s">
        <v>17</v>
      </c>
      <c r="B3">
        <v>100000</v>
      </c>
      <c r="C3">
        <v>1</v>
      </c>
      <c r="D3">
        <v>200000</v>
      </c>
      <c r="E3">
        <v>1</v>
      </c>
      <c r="F3">
        <f t="shared" si="0"/>
        <v>0</v>
      </c>
    </row>
    <row r="4" spans="1:6" x14ac:dyDescent="0.3">
      <c r="A4" t="s">
        <v>18</v>
      </c>
      <c r="B4">
        <v>100000</v>
      </c>
      <c r="C4">
        <v>1</v>
      </c>
      <c r="D4">
        <v>200000</v>
      </c>
      <c r="E4">
        <v>1</v>
      </c>
      <c r="F4">
        <f t="shared" si="0"/>
        <v>0</v>
      </c>
    </row>
    <row r="5" spans="1:6" x14ac:dyDescent="0.3">
      <c r="A5" t="s">
        <v>19</v>
      </c>
      <c r="B5">
        <v>100000</v>
      </c>
      <c r="C5">
        <v>1</v>
      </c>
      <c r="D5">
        <v>200000</v>
      </c>
      <c r="E5">
        <v>1</v>
      </c>
      <c r="F5">
        <f t="shared" si="0"/>
        <v>0</v>
      </c>
    </row>
    <row r="6" spans="1:6" x14ac:dyDescent="0.3">
      <c r="A6" t="s">
        <v>20</v>
      </c>
      <c r="B6">
        <v>100000</v>
      </c>
      <c r="C6">
        <v>1</v>
      </c>
      <c r="D6">
        <v>200000</v>
      </c>
      <c r="E6">
        <v>1</v>
      </c>
      <c r="F6">
        <f t="shared" si="0"/>
        <v>0</v>
      </c>
    </row>
    <row r="7" spans="1:6" x14ac:dyDescent="0.3">
      <c r="A7" t="s">
        <v>21</v>
      </c>
      <c r="B7">
        <v>9000</v>
      </c>
      <c r="C7">
        <v>8</v>
      </c>
      <c r="D7">
        <v>18000</v>
      </c>
      <c r="E7">
        <v>5</v>
      </c>
      <c r="F7">
        <f t="shared" si="0"/>
        <v>3</v>
      </c>
    </row>
    <row r="8" spans="1:6" x14ac:dyDescent="0.3">
      <c r="A8" t="s">
        <v>22</v>
      </c>
      <c r="B8">
        <v>9000</v>
      </c>
      <c r="C8">
        <v>8</v>
      </c>
      <c r="D8">
        <v>18000</v>
      </c>
      <c r="E8">
        <v>8</v>
      </c>
      <c r="F8">
        <f t="shared" si="0"/>
        <v>0</v>
      </c>
    </row>
    <row r="9" spans="1:6" x14ac:dyDescent="0.3">
      <c r="A9" t="s">
        <v>23</v>
      </c>
      <c r="B9">
        <v>9000</v>
      </c>
      <c r="C9">
        <v>8</v>
      </c>
      <c r="D9">
        <v>18000</v>
      </c>
      <c r="E9">
        <v>3</v>
      </c>
      <c r="F9">
        <f t="shared" si="0"/>
        <v>5</v>
      </c>
    </row>
    <row r="10" spans="1:6" x14ac:dyDescent="0.3">
      <c r="A10" t="s">
        <v>24</v>
      </c>
      <c r="B10">
        <v>1800</v>
      </c>
      <c r="C10">
        <v>5</v>
      </c>
      <c r="D10">
        <v>3600</v>
      </c>
      <c r="E10">
        <v>3</v>
      </c>
      <c r="F10">
        <f t="shared" si="0"/>
        <v>2</v>
      </c>
    </row>
    <row r="11" spans="1:6" x14ac:dyDescent="0.3">
      <c r="A11" t="s">
        <v>25</v>
      </c>
      <c r="B11">
        <v>4500</v>
      </c>
      <c r="C11">
        <v>5</v>
      </c>
      <c r="D11">
        <v>9000</v>
      </c>
      <c r="E11">
        <v>4</v>
      </c>
      <c r="F11">
        <f t="shared" si="0"/>
        <v>1</v>
      </c>
    </row>
    <row r="12" spans="1:6" x14ac:dyDescent="0.3">
      <c r="A12" t="s">
        <v>26</v>
      </c>
      <c r="B12">
        <v>5500</v>
      </c>
      <c r="C12">
        <v>5</v>
      </c>
      <c r="D12">
        <v>11000</v>
      </c>
      <c r="E12">
        <v>5</v>
      </c>
      <c r="F12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7" sqref="B7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f>COUNTA(Inventario!A2:A1000)</f>
        <v>11</v>
      </c>
    </row>
    <row r="3" spans="1:2" x14ac:dyDescent="0.3">
      <c r="A3" t="s">
        <v>3</v>
      </c>
      <c r="B3">
        <f>AVERAGE(Inventario!B2:B1000)</f>
        <v>48981.818181818184</v>
      </c>
    </row>
    <row r="4" spans="1:2" x14ac:dyDescent="0.3">
      <c r="A4" t="s">
        <v>4</v>
      </c>
      <c r="B4">
        <f>AVERAGE(Inventario!D2:D1000)</f>
        <v>97963.636363636368</v>
      </c>
    </row>
    <row r="5" spans="1:2" x14ac:dyDescent="0.3">
      <c r="A5" t="s">
        <v>5</v>
      </c>
      <c r="B5">
        <f>SUM(Inventario!E2:E1000)</f>
        <v>33</v>
      </c>
    </row>
    <row r="6" spans="1:2" x14ac:dyDescent="0.3">
      <c r="A6" t="s">
        <v>6</v>
      </c>
      <c r="B6">
        <f>SUM(Inventario!F2:F1000)</f>
        <v>11</v>
      </c>
    </row>
    <row r="7" spans="1:2" x14ac:dyDescent="0.3">
      <c r="A7" t="s">
        <v>7</v>
      </c>
      <c r="B7">
        <f>SUMPRODUCT((Inventario!D2:D1000-Inventario!B2:B1000),Inventario!E2:E1000)</f>
        <v>694900</v>
      </c>
    </row>
    <row r="8" spans="1:2" x14ac:dyDescent="0.3">
      <c r="A8" t="s">
        <v>8</v>
      </c>
      <c r="B8" t="e">
        <f ca="1">_xludf.STDEV.S(Inventario!D2:D1000)</f>
        <v>#NAME?</v>
      </c>
    </row>
    <row r="9" spans="1:2" x14ac:dyDescent="0.3">
      <c r="A9" t="s">
        <v>9</v>
      </c>
      <c r="B9">
        <f>MEDIAN(Inventario!D2:D1000)</f>
        <v>18000</v>
      </c>
    </row>
    <row r="11" spans="1:2" x14ac:dyDescent="0.3">
      <c r="A11" t="s">
        <v>10</v>
      </c>
      <c r="B11" t="s">
        <v>11</v>
      </c>
    </row>
    <row r="12" spans="1:2" x14ac:dyDescent="0.3">
      <c r="A12" t="str">
        <f>Inventario!A2</f>
        <v>Camiseta de Portugal de Ronaldo</v>
      </c>
      <c r="B12">
        <f>Inventario!D2</f>
        <v>200000</v>
      </c>
    </row>
    <row r="13" spans="1:2" x14ac:dyDescent="0.3">
      <c r="A13" t="str">
        <f>Inventario!A3</f>
        <v>Camiseta de Argentina de Messi</v>
      </c>
      <c r="B13">
        <f>Inventario!D3</f>
        <v>200000</v>
      </c>
    </row>
    <row r="14" spans="1:2" x14ac:dyDescent="0.3">
      <c r="A14" t="str">
        <f>Inventario!A4</f>
        <v>Camiseta de Colombia de James</v>
      </c>
      <c r="B14">
        <f>Inventario!D4</f>
        <v>200000</v>
      </c>
    </row>
    <row r="15" spans="1:2" x14ac:dyDescent="0.3">
      <c r="A15" t="str">
        <f>Inventario!A5</f>
        <v>Camiseta de Noruega de Haaland</v>
      </c>
      <c r="B15">
        <f>Inventario!D5</f>
        <v>200000</v>
      </c>
    </row>
    <row r="16" spans="1:2" x14ac:dyDescent="0.3">
      <c r="A16" t="str">
        <f>Inventario!A6</f>
        <v>Camiseta de Millonarios de Falcao</v>
      </c>
      <c r="B16">
        <f>Inventario!D6</f>
        <v>200000</v>
      </c>
    </row>
    <row r="17" spans="1:2" x14ac:dyDescent="0.3">
      <c r="A17" t="str">
        <f>Inventario!A7</f>
        <v>Menu pollo pesto</v>
      </c>
      <c r="B17">
        <f>Inventario!D7</f>
        <v>18000</v>
      </c>
    </row>
    <row r="18" spans="1:2" x14ac:dyDescent="0.3">
      <c r="A18" t="str">
        <f>Inventario!A8</f>
        <v>Bowl Vegetariano</v>
      </c>
      <c r="B18">
        <f>Inventario!D8</f>
        <v>18000</v>
      </c>
    </row>
    <row r="19" spans="1:2" x14ac:dyDescent="0.3">
      <c r="A19" t="str">
        <f>Inventario!A9</f>
        <v>Almuerzo dulce</v>
      </c>
      <c r="B19">
        <f>Inventario!D9</f>
        <v>18000</v>
      </c>
    </row>
    <row r="20" spans="1:2" x14ac:dyDescent="0.3">
      <c r="A20" t="str">
        <f>Inventario!A10</f>
        <v>Baguette</v>
      </c>
      <c r="B20">
        <f>Inventario!D10</f>
        <v>3600</v>
      </c>
    </row>
    <row r="21" spans="1:2" x14ac:dyDescent="0.3">
      <c r="A21" t="str">
        <f>Inventario!A11</f>
        <v>Croissant</v>
      </c>
      <c r="B21">
        <f>Inventario!D11</f>
        <v>9000</v>
      </c>
    </row>
    <row r="22" spans="1:2" x14ac:dyDescent="0.3">
      <c r="A22" t="str">
        <f>Inventario!A12</f>
        <v>Pan de chocolate</v>
      </c>
      <c r="B22">
        <f>Inventario!D12</f>
        <v>11000</v>
      </c>
    </row>
    <row r="27" spans="1:2" x14ac:dyDescent="0.3">
      <c r="A27" t="s">
        <v>10</v>
      </c>
      <c r="B27" t="s">
        <v>12</v>
      </c>
    </row>
    <row r="28" spans="1:2" x14ac:dyDescent="0.3">
      <c r="A28" t="str">
        <f>Inventario!A2</f>
        <v>Camiseta de Portugal de Ronaldo</v>
      </c>
      <c r="B28">
        <f>Inventario!E2</f>
        <v>1</v>
      </c>
    </row>
    <row r="29" spans="1:2" x14ac:dyDescent="0.3">
      <c r="A29" t="str">
        <f>Inventario!A3</f>
        <v>Camiseta de Argentina de Messi</v>
      </c>
      <c r="B29">
        <f>Inventario!E3</f>
        <v>1</v>
      </c>
    </row>
    <row r="30" spans="1:2" x14ac:dyDescent="0.3">
      <c r="A30" t="str">
        <f>Inventario!A4</f>
        <v>Camiseta de Colombia de James</v>
      </c>
      <c r="B30">
        <f>Inventario!E4</f>
        <v>1</v>
      </c>
    </row>
    <row r="31" spans="1:2" x14ac:dyDescent="0.3">
      <c r="A31" t="str">
        <f>Inventario!A5</f>
        <v>Camiseta de Noruega de Haaland</v>
      </c>
      <c r="B31">
        <f>Inventario!E5</f>
        <v>1</v>
      </c>
    </row>
    <row r="32" spans="1:2" x14ac:dyDescent="0.3">
      <c r="A32" t="str">
        <f>Inventario!A6</f>
        <v>Camiseta de Millonarios de Falcao</v>
      </c>
      <c r="B32">
        <f>Inventario!E6</f>
        <v>1</v>
      </c>
    </row>
    <row r="33" spans="1:2" x14ac:dyDescent="0.3">
      <c r="A33" t="str">
        <f>Inventario!A7</f>
        <v>Menu pollo pesto</v>
      </c>
      <c r="B33">
        <f>Inventario!E7</f>
        <v>5</v>
      </c>
    </row>
    <row r="34" spans="1:2" x14ac:dyDescent="0.3">
      <c r="A34" t="str">
        <f>Inventario!A8</f>
        <v>Bowl Vegetariano</v>
      </c>
      <c r="B34">
        <f>Inventario!E8</f>
        <v>8</v>
      </c>
    </row>
    <row r="35" spans="1:2" x14ac:dyDescent="0.3">
      <c r="A35" t="str">
        <f>Inventario!A9</f>
        <v>Almuerzo dulce</v>
      </c>
      <c r="B35">
        <f>Inventario!E9</f>
        <v>3</v>
      </c>
    </row>
    <row r="36" spans="1:2" x14ac:dyDescent="0.3">
      <c r="A36" t="str">
        <f>Inventario!A10</f>
        <v>Baguette</v>
      </c>
      <c r="B36">
        <f>Inventario!E10</f>
        <v>3</v>
      </c>
    </row>
    <row r="37" spans="1:2" x14ac:dyDescent="0.3">
      <c r="A37" t="str">
        <f>Inventario!A11</f>
        <v>Croissant</v>
      </c>
      <c r="B37">
        <f>Inventario!E11</f>
        <v>4</v>
      </c>
    </row>
    <row r="38" spans="1:2" x14ac:dyDescent="0.3">
      <c r="A38" t="str">
        <f>Inventario!A12</f>
        <v>Pan de chocolate</v>
      </c>
      <c r="B38">
        <f>Inventario!E12</f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Analisis Estadistico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Romero Suarez</cp:lastModifiedBy>
  <dcterms:created xsi:type="dcterms:W3CDTF">2026-08-06T18:31:27Z</dcterms:created>
  <dcterms:modified xsi:type="dcterms:W3CDTF">2026-08-06T18:46:24Z</dcterms:modified>
</cp:coreProperties>
</file>